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2026年财务报表" sheetId="1" r:id="rId1"/>
    <sheet name="1月工分明细" sheetId="2" r:id="rId2"/>
    <sheet name="2月工分明细" sheetId="3" r:id="rId3"/>
    <sheet name="3月工分明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<sst xmlns="http://schemas.openxmlformats.org/spreadsheetml/2006/main" count="1686" uniqueCount="184">
  <si>
    <t>2026年01月片剂车间生产品种入库报表</t>
  </si>
  <si>
    <t>序号</t>
  </si>
  <si>
    <t>品   种</t>
  </si>
  <si>
    <t>规 格</t>
  </si>
  <si>
    <t>批号</t>
  </si>
  <si>
    <t>投料量
(万粒/片）</t>
  </si>
  <si>
    <t>工 分</t>
  </si>
  <si>
    <t>生产数量(件)</t>
  </si>
  <si>
    <t>折合
(盒\瓶)</t>
  </si>
  <si>
    <t>折合
（万粒/片）</t>
  </si>
  <si>
    <t>备  注</t>
  </si>
  <si>
    <t>甲巯咪唑片</t>
  </si>
  <si>
    <t>5mg</t>
  </si>
  <si>
    <t>53件280盒</t>
  </si>
  <si>
    <t>100片/瓶*360瓶/件</t>
  </si>
  <si>
    <t>阿奇霉素胶囊</t>
  </si>
  <si>
    <t>0.25g</t>
  </si>
  <si>
    <t>103件250盒</t>
  </si>
  <si>
    <t>8粒/板*400盒/件</t>
  </si>
  <si>
    <t>螺内酯片</t>
  </si>
  <si>
    <t>20mg</t>
  </si>
  <si>
    <t>67件350盒</t>
  </si>
  <si>
    <t>盐酸氧氟沙星胶囊</t>
  </si>
  <si>
    <t>0.1g</t>
  </si>
  <si>
    <t>121件300盒</t>
  </si>
  <si>
    <t>12片/板*2*400盒/件</t>
  </si>
  <si>
    <t>10粒/板*2*400盒/件</t>
  </si>
  <si>
    <t>阿替洛尔片</t>
  </si>
  <si>
    <t>25mg</t>
  </si>
  <si>
    <t>60片/瓶*480瓶/件</t>
  </si>
  <si>
    <t>克拉霉素胶囊</t>
  </si>
  <si>
    <t>187件80盒</t>
  </si>
  <si>
    <t>6粒/板*300盒/件</t>
  </si>
  <si>
    <t>泮托拉唑钠肠溶片</t>
  </si>
  <si>
    <t>40mg</t>
  </si>
  <si>
    <t>7片/板*200盒/件</t>
  </si>
  <si>
    <t>351件90盒</t>
  </si>
  <si>
    <t>351件110盒</t>
  </si>
  <si>
    <t>103件120盒</t>
  </si>
  <si>
    <t>5片/板*300盒/件</t>
  </si>
  <si>
    <t>甘草酸二铵胶囊</t>
  </si>
  <si>
    <t>50mg</t>
  </si>
  <si>
    <t>12片/板*2*300盒/件</t>
  </si>
  <si>
    <t>105件210盒</t>
  </si>
  <si>
    <t>盐酸特拉唑嗪胶囊</t>
  </si>
  <si>
    <t>2mg</t>
  </si>
  <si>
    <t>297件330盒</t>
  </si>
  <si>
    <t>12粒/板*400盒/件</t>
  </si>
  <si>
    <t>硝酸异山梨酯片</t>
  </si>
  <si>
    <t>100片/瓶*480瓶/件</t>
  </si>
  <si>
    <t>合   计</t>
  </si>
  <si>
    <t xml:space="preserve">         制 表 人：张立军</t>
  </si>
  <si>
    <t>复 核 人：</t>
  </si>
  <si>
    <t>制表日期：2026.01.29</t>
  </si>
  <si>
    <t>复核日期：</t>
  </si>
  <si>
    <t>2026年02月片剂车间生产品种入库报表</t>
  </si>
  <si>
    <t>66件350瓶</t>
  </si>
  <si>
    <t>7片/板*400盒/件</t>
  </si>
  <si>
    <t>复方芦丁片</t>
  </si>
  <si>
    <t>芦丁20mg VC50mg</t>
  </si>
  <si>
    <t>氢氯噻嗪片</t>
  </si>
  <si>
    <t>105件240盒</t>
  </si>
  <si>
    <t>制表日期：2026.03.02</t>
  </si>
  <si>
    <t>2026年03月片剂车间生产品种入库报表</t>
  </si>
  <si>
    <t>49件360盒</t>
  </si>
  <si>
    <t>10片/板*400盒/件</t>
  </si>
  <si>
    <t>174件220盒</t>
  </si>
  <si>
    <t>14片/板*200盒/件</t>
  </si>
  <si>
    <t>8片/板*2*300盒/件</t>
  </si>
  <si>
    <t>101件210瓶</t>
  </si>
  <si>
    <t>12片/板*3*300盒/件</t>
  </si>
  <si>
    <t>105件210瓶</t>
  </si>
  <si>
    <t>10粒/板*3*300盒/件</t>
  </si>
  <si>
    <t>20260328-20260330</t>
  </si>
  <si>
    <t>20260329-20260330</t>
  </si>
  <si>
    <t>盐酸维拉帕米</t>
  </si>
  <si>
    <t>30片/瓶*480瓶/件</t>
  </si>
  <si>
    <t>2919件1000盒</t>
  </si>
  <si>
    <t xml:space="preserve">         制 表 人：张悦</t>
  </si>
  <si>
    <t>制表日期：2026.03.31</t>
  </si>
  <si>
    <t xml:space="preserve">         固体制剂车间入库品种工分明细（2026）         01月份</t>
  </si>
  <si>
    <t>品名：甲巯咪唑片</t>
  </si>
  <si>
    <t>批号：20260103( 投料量200万粒）    100片/瓶*360瓶/件</t>
  </si>
  <si>
    <t>序  号</t>
  </si>
  <si>
    <t>姓 名</t>
  </si>
  <si>
    <r>
      <rPr>
        <sz val="12"/>
        <color rgb="FF002060"/>
        <rFont val="Microsoft YaHei"/>
        <charset val="134"/>
      </rPr>
      <t xml:space="preserve">岗  </t>
    </r>
    <r>
      <rPr>
        <sz val="12"/>
        <color indexed="56"/>
        <rFont val="Microsoft YaHei"/>
        <charset val="134"/>
      </rPr>
      <t>位</t>
    </r>
  </si>
  <si>
    <r>
      <rPr>
        <sz val="12"/>
        <color rgb="FF002060"/>
        <rFont val="Microsoft YaHei"/>
        <charset val="134"/>
      </rPr>
      <t xml:space="preserve">备 </t>
    </r>
    <r>
      <rPr>
        <sz val="12"/>
        <color indexed="56"/>
        <rFont val="Microsoft YaHei"/>
        <charset val="134"/>
      </rPr>
      <t>注</t>
    </r>
  </si>
  <si>
    <t>合  计</t>
  </si>
  <si>
    <r>
      <rPr>
        <sz val="12"/>
        <color rgb="FF002060"/>
        <rFont val="Microsoft YaHei"/>
        <charset val="134"/>
      </rPr>
      <t>粉处</t>
    </r>
    <r>
      <rPr>
        <sz val="12"/>
        <color indexed="56"/>
        <rFont val="Microsoft YaHei"/>
        <charset val="134"/>
      </rPr>
      <t>理</t>
    </r>
  </si>
  <si>
    <r>
      <rPr>
        <sz val="12"/>
        <color rgb="FF002060"/>
        <rFont val="Microsoft YaHei"/>
        <charset val="134"/>
      </rPr>
      <t>刘</t>
    </r>
    <r>
      <rPr>
        <sz val="12"/>
        <color indexed="56"/>
        <rFont val="Microsoft YaHei"/>
        <charset val="134"/>
      </rPr>
      <t>元</t>
    </r>
    <r>
      <rPr>
        <sz val="12"/>
        <color rgb="FF002060"/>
        <rFont val="Microsoft YaHei"/>
        <charset val="134"/>
      </rPr>
      <t>军</t>
    </r>
  </si>
  <si>
    <t>制粒</t>
  </si>
  <si>
    <r>
      <rPr>
        <sz val="12"/>
        <color rgb="FF002060"/>
        <rFont val="Microsoft YaHei"/>
        <charset val="134"/>
      </rPr>
      <t>王红</t>
    </r>
    <r>
      <rPr>
        <sz val="12"/>
        <color indexed="56"/>
        <rFont val="Microsoft YaHei"/>
        <charset val="134"/>
      </rPr>
      <t>玲</t>
    </r>
  </si>
  <si>
    <t>宋金美</t>
  </si>
  <si>
    <t>压 片</t>
  </si>
  <si>
    <t>蔡焕然</t>
  </si>
  <si>
    <t>袁焕兰</t>
  </si>
  <si>
    <t>陈春霞</t>
  </si>
  <si>
    <t>尹菊艳</t>
  </si>
  <si>
    <t>闻宝珍</t>
  </si>
  <si>
    <r>
      <rPr>
        <sz val="12"/>
        <color rgb="FF002060"/>
        <rFont val="Microsoft YaHei"/>
        <charset val="134"/>
      </rPr>
      <t xml:space="preserve">内 </t>
    </r>
    <r>
      <rPr>
        <sz val="12"/>
        <color indexed="56"/>
        <rFont val="Microsoft YaHei"/>
        <charset val="134"/>
      </rPr>
      <t>包</t>
    </r>
  </si>
  <si>
    <r>
      <rPr>
        <sz val="12"/>
        <color rgb="FF002060"/>
        <rFont val="Microsoft YaHei"/>
        <charset val="134"/>
      </rPr>
      <t>马</t>
    </r>
    <r>
      <rPr>
        <sz val="12"/>
        <color indexed="56"/>
        <rFont val="Microsoft YaHei"/>
        <charset val="134"/>
      </rPr>
      <t>良云</t>
    </r>
  </si>
  <si>
    <t>周礼连</t>
  </si>
  <si>
    <r>
      <rPr>
        <sz val="12"/>
        <color rgb="FF002060"/>
        <rFont val="Microsoft YaHei"/>
        <charset val="134"/>
      </rPr>
      <t xml:space="preserve">铝 </t>
    </r>
    <r>
      <rPr>
        <sz val="12"/>
        <color indexed="56"/>
        <rFont val="Microsoft YaHei"/>
        <charset val="134"/>
      </rPr>
      <t>塑</t>
    </r>
  </si>
  <si>
    <t>薛秀华</t>
  </si>
  <si>
    <t>柏万娟</t>
  </si>
  <si>
    <r>
      <rPr>
        <sz val="12"/>
        <color rgb="FF002060"/>
        <rFont val="Microsoft YaHei"/>
        <charset val="134"/>
      </rPr>
      <t>刘</t>
    </r>
    <r>
      <rPr>
        <sz val="12"/>
        <color indexed="56"/>
        <rFont val="Microsoft YaHei"/>
        <charset val="134"/>
      </rPr>
      <t>俊</t>
    </r>
    <r>
      <rPr>
        <sz val="12"/>
        <color rgb="FF002060"/>
        <rFont val="Microsoft YaHei"/>
        <charset val="134"/>
      </rPr>
      <t>秀</t>
    </r>
  </si>
  <si>
    <t>于海花</t>
  </si>
  <si>
    <t>外包</t>
  </si>
  <si>
    <t>李忠花</t>
  </si>
  <si>
    <t>何   剑</t>
  </si>
  <si>
    <r>
      <rPr>
        <sz val="12"/>
        <color rgb="FF002060"/>
        <rFont val="Microsoft YaHei"/>
        <charset val="134"/>
      </rPr>
      <t>杨</t>
    </r>
    <r>
      <rPr>
        <sz val="12"/>
        <color indexed="56"/>
        <rFont val="Microsoft YaHei"/>
        <charset val="134"/>
      </rPr>
      <t>云霞</t>
    </r>
  </si>
  <si>
    <t>杨  容</t>
  </si>
  <si>
    <t>孙芸芸</t>
  </si>
  <si>
    <t>何海燕</t>
  </si>
  <si>
    <r>
      <rPr>
        <sz val="12"/>
        <color rgb="FF002060"/>
        <rFont val="Microsoft YaHei"/>
        <charset val="134"/>
      </rPr>
      <t xml:space="preserve">卫 </t>
    </r>
    <r>
      <rPr>
        <sz val="12"/>
        <color indexed="56"/>
        <rFont val="Microsoft YaHei"/>
        <charset val="134"/>
      </rPr>
      <t>生</t>
    </r>
  </si>
  <si>
    <t>薛海苹</t>
  </si>
  <si>
    <t>物 管</t>
  </si>
  <si>
    <r>
      <rPr>
        <sz val="12"/>
        <color rgb="FF002060"/>
        <rFont val="Microsoft YaHei"/>
        <charset val="134"/>
      </rPr>
      <t>闻宝</t>
    </r>
    <r>
      <rPr>
        <sz val="12"/>
        <color indexed="56"/>
        <rFont val="Microsoft YaHei"/>
        <charset val="134"/>
      </rPr>
      <t>云</t>
    </r>
  </si>
  <si>
    <t>品名：阿奇霉素胶囊</t>
  </si>
  <si>
    <t>批号：20260103( 投料量35万粒）                          8粒/板*400盒/件</t>
  </si>
  <si>
    <t>岗  位</t>
  </si>
  <si>
    <t>备 注</t>
  </si>
  <si>
    <t>粉处理</t>
  </si>
  <si>
    <t>刘元军</t>
  </si>
  <si>
    <t>王红玲</t>
  </si>
  <si>
    <t>压片</t>
  </si>
  <si>
    <t>包衣</t>
  </si>
  <si>
    <t>充填</t>
  </si>
  <si>
    <t>内 包</t>
  </si>
  <si>
    <t>马良云</t>
  </si>
  <si>
    <t>铝 塑</t>
  </si>
  <si>
    <t>刘俊秀</t>
  </si>
  <si>
    <t>杨云霞</t>
  </si>
  <si>
    <t>卫 生</t>
  </si>
  <si>
    <t>闻宝云</t>
  </si>
  <si>
    <t>品名：螺内酯片</t>
  </si>
  <si>
    <t>批号：20260104( 投料量250万粒）                    100片/瓶*360瓶/件</t>
  </si>
  <si>
    <t xml:space="preserve">         固体制剂车间入库品种工分明细（2026）       01月份</t>
  </si>
  <si>
    <t>品名：盐酸左氧氟沙星胶囊</t>
  </si>
  <si>
    <t>批号：20260104( 投料量120万片）                    12粒/板*2*400盒/件</t>
  </si>
  <si>
    <t xml:space="preserve">         固体制剂车间入库品种工分明细（2026）        01月份</t>
  </si>
  <si>
    <t>批号：20260116( 投料量120万片）                              10粒/板*2*400盒/件</t>
  </si>
  <si>
    <t>品名：阿替洛尔片</t>
  </si>
  <si>
    <t>批号：20260106-0108( 投料量150万粒）             60片/瓶*480瓶/件</t>
  </si>
  <si>
    <t>批号：20260109-0113( 投料量150万粒）             60片/瓶*480瓶/件</t>
  </si>
  <si>
    <t>品名：克拉霉素胶囊</t>
  </si>
  <si>
    <t xml:space="preserve">批号：20260114( 投料量35万粒）                  6粒/板*300盒/件   </t>
  </si>
  <si>
    <t>品名：泮托拉唑钠肠溶片</t>
  </si>
  <si>
    <t>批号：20260117-119( 投料量100万粒）             7片/板*200盒/件</t>
  </si>
  <si>
    <t>批号：20260120( 投料量50万片）                     5片/板*300盒/件</t>
  </si>
  <si>
    <t>批号：20260120( 投料量50万片）                   7片/板*200盒/件</t>
  </si>
  <si>
    <t>品名：甘草酸二胺胶囊</t>
  </si>
  <si>
    <t>批号：20260118-120( 投料量160万粒）   12粒/板*2*300盒/件</t>
  </si>
  <si>
    <t>杨    容</t>
  </si>
  <si>
    <t>品名：盐酸特拉唑嗪胶囊</t>
  </si>
  <si>
    <t>批号：20260122( 投料量150万粒）               12粒/板*400盒/件</t>
  </si>
  <si>
    <t>品名：硝酸异山梨酯片</t>
  </si>
  <si>
    <t>批号：20260121-22( 投料量1000万   片）    100片/板*480瓶/件</t>
  </si>
  <si>
    <t xml:space="preserve">         固体制剂车间入库品种工分明细（2026）         02月份</t>
  </si>
  <si>
    <t>批号：20260201 （投料量250万粒）                    100片/瓶*360瓶/件</t>
  </si>
  <si>
    <t>批号：20260204-0205( 投料量100万粒）             7片/板*400盒/件</t>
  </si>
  <si>
    <t xml:space="preserve">         固体制剂车间入库品种工分明细（2026）       02月份</t>
  </si>
  <si>
    <t>品名：复方芦丁片</t>
  </si>
  <si>
    <t xml:space="preserve">批号：20260208( 投料量500万片）          100片/瓶*480瓶/件   </t>
  </si>
  <si>
    <t>品名：氢氯噻嗪片</t>
  </si>
  <si>
    <t xml:space="preserve">批号：20260225( 投料量500万片）                100片/瓶*480瓶/件   </t>
  </si>
  <si>
    <t>批号：20260225( 投料量160万粒）   12粒/板*2*300盒/件</t>
  </si>
  <si>
    <t xml:space="preserve">批号：20260226( 投料量35万粒）                  6粒/板*300盒/件   </t>
  </si>
  <si>
    <t xml:space="preserve">         固体制剂车间入库品种工分明细（2026）         03月份</t>
  </si>
  <si>
    <t>批号：20260303投料量50万粒）              10片/板*400盒/件</t>
  </si>
  <si>
    <t>批号：20260303( 投料量50万粒）              7片/板*200盒/件</t>
  </si>
  <si>
    <t>批号：20260304/0313-0314( 投料量150万粒）             7片/板*200盒/件</t>
  </si>
  <si>
    <t>批号：20260315-0316（投料量100万片）                 14片/板*200盒/件</t>
  </si>
  <si>
    <t xml:space="preserve">         固体制剂车间入库品种工分明细（2026）        03月份</t>
  </si>
  <si>
    <t>批号：20260307( 投料量128万粒）               12粒/板*400盒/件</t>
  </si>
  <si>
    <t>批号：20260310-20260311( 投料量1000万片）    100片/板*480瓶/件</t>
  </si>
  <si>
    <t>批号：20260316/0322( 投料量80万粒）   12粒/板*2*300盒/件</t>
  </si>
  <si>
    <t>批号：20260323投料量80万粒）             12粒/板*2*300盒/件</t>
  </si>
  <si>
    <t>批号：20260323( 投料量80万粒）   12粒/板*3*300盒/件</t>
  </si>
  <si>
    <t xml:space="preserve">批号：20260324( 投料量35万粒）                  6粒/板*300盒/件   </t>
  </si>
  <si>
    <t>批号：20260326( 投料量50万粒）         8片/2板*300盒/件</t>
  </si>
  <si>
    <t>批号：20260326( 投料量50万粒）              7片/板*200盒/件</t>
  </si>
  <si>
    <t xml:space="preserve">批号：20260318-20( 投料量1500万片）         100片/瓶*480瓶/件   </t>
  </si>
  <si>
    <t>肖文众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</si>
</sst>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7">
    <font>
      <sz val="11"/>
      <color theme="1"/>
      <name val="宋体"/>
      <charset val="134"/>
      <scheme val="minor"/>
    </font>
    <font>
      <sz val="12"/>
      <color rgb="FF000000"/>
      <name val="华文细黑"/>
      <charset val="134"/>
    </font>
    <font>
      <sz val="12"/>
      <color rgb="FF000000"/>
      <name val="华文细黑"/>
      <charset val="0"/>
    </font>
    <font>
      <sz val="11"/>
      <color theme="1"/>
      <name val="微软雅黑"/>
      <charset val="134"/>
    </font>
    <font>
      <sz val="14"/>
      <color rgb="FF000000"/>
      <name val="华文细黑"/>
      <charset val="134"/>
    </font>
    <font>
      <sz val="12"/>
      <name val="Dotum"/>
      <charset val="0"/>
    </font>
    <font>
      <sz val="14"/>
      <color rgb="FF000000"/>
      <name val="华文细黑"/>
      <charset val="0"/>
    </font>
    <font>
      <sz val="11"/>
      <color rgb="FF000000"/>
      <name val="Microsoft YaHei"/>
      <charset val="134"/>
    </font>
    <font>
      <b/>
      <sz val="14"/>
      <color rgb="FF000000"/>
      <name val="华文细黑"/>
      <charset val="134"/>
    </font>
    <font>
      <sz val="12"/>
      <name val="华文细黑"/>
      <charset val="134"/>
    </font>
    <font>
      <sz val="12"/>
      <color rgb="FF002060"/>
      <name val="Microsoft YaHei"/>
      <charset val="134"/>
    </font>
    <font>
      <sz val="10"/>
      <color theme="1"/>
      <name val="微软雅黑"/>
      <charset val="134"/>
    </font>
    <font>
      <b/>
      <u/>
      <sz val="16"/>
      <color rgb="FF0D0D0D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1"/>
      <color rgb="FF0D0D0D"/>
      <name val="宋体"/>
      <charset val="134"/>
    </font>
    <font>
      <b/>
      <sz val="12"/>
      <color rgb="FF0D0D0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56"/>
      <name val="Microsoft Ya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37" applyNumberFormat="0" applyAlignment="0" applyProtection="0">
      <alignment vertical="center"/>
    </xf>
    <xf numFmtId="0" fontId="26" fillId="8" borderId="38" applyNumberFormat="0" applyAlignment="0" applyProtection="0">
      <alignment vertical="center"/>
    </xf>
    <xf numFmtId="0" fontId="27" fillId="8" borderId="37" applyNumberFormat="0" applyAlignment="0" applyProtection="0">
      <alignment vertical="center"/>
    </xf>
    <xf numFmtId="0" fontId="28" fillId="9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left" wrapText="1"/>
    </xf>
    <xf numFmtId="176" fontId="1" fillId="0" borderId="4" xfId="0" applyNumberFormat="1" applyFont="1" applyFill="1" applyBorder="1" applyAlignment="1">
      <alignment horizontal="left" vertical="center" wrapText="1"/>
    </xf>
    <xf numFmtId="176" fontId="1" fillId="0" borderId="5" xfId="0" applyNumberFormat="1" applyFont="1" applyFill="1" applyBorder="1" applyAlignment="1">
      <alignment horizontal="left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textRotation="255" wrapText="1"/>
    </xf>
    <xf numFmtId="49" fontId="1" fillId="0" borderId="5" xfId="0" applyNumberFormat="1" applyFont="1" applyFill="1" applyBorder="1" applyAlignment="1">
      <alignment horizontal="center" vertical="center" textRotation="255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textRotation="255"/>
    </xf>
    <xf numFmtId="0" fontId="2" fillId="0" borderId="7" xfId="0" applyNumberFormat="1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textRotation="255"/>
    </xf>
    <xf numFmtId="176" fontId="2" fillId="0" borderId="12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 textRotation="255"/>
    </xf>
    <xf numFmtId="176" fontId="2" fillId="0" borderId="7" xfId="0" applyNumberFormat="1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left"/>
    </xf>
    <xf numFmtId="176" fontId="2" fillId="0" borderId="7" xfId="0" applyNumberFormat="1" applyFont="1" applyFill="1" applyBorder="1" applyAlignment="1">
      <alignment horizontal="center"/>
    </xf>
    <xf numFmtId="176" fontId="2" fillId="0" borderId="14" xfId="0" applyNumberFormat="1" applyFont="1" applyFill="1" applyBorder="1" applyAlignment="1">
      <alignment horizontal="center"/>
    </xf>
    <xf numFmtId="176" fontId="2" fillId="0" borderId="6" xfId="0" applyNumberFormat="1" applyFont="1" applyFill="1" applyBorder="1" applyAlignment="1">
      <alignment horizontal="center"/>
    </xf>
    <xf numFmtId="176" fontId="2" fillId="0" borderId="7" xfId="0" applyNumberFormat="1" applyFont="1" applyFill="1" applyBorder="1" applyAlignment="1">
      <alignment horizontal="center" vertical="center" textRotation="255"/>
    </xf>
    <xf numFmtId="176" fontId="2" fillId="0" borderId="1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 textRotation="255"/>
    </xf>
    <xf numFmtId="176" fontId="2" fillId="0" borderId="1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textRotation="255"/>
    </xf>
    <xf numFmtId="176" fontId="2" fillId="0" borderId="5" xfId="0" applyNumberFormat="1" applyFont="1" applyFill="1" applyBorder="1" applyAlignment="1">
      <alignment horizontal="center" vertical="center" textRotation="255"/>
    </xf>
    <xf numFmtId="176" fontId="2" fillId="0" borderId="10" xfId="0" applyNumberFormat="1" applyFont="1" applyFill="1" applyBorder="1" applyAlignment="1">
      <alignment horizontal="center" vertical="center" textRotation="255"/>
    </xf>
    <xf numFmtId="176" fontId="2" fillId="0" borderId="4" xfId="0" applyNumberFormat="1" applyFont="1" applyFill="1" applyBorder="1" applyAlignment="1">
      <alignment horizontal="center" vertical="center" textRotation="255" wrapText="1"/>
    </xf>
    <xf numFmtId="176" fontId="2" fillId="0" borderId="15" xfId="0" applyNumberFormat="1" applyFont="1" applyFill="1" applyBorder="1" applyAlignment="1">
      <alignment horizontal="center" vertical="center"/>
    </xf>
    <xf numFmtId="176" fontId="2" fillId="0" borderId="16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17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left"/>
    </xf>
    <xf numFmtId="176" fontId="1" fillId="0" borderId="7" xfId="0" applyNumberFormat="1" applyFont="1" applyFill="1" applyBorder="1" applyAlignment="1">
      <alignment horizontal="center"/>
    </xf>
    <xf numFmtId="176" fontId="1" fillId="0" borderId="14" xfId="0" applyNumberFormat="1" applyFont="1" applyFill="1" applyBorder="1" applyAlignment="1">
      <alignment horizontal="center"/>
    </xf>
    <xf numFmtId="176" fontId="1" fillId="0" borderId="6" xfId="0" applyNumberFormat="1" applyFont="1" applyFill="1" applyBorder="1" applyAlignment="1">
      <alignment horizontal="center"/>
    </xf>
    <xf numFmtId="176" fontId="1" fillId="0" borderId="18" xfId="0" applyNumberFormat="1" applyFont="1" applyFill="1" applyBorder="1" applyAlignment="1">
      <alignment horizontal="center" vertical="center" wrapText="1"/>
    </xf>
    <xf numFmtId="176" fontId="7" fillId="0" borderId="18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 textRotation="255"/>
    </xf>
    <xf numFmtId="176" fontId="1" fillId="0" borderId="14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6" fontId="1" fillId="0" borderId="19" xfId="0" applyNumberFormat="1" applyFont="1" applyFill="1" applyBorder="1" applyAlignment="1">
      <alignment horizontal="center" vertical="center" wrapText="1"/>
    </xf>
    <xf numFmtId="176" fontId="7" fillId="0" borderId="19" xfId="0" applyNumberFormat="1" applyFont="1" applyFill="1" applyBorder="1" applyAlignment="1">
      <alignment horizontal="center" vertical="center" wrapText="1"/>
    </xf>
    <xf numFmtId="176" fontId="1" fillId="0" borderId="15" xfId="0" applyNumberFormat="1" applyFont="1" applyFill="1" applyBorder="1" applyAlignment="1">
      <alignment horizontal="center" vertical="center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17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textRotation="255" wrapText="1"/>
    </xf>
    <xf numFmtId="176" fontId="1" fillId="0" borderId="9" xfId="0" applyNumberFormat="1" applyFont="1" applyFill="1" applyBorder="1" applyAlignment="1">
      <alignment horizontal="center" vertical="center" textRotation="255" wrapText="1"/>
    </xf>
    <xf numFmtId="176" fontId="1" fillId="0" borderId="10" xfId="0" applyNumberFormat="1" applyFont="1" applyFill="1" applyBorder="1" applyAlignment="1">
      <alignment horizontal="center" vertical="center" textRotation="255" wrapText="1"/>
    </xf>
    <xf numFmtId="176" fontId="1" fillId="0" borderId="10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left"/>
    </xf>
    <xf numFmtId="176" fontId="2" fillId="0" borderId="5" xfId="0" applyNumberFormat="1" applyFont="1" applyFill="1" applyBorder="1" applyAlignment="1">
      <alignment horizontal="left"/>
    </xf>
    <xf numFmtId="176" fontId="2" fillId="0" borderId="4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 vertical="center" wrapText="1"/>
    </xf>
    <xf numFmtId="176" fontId="2" fillId="0" borderId="20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textRotation="255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left"/>
    </xf>
    <xf numFmtId="176" fontId="1" fillId="0" borderId="5" xfId="0" applyNumberFormat="1" applyFont="1" applyFill="1" applyBorder="1" applyAlignment="1">
      <alignment horizontal="left"/>
    </xf>
    <xf numFmtId="176" fontId="1" fillId="0" borderId="4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76" fontId="1" fillId="0" borderId="5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 textRotation="255"/>
    </xf>
    <xf numFmtId="176" fontId="9" fillId="0" borderId="5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 textRotation="255"/>
    </xf>
    <xf numFmtId="176" fontId="1" fillId="0" borderId="9" xfId="0" applyNumberFormat="1" applyFont="1" applyFill="1" applyBorder="1" applyAlignment="1">
      <alignment horizontal="center" vertical="center"/>
    </xf>
    <xf numFmtId="176" fontId="9" fillId="0" borderId="4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left" wrapText="1"/>
    </xf>
    <xf numFmtId="176" fontId="2" fillId="0" borderId="4" xfId="0" applyNumberFormat="1" applyFont="1" applyFill="1" applyBorder="1" applyAlignment="1">
      <alignment horizontal="left" vertical="center" wrapText="1"/>
    </xf>
    <xf numFmtId="176" fontId="2" fillId="0" borderId="5" xfId="0" applyNumberFormat="1" applyFont="1" applyFill="1" applyBorder="1" applyAlignment="1">
      <alignment horizontal="left" wrapText="1"/>
    </xf>
    <xf numFmtId="176" fontId="2" fillId="0" borderId="7" xfId="0" applyNumberFormat="1" applyFont="1" applyFill="1" applyBorder="1" applyAlignment="1">
      <alignment horizontal="center" vertical="center" textRotation="255" wrapText="1"/>
    </xf>
    <xf numFmtId="49" fontId="2" fillId="0" borderId="7" xfId="0" applyNumberFormat="1" applyFont="1" applyFill="1" applyBorder="1" applyAlignment="1">
      <alignment horizontal="center" vertical="center" textRotation="255"/>
    </xf>
    <xf numFmtId="176" fontId="2" fillId="0" borderId="3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vertical="center" textRotation="255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76" fontId="2" fillId="0" borderId="21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6" fontId="2" fillId="0" borderId="22" xfId="0" applyNumberFormat="1" applyFont="1" applyFill="1" applyBorder="1" applyAlignment="1">
      <alignment horizontal="center" vertical="center"/>
    </xf>
    <xf numFmtId="176" fontId="2" fillId="0" borderId="23" xfId="0" applyNumberFormat="1" applyFont="1" applyFill="1" applyBorder="1" applyAlignment="1">
      <alignment horizontal="center" vertical="center"/>
    </xf>
    <xf numFmtId="176" fontId="2" fillId="0" borderId="24" xfId="0" applyNumberFormat="1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Fill="1">
      <alignment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176" fontId="10" fillId="0" borderId="3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left" wrapText="1"/>
    </xf>
    <xf numFmtId="176" fontId="10" fillId="0" borderId="4" xfId="0" applyNumberFormat="1" applyFont="1" applyFill="1" applyBorder="1" applyAlignment="1">
      <alignment horizontal="left" vertical="center" wrapText="1"/>
    </xf>
    <xf numFmtId="176" fontId="10" fillId="0" borderId="5" xfId="0" applyNumberFormat="1" applyFont="1" applyFill="1" applyBorder="1" applyAlignment="1">
      <alignment horizontal="left" wrapText="1"/>
    </xf>
    <xf numFmtId="176" fontId="10" fillId="0" borderId="4" xfId="0" applyNumberFormat="1" applyFont="1" applyFill="1" applyBorder="1" applyAlignment="1">
      <alignment horizontal="center" vertical="center" wrapText="1"/>
    </xf>
    <xf numFmtId="176" fontId="10" fillId="0" borderId="5" xfId="0" applyNumberFormat="1" applyFont="1" applyFill="1" applyBorder="1" applyAlignment="1">
      <alignment horizontal="center" vertical="center" wrapText="1"/>
    </xf>
    <xf numFmtId="176" fontId="10" fillId="0" borderId="18" xfId="0" applyNumberFormat="1" applyFont="1" applyFill="1" applyBorder="1" applyAlignment="1">
      <alignment horizontal="center" vertical="center" wrapText="1"/>
    </xf>
    <xf numFmtId="176" fontId="10" fillId="0" borderId="5" xfId="0" applyNumberFormat="1" applyFont="1" applyFill="1" applyBorder="1" applyAlignment="1">
      <alignment horizontal="center" vertical="center" textRotation="255" wrapText="1"/>
    </xf>
    <xf numFmtId="176" fontId="10" fillId="0" borderId="9" xfId="0" applyNumberFormat="1" applyFont="1" applyFill="1" applyBorder="1" applyAlignment="1">
      <alignment horizontal="center" vertical="center" textRotation="255" wrapText="1"/>
    </xf>
    <xf numFmtId="176" fontId="10" fillId="0" borderId="9" xfId="0" applyNumberFormat="1" applyFont="1" applyFill="1" applyBorder="1" applyAlignment="1">
      <alignment horizontal="center" vertical="center" wrapText="1"/>
    </xf>
    <xf numFmtId="176" fontId="10" fillId="0" borderId="10" xfId="0" applyNumberFormat="1" applyFont="1" applyFill="1" applyBorder="1" applyAlignment="1">
      <alignment horizontal="center" vertical="center" textRotation="255" wrapText="1"/>
    </xf>
    <xf numFmtId="176" fontId="10" fillId="0" borderId="10" xfId="0" applyNumberFormat="1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176" fontId="10" fillId="0" borderId="19" xfId="0" applyNumberFormat="1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176" fontId="10" fillId="0" borderId="8" xfId="0" applyNumberFormat="1" applyFont="1" applyFill="1" applyBorder="1" applyAlignment="1">
      <alignment horizontal="center" vertical="center" wrapText="1"/>
    </xf>
    <xf numFmtId="176" fontId="10" fillId="0" borderId="26" xfId="0" applyNumberFormat="1" applyFont="1" applyFill="1" applyBorder="1" applyAlignment="1">
      <alignment horizontal="center" vertical="center" wrapText="1"/>
    </xf>
    <xf numFmtId="176" fontId="2" fillId="0" borderId="13" xfId="0" applyNumberFormat="1" applyFont="1" applyFill="1" applyBorder="1" applyAlignment="1">
      <alignment horizontal="center" vertical="center" wrapText="1"/>
    </xf>
    <xf numFmtId="176" fontId="2" fillId="0" borderId="27" xfId="0" applyNumberFormat="1" applyFont="1" applyFill="1" applyBorder="1" applyAlignment="1">
      <alignment horizontal="center" vertical="center"/>
    </xf>
    <xf numFmtId="176" fontId="2" fillId="0" borderId="28" xfId="0" applyNumberFormat="1" applyFont="1" applyFill="1" applyBorder="1" applyAlignment="1">
      <alignment horizontal="center" vertical="center"/>
    </xf>
    <xf numFmtId="176" fontId="2" fillId="0" borderId="28" xfId="0" applyNumberFormat="1" applyFont="1" applyFill="1" applyBorder="1" applyAlignment="1">
      <alignment horizontal="center" vertical="center" wrapText="1"/>
    </xf>
    <xf numFmtId="176" fontId="1" fillId="0" borderId="25" xfId="0" applyNumberFormat="1" applyFont="1" applyFill="1" applyBorder="1" applyAlignment="1">
      <alignment horizontal="center" vertical="center" wrapText="1"/>
    </xf>
    <xf numFmtId="176" fontId="7" fillId="0" borderId="4" xfId="0" applyNumberFormat="1" applyFont="1" applyFill="1" applyBorder="1" applyAlignment="1">
      <alignment horizontal="left"/>
    </xf>
    <xf numFmtId="176" fontId="7" fillId="0" borderId="5" xfId="0" applyNumberFormat="1" applyFont="1" applyFill="1" applyBorder="1" applyAlignment="1">
      <alignment horizontal="left"/>
    </xf>
    <xf numFmtId="176" fontId="7" fillId="0" borderId="4" xfId="0" applyNumberFormat="1" applyFont="1" applyFill="1" applyBorder="1" applyAlignment="1">
      <alignment horizontal="center"/>
    </xf>
    <xf numFmtId="176" fontId="7" fillId="0" borderId="1" xfId="0" applyNumberFormat="1" applyFont="1" applyFill="1" applyBorder="1" applyAlignment="1">
      <alignment horizontal="center"/>
    </xf>
    <xf numFmtId="176" fontId="7" fillId="0" borderId="5" xfId="0" applyNumberFormat="1" applyFont="1" applyFill="1" applyBorder="1" applyAlignment="1">
      <alignment horizontal="center"/>
    </xf>
    <xf numFmtId="176" fontId="2" fillId="0" borderId="14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/>
    </xf>
    <xf numFmtId="176" fontId="7" fillId="0" borderId="27" xfId="0" applyNumberFormat="1" applyFont="1" applyFill="1" applyBorder="1" applyAlignment="1">
      <alignment horizontal="center" vertical="center"/>
    </xf>
    <xf numFmtId="176" fontId="7" fillId="0" borderId="28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0" borderId="4" xfId="0" applyNumberFormat="1" applyFont="1" applyFill="1" applyBorder="1" applyAlignment="1">
      <alignment horizontal="center" vertical="center" textRotation="255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176" fontId="7" fillId="0" borderId="9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5" fillId="4" borderId="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1"/>
  <sheetViews>
    <sheetView tabSelected="1" zoomScale="82" zoomScaleNormal="82" topLeftCell="A47" workbookViewId="0">
      <selection activeCell="Q57" sqref="Q57"/>
    </sheetView>
  </sheetViews>
  <sheetFormatPr defaultColWidth="12.75" defaultRowHeight="16.5"/>
  <cols>
    <col min="1" max="1" width="12" style="183" customWidth="1"/>
    <col min="2" max="2" width="18.25" style="183" customWidth="1"/>
    <col min="3" max="3" width="12.75" style="183"/>
    <col min="4" max="4" width="12.7916666666667" style="183" customWidth="1"/>
    <col min="5" max="8" width="12.75" style="183"/>
    <col min="9" max="9" width="15.875" style="183" customWidth="1"/>
    <col min="10" max="10" width="22.35" style="183" customWidth="1"/>
    <col min="11" max="11" width="5.18333333333333" style="183" customWidth="1"/>
    <col min="12" max="12" width="5.94166666666667" style="183" customWidth="1"/>
    <col min="13" max="13" width="8.53333333333333" style="183" customWidth="1"/>
    <col min="14" max="14" width="7.375" style="183" customWidth="1"/>
    <col min="15" max="15" width="9.75" style="183" customWidth="1"/>
    <col min="16" max="16" width="7.61666666666667" style="183" customWidth="1"/>
    <col min="17" max="17" width="5.63333333333333" style="183" customWidth="1"/>
    <col min="18" max="16384" width="12.75" style="183"/>
  </cols>
  <sheetData>
    <row r="1" s="183" customFormat="1" ht="20.25" spans="1:10">
      <c r="A1" s="184" t="s">
        <v>0</v>
      </c>
      <c r="B1" s="184"/>
      <c r="C1" s="184"/>
      <c r="D1" s="184"/>
      <c r="E1" s="184"/>
      <c r="F1" s="184"/>
      <c r="G1" s="184"/>
      <c r="H1" s="184"/>
      <c r="I1" s="184"/>
      <c r="J1" s="184"/>
    </row>
    <row r="2" s="183" customFormat="1" ht="27" spans="1:10">
      <c r="A2" s="185" t="s">
        <v>1</v>
      </c>
      <c r="B2" s="185" t="s">
        <v>2</v>
      </c>
      <c r="C2" s="185" t="s">
        <v>3</v>
      </c>
      <c r="D2" s="185" t="s">
        <v>4</v>
      </c>
      <c r="E2" s="185" t="s">
        <v>5</v>
      </c>
      <c r="F2" s="185" t="s">
        <v>6</v>
      </c>
      <c r="G2" s="185" t="s">
        <v>7</v>
      </c>
      <c r="H2" s="185" t="s">
        <v>8</v>
      </c>
      <c r="I2" s="185" t="s">
        <v>9</v>
      </c>
      <c r="J2" s="185" t="s">
        <v>10</v>
      </c>
    </row>
    <row r="3" s="183" customFormat="1" ht="24" customHeight="1" spans="1:10">
      <c r="A3" s="186">
        <v>1</v>
      </c>
      <c r="B3" s="185" t="s">
        <v>11</v>
      </c>
      <c r="C3" s="185" t="s">
        <v>12</v>
      </c>
      <c r="D3" s="185">
        <v>20260103</v>
      </c>
      <c r="E3" s="185">
        <v>200</v>
      </c>
      <c r="F3" s="185">
        <v>313.5</v>
      </c>
      <c r="G3" s="187" t="s">
        <v>13</v>
      </c>
      <c r="H3" s="187">
        <f>I3*10000/100</f>
        <v>19320</v>
      </c>
      <c r="I3" s="188">
        <v>193.2</v>
      </c>
      <c r="J3" s="187" t="s">
        <v>14</v>
      </c>
    </row>
    <row r="4" s="183" customFormat="1" spans="1:10">
      <c r="A4" s="189">
        <v>2</v>
      </c>
      <c r="B4" s="189" t="s">
        <v>15</v>
      </c>
      <c r="C4" s="189" t="s">
        <v>16</v>
      </c>
      <c r="D4" s="189">
        <v>20260103</v>
      </c>
      <c r="E4" s="189">
        <v>35</v>
      </c>
      <c r="F4" s="189">
        <v>485</v>
      </c>
      <c r="G4" s="189" t="s">
        <v>17</v>
      </c>
      <c r="H4" s="189">
        <f>I4*10000/8</f>
        <v>41450</v>
      </c>
      <c r="I4" s="189">
        <v>33.16</v>
      </c>
      <c r="J4" s="190" t="s">
        <v>18</v>
      </c>
    </row>
    <row r="5" s="183" customFormat="1" spans="1:10">
      <c r="A5" s="187">
        <v>3</v>
      </c>
      <c r="B5" s="187" t="s">
        <v>19</v>
      </c>
      <c r="C5" s="187" t="s">
        <v>20</v>
      </c>
      <c r="D5" s="191">
        <v>20260104</v>
      </c>
      <c r="E5" s="187">
        <v>250</v>
      </c>
      <c r="F5" s="187">
        <v>267</v>
      </c>
      <c r="G5" s="187" t="s">
        <v>21</v>
      </c>
      <c r="H5" s="187">
        <f>I5*10000/100</f>
        <v>24470</v>
      </c>
      <c r="I5" s="188">
        <v>244.7</v>
      </c>
      <c r="J5" s="187" t="s">
        <v>14</v>
      </c>
    </row>
    <row r="6" s="183" customFormat="1" spans="1:10">
      <c r="A6" s="187">
        <v>4</v>
      </c>
      <c r="B6" s="185" t="s">
        <v>22</v>
      </c>
      <c r="C6" s="185" t="s">
        <v>23</v>
      </c>
      <c r="D6" s="191">
        <v>20260104</v>
      </c>
      <c r="E6" s="187">
        <v>120</v>
      </c>
      <c r="F6" s="187">
        <v>762.5</v>
      </c>
      <c r="G6" s="187" t="s">
        <v>24</v>
      </c>
      <c r="H6" s="187">
        <f>I6/24*10000</f>
        <v>48700</v>
      </c>
      <c r="I6" s="188">
        <v>116.88</v>
      </c>
      <c r="J6" s="187" t="s">
        <v>25</v>
      </c>
    </row>
    <row r="7" s="183" customFormat="1" ht="24" customHeight="1" spans="1:10">
      <c r="A7" s="185">
        <v>5</v>
      </c>
      <c r="B7" s="192"/>
      <c r="C7" s="192"/>
      <c r="D7" s="187">
        <v>20260116</v>
      </c>
      <c r="E7" s="187">
        <v>120</v>
      </c>
      <c r="F7" s="187">
        <v>655.5</v>
      </c>
      <c r="G7" s="187">
        <f>H7/400</f>
        <v>149</v>
      </c>
      <c r="H7" s="187">
        <f>I7/20*10000</f>
        <v>59600</v>
      </c>
      <c r="I7" s="187">
        <v>119.2</v>
      </c>
      <c r="J7" s="193" t="s">
        <v>26</v>
      </c>
    </row>
    <row r="8" s="183" customFormat="1" ht="24" customHeight="1" spans="1:10">
      <c r="A8" s="185">
        <v>5</v>
      </c>
      <c r="B8" s="185" t="s">
        <v>27</v>
      </c>
      <c r="C8" s="185" t="s">
        <v>28</v>
      </c>
      <c r="D8" s="185">
        <v>20260106</v>
      </c>
      <c r="E8" s="185">
        <v>150</v>
      </c>
      <c r="F8" s="185">
        <v>1530</v>
      </c>
      <c r="G8" s="187">
        <f>H8/480</f>
        <v>52</v>
      </c>
      <c r="H8" s="187">
        <f t="shared" ref="H8:H15" si="0">I8*10000/60</f>
        <v>24960</v>
      </c>
      <c r="I8" s="188">
        <v>149.76</v>
      </c>
      <c r="J8" s="185" t="s">
        <v>29</v>
      </c>
    </row>
    <row r="9" s="183" customFormat="1" ht="24" customHeight="1" spans="1:10">
      <c r="A9" s="192"/>
      <c r="B9" s="192"/>
      <c r="C9" s="192"/>
      <c r="D9" s="185">
        <v>20260107</v>
      </c>
      <c r="E9" s="185">
        <v>150</v>
      </c>
      <c r="F9" s="192"/>
      <c r="G9" s="187">
        <f t="shared" ref="G9:G15" si="1">H9/480</f>
        <v>52</v>
      </c>
      <c r="H9" s="187">
        <f t="shared" si="0"/>
        <v>24960</v>
      </c>
      <c r="I9" s="188">
        <v>149.76</v>
      </c>
      <c r="J9" s="192"/>
    </row>
    <row r="10" s="183" customFormat="1" ht="24" customHeight="1" spans="1:10">
      <c r="A10" s="192"/>
      <c r="B10" s="192"/>
      <c r="C10" s="192"/>
      <c r="D10" s="185">
        <v>20260108</v>
      </c>
      <c r="E10" s="185">
        <v>150</v>
      </c>
      <c r="F10" s="192"/>
      <c r="G10" s="187">
        <f t="shared" si="1"/>
        <v>53</v>
      </c>
      <c r="H10" s="187">
        <f t="shared" si="0"/>
        <v>25440</v>
      </c>
      <c r="I10" s="188">
        <v>152.64</v>
      </c>
      <c r="J10" s="192"/>
    </row>
    <row r="11" s="183" customFormat="1" ht="24" customHeight="1" spans="1:10">
      <c r="A11" s="192"/>
      <c r="B11" s="192"/>
      <c r="C11" s="192"/>
      <c r="D11" s="185">
        <v>20260109</v>
      </c>
      <c r="E11" s="185">
        <v>200</v>
      </c>
      <c r="F11" s="192"/>
      <c r="G11" s="187">
        <f t="shared" si="1"/>
        <v>69</v>
      </c>
      <c r="H11" s="187">
        <f t="shared" si="0"/>
        <v>33120</v>
      </c>
      <c r="I11" s="188">
        <v>198.72</v>
      </c>
      <c r="J11" s="192"/>
    </row>
    <row r="12" s="183" customFormat="1" ht="24" customHeight="1" spans="1:10">
      <c r="A12" s="192"/>
      <c r="B12" s="192"/>
      <c r="C12" s="192"/>
      <c r="D12" s="185">
        <v>20260110</v>
      </c>
      <c r="E12" s="185">
        <v>200</v>
      </c>
      <c r="F12" s="192"/>
      <c r="G12" s="187">
        <f t="shared" si="1"/>
        <v>69</v>
      </c>
      <c r="H12" s="187">
        <f t="shared" si="0"/>
        <v>33120</v>
      </c>
      <c r="I12" s="188">
        <v>198.72</v>
      </c>
      <c r="J12" s="192"/>
    </row>
    <row r="13" s="183" customFormat="1" ht="24" customHeight="1" spans="1:10">
      <c r="A13" s="192"/>
      <c r="B13" s="192"/>
      <c r="C13" s="192"/>
      <c r="D13" s="185">
        <v>20260111</v>
      </c>
      <c r="E13" s="185">
        <v>200</v>
      </c>
      <c r="F13" s="192"/>
      <c r="G13" s="187">
        <f t="shared" si="1"/>
        <v>69</v>
      </c>
      <c r="H13" s="187">
        <f t="shared" si="0"/>
        <v>33120</v>
      </c>
      <c r="I13" s="188">
        <v>198.72</v>
      </c>
      <c r="J13" s="192"/>
    </row>
    <row r="14" s="183" customFormat="1" ht="24" customHeight="1" spans="1:10">
      <c r="A14" s="192"/>
      <c r="B14" s="192"/>
      <c r="C14" s="192"/>
      <c r="D14" s="185">
        <v>20260112</v>
      </c>
      <c r="E14" s="185">
        <v>200</v>
      </c>
      <c r="F14" s="192"/>
      <c r="G14" s="187">
        <f t="shared" si="1"/>
        <v>69</v>
      </c>
      <c r="H14" s="187">
        <f t="shared" si="0"/>
        <v>33120</v>
      </c>
      <c r="I14" s="188">
        <v>198.72</v>
      </c>
      <c r="J14" s="192"/>
    </row>
    <row r="15" s="183" customFormat="1" ht="24" customHeight="1" spans="1:10">
      <c r="A15" s="192"/>
      <c r="B15" s="192"/>
      <c r="C15" s="192"/>
      <c r="D15" s="185">
        <v>20260113</v>
      </c>
      <c r="E15" s="185">
        <v>200</v>
      </c>
      <c r="F15" s="192"/>
      <c r="G15" s="187">
        <f t="shared" si="1"/>
        <v>69</v>
      </c>
      <c r="H15" s="187">
        <f t="shared" si="0"/>
        <v>33120</v>
      </c>
      <c r="I15" s="188">
        <v>198.72</v>
      </c>
      <c r="J15" s="192"/>
    </row>
    <row r="16" s="183" customFormat="1" spans="1:10">
      <c r="A16" s="194">
        <v>6</v>
      </c>
      <c r="B16" s="194" t="s">
        <v>30</v>
      </c>
      <c r="C16" s="194" t="s">
        <v>16</v>
      </c>
      <c r="D16" s="194">
        <v>20260114</v>
      </c>
      <c r="E16" s="194">
        <v>35</v>
      </c>
      <c r="F16" s="195">
        <v>522.5</v>
      </c>
      <c r="G16" s="189" t="s">
        <v>31</v>
      </c>
      <c r="H16" s="189">
        <f>I16/6*10000</f>
        <v>56180</v>
      </c>
      <c r="I16" s="189">
        <v>33.708</v>
      </c>
      <c r="J16" s="189" t="s">
        <v>32</v>
      </c>
    </row>
    <row r="17" s="183" customFormat="1" spans="1:10">
      <c r="A17" s="185">
        <v>7</v>
      </c>
      <c r="B17" s="185" t="s">
        <v>33</v>
      </c>
      <c r="C17" s="185" t="s">
        <v>34</v>
      </c>
      <c r="D17" s="185">
        <v>20260117</v>
      </c>
      <c r="E17" s="187">
        <v>50</v>
      </c>
      <c r="F17" s="185">
        <v>1869</v>
      </c>
      <c r="G17" s="187">
        <f>H17/200</f>
        <v>342</v>
      </c>
      <c r="H17" s="187">
        <f t="shared" ref="H17:H21" si="2">I17*10000/7</f>
        <v>68400</v>
      </c>
      <c r="I17" s="187">
        <v>47.88</v>
      </c>
      <c r="J17" s="187" t="s">
        <v>35</v>
      </c>
    </row>
    <row r="18" s="183" customFormat="1" spans="1:10">
      <c r="A18" s="192"/>
      <c r="B18" s="192"/>
      <c r="C18" s="192"/>
      <c r="D18" s="185">
        <v>20260118</v>
      </c>
      <c r="E18" s="187">
        <v>50</v>
      </c>
      <c r="F18" s="192"/>
      <c r="G18" s="187" t="s">
        <v>36</v>
      </c>
      <c r="H18" s="187">
        <f t="shared" si="2"/>
        <v>70290</v>
      </c>
      <c r="I18" s="187">
        <v>49.203</v>
      </c>
      <c r="J18" s="187" t="s">
        <v>35</v>
      </c>
    </row>
    <row r="19" s="183" customFormat="1" spans="1:10">
      <c r="A19" s="192"/>
      <c r="B19" s="192"/>
      <c r="C19" s="192"/>
      <c r="D19" s="185">
        <v>20260119</v>
      </c>
      <c r="E19" s="185">
        <v>50</v>
      </c>
      <c r="F19" s="196"/>
      <c r="G19" s="187" t="s">
        <v>37</v>
      </c>
      <c r="H19" s="187">
        <f t="shared" si="2"/>
        <v>70310</v>
      </c>
      <c r="I19" s="187">
        <v>49.217</v>
      </c>
      <c r="J19" s="187" t="s">
        <v>35</v>
      </c>
    </row>
    <row r="20" s="183" customFormat="1" spans="1:10">
      <c r="A20" s="192"/>
      <c r="B20" s="192"/>
      <c r="C20" s="192"/>
      <c r="D20" s="185">
        <v>20260120</v>
      </c>
      <c r="E20" s="185">
        <v>50</v>
      </c>
      <c r="F20" s="187">
        <v>459.5</v>
      </c>
      <c r="G20" s="187" t="s">
        <v>38</v>
      </c>
      <c r="H20" s="187">
        <f>I20*10000/5</f>
        <v>31020</v>
      </c>
      <c r="I20" s="188">
        <v>15.51</v>
      </c>
      <c r="J20" s="187" t="s">
        <v>39</v>
      </c>
    </row>
    <row r="21" s="183" customFormat="1" spans="1:10">
      <c r="A21" s="192"/>
      <c r="B21" s="192"/>
      <c r="C21" s="192"/>
      <c r="D21" s="192"/>
      <c r="E21" s="192"/>
      <c r="F21" s="187">
        <v>469</v>
      </c>
      <c r="G21" s="187">
        <f>H21/200</f>
        <v>231</v>
      </c>
      <c r="H21" s="187">
        <f t="shared" si="2"/>
        <v>46200</v>
      </c>
      <c r="I21" s="188">
        <v>32.34</v>
      </c>
      <c r="J21" s="187" t="s">
        <v>35</v>
      </c>
    </row>
    <row r="22" s="183" customFormat="1" ht="24" customHeight="1" spans="1:10">
      <c r="A22" s="185">
        <v>8</v>
      </c>
      <c r="B22" s="187" t="s">
        <v>40</v>
      </c>
      <c r="C22" s="187" t="s">
        <v>41</v>
      </c>
      <c r="D22" s="187">
        <v>20260118</v>
      </c>
      <c r="E22" s="187">
        <v>80</v>
      </c>
      <c r="F22" s="185">
        <v>1163.5</v>
      </c>
      <c r="G22" s="187">
        <f>H22/300</f>
        <v>103</v>
      </c>
      <c r="H22" s="187">
        <f>I22/24*10000</f>
        <v>30900</v>
      </c>
      <c r="I22" s="187">
        <v>74.16</v>
      </c>
      <c r="J22" s="187" t="s">
        <v>42</v>
      </c>
    </row>
    <row r="23" s="183" customFormat="1" ht="24" customHeight="1" spans="1:10">
      <c r="A23" s="196"/>
      <c r="B23" s="187"/>
      <c r="C23" s="187"/>
      <c r="D23" s="187">
        <v>20260120</v>
      </c>
      <c r="E23" s="187">
        <v>80</v>
      </c>
      <c r="F23" s="196"/>
      <c r="G23" s="187" t="s">
        <v>43</v>
      </c>
      <c r="H23" s="187">
        <f>I23/24*10000</f>
        <v>31710</v>
      </c>
      <c r="I23" s="187">
        <v>76.104</v>
      </c>
      <c r="J23" s="187" t="s">
        <v>42</v>
      </c>
    </row>
    <row r="24" s="183" customFormat="1" spans="1:10">
      <c r="A24" s="187">
        <v>9</v>
      </c>
      <c r="B24" s="187" t="s">
        <v>44</v>
      </c>
      <c r="C24" s="187" t="s">
        <v>45</v>
      </c>
      <c r="D24" s="187">
        <v>20260122</v>
      </c>
      <c r="E24" s="187">
        <v>150</v>
      </c>
      <c r="F24" s="187">
        <v>826.9</v>
      </c>
      <c r="G24" s="187" t="s">
        <v>46</v>
      </c>
      <c r="H24" s="187">
        <f>I24/12*10000</f>
        <v>119130</v>
      </c>
      <c r="I24" s="187">
        <v>142.956</v>
      </c>
      <c r="J24" s="187" t="s">
        <v>47</v>
      </c>
    </row>
    <row r="25" s="183" customFormat="1" spans="1:10">
      <c r="A25" s="192">
        <v>10</v>
      </c>
      <c r="B25" s="192" t="s">
        <v>48</v>
      </c>
      <c r="C25" s="192" t="s">
        <v>12</v>
      </c>
      <c r="D25" s="196">
        <v>20260121</v>
      </c>
      <c r="E25" s="196">
        <v>500</v>
      </c>
      <c r="F25" s="192">
        <v>689.6</v>
      </c>
      <c r="G25" s="196">
        <f>H25/480</f>
        <v>103</v>
      </c>
      <c r="H25" s="196">
        <f>I25/100*10000</f>
        <v>49440</v>
      </c>
      <c r="I25" s="197">
        <v>494.4</v>
      </c>
      <c r="J25" s="192" t="s">
        <v>49</v>
      </c>
    </row>
    <row r="26" s="183" customFormat="1" spans="1:10">
      <c r="A26" s="192"/>
      <c r="B26" s="192"/>
      <c r="C26" s="192"/>
      <c r="D26" s="196">
        <v>20260122</v>
      </c>
      <c r="E26" s="187">
        <v>500</v>
      </c>
      <c r="F26" s="192"/>
      <c r="G26" s="196">
        <f>H26/480</f>
        <v>103</v>
      </c>
      <c r="H26" s="187">
        <f>I26/100*10000</f>
        <v>49440</v>
      </c>
      <c r="I26" s="188">
        <v>494.4</v>
      </c>
      <c r="J26" s="192"/>
    </row>
    <row r="27" s="183" customFormat="1" spans="1:10">
      <c r="A27" s="198" t="s">
        <v>50</v>
      </c>
      <c r="B27" s="198"/>
      <c r="C27" s="198"/>
      <c r="D27" s="198"/>
      <c r="E27" s="187">
        <f>SUM(E3:E26)</f>
        <v>3720</v>
      </c>
      <c r="F27" s="187">
        <f>SUM(F3:F26)</f>
        <v>10013.5</v>
      </c>
      <c r="G27" s="187"/>
      <c r="H27" s="187">
        <f>SUM(H3:H26)</f>
        <v>1057520</v>
      </c>
      <c r="I27" s="187">
        <f>SUM(I3:I26)</f>
        <v>3662.778</v>
      </c>
      <c r="J27" s="187"/>
    </row>
    <row r="28" s="183" customFormat="1" spans="1:10">
      <c r="A28" s="199" t="s">
        <v>51</v>
      </c>
      <c r="B28" s="199"/>
      <c r="C28" s="199"/>
      <c r="D28" s="199"/>
      <c r="E28" s="199"/>
      <c r="F28" s="199"/>
      <c r="G28" s="199"/>
      <c r="H28" s="199"/>
      <c r="I28" s="199" t="s">
        <v>52</v>
      </c>
      <c r="J28" s="199"/>
    </row>
    <row r="29" s="183" customFormat="1" spans="1:10">
      <c r="A29" s="199" t="s">
        <v>53</v>
      </c>
      <c r="B29" s="199"/>
      <c r="C29" s="199"/>
      <c r="D29" s="199"/>
      <c r="E29" s="199"/>
      <c r="F29" s="199"/>
      <c r="G29" s="199"/>
      <c r="H29" s="199"/>
      <c r="I29" s="199" t="s">
        <v>54</v>
      </c>
      <c r="J29" s="199"/>
    </row>
    <row r="30" s="183" customFormat="1" spans="1:10">
      <c r="A30" s="199"/>
      <c r="B30" s="199"/>
      <c r="C30" s="199"/>
      <c r="D30" s="199"/>
      <c r="E30" s="199"/>
      <c r="F30" s="199"/>
      <c r="G30" s="199"/>
      <c r="H30" s="199"/>
      <c r="I30" s="199"/>
      <c r="J30" s="199"/>
    </row>
    <row r="33" s="183" customFormat="1" ht="27" customHeight="1" spans="1:12">
      <c r="A33" s="184" t="s">
        <v>55</v>
      </c>
      <c r="B33" s="184"/>
      <c r="C33" s="184"/>
      <c r="D33" s="184"/>
      <c r="E33" s="184"/>
      <c r="F33" s="184"/>
      <c r="G33" s="184"/>
      <c r="H33" s="184"/>
      <c r="I33" s="184"/>
      <c r="J33" s="184"/>
      <c r="L33" s="200"/>
    </row>
    <row r="34" s="183" customFormat="1" ht="27" spans="1:12">
      <c r="A34" s="201" t="s">
        <v>1</v>
      </c>
      <c r="B34" s="201" t="s">
        <v>2</v>
      </c>
      <c r="C34" s="201" t="s">
        <v>3</v>
      </c>
      <c r="D34" s="201" t="s">
        <v>4</v>
      </c>
      <c r="E34" s="201" t="s">
        <v>5</v>
      </c>
      <c r="F34" s="201" t="s">
        <v>6</v>
      </c>
      <c r="G34" s="201" t="s">
        <v>7</v>
      </c>
      <c r="H34" s="201" t="s">
        <v>8</v>
      </c>
      <c r="I34" s="201" t="s">
        <v>9</v>
      </c>
      <c r="J34" s="201" t="s">
        <v>10</v>
      </c>
      <c r="L34" s="200"/>
    </row>
    <row r="35" s="183" customFormat="1" spans="1:12">
      <c r="A35" s="202">
        <v>1</v>
      </c>
      <c r="B35" s="202" t="s">
        <v>19</v>
      </c>
      <c r="C35" s="202" t="s">
        <v>20</v>
      </c>
      <c r="D35" s="202">
        <v>20260201</v>
      </c>
      <c r="E35" s="202">
        <v>250</v>
      </c>
      <c r="F35" s="202">
        <v>267.5</v>
      </c>
      <c r="G35" s="202" t="s">
        <v>56</v>
      </c>
      <c r="H35" s="202">
        <f>I35*10000/100</f>
        <v>24110</v>
      </c>
      <c r="I35" s="203">
        <v>241.1</v>
      </c>
      <c r="J35" s="202" t="s">
        <v>14</v>
      </c>
      <c r="L35" s="200"/>
    </row>
    <row r="36" s="183" customFormat="1" spans="1:12">
      <c r="A36" s="204">
        <v>2</v>
      </c>
      <c r="B36" s="204" t="s">
        <v>33</v>
      </c>
      <c r="C36" s="204" t="s">
        <v>34</v>
      </c>
      <c r="D36" s="205">
        <v>20260204</v>
      </c>
      <c r="E36" s="202">
        <v>50</v>
      </c>
      <c r="F36" s="201">
        <v>1636</v>
      </c>
      <c r="G36" s="202">
        <f>H36/400</f>
        <v>175</v>
      </c>
      <c r="H36" s="202">
        <f>I36*10000/7</f>
        <v>70000</v>
      </c>
      <c r="I36" s="203">
        <v>49</v>
      </c>
      <c r="J36" s="201" t="s">
        <v>57</v>
      </c>
      <c r="L36" s="200"/>
    </row>
    <row r="37" s="183" customFormat="1" spans="1:12">
      <c r="A37" s="204"/>
      <c r="B37" s="204"/>
      <c r="C37" s="204"/>
      <c r="D37" s="205">
        <v>20260205</v>
      </c>
      <c r="E37" s="202">
        <v>50</v>
      </c>
      <c r="F37" s="206"/>
      <c r="G37" s="202">
        <f>H37/400</f>
        <v>177.45</v>
      </c>
      <c r="H37" s="202">
        <f>I37/7*10000</f>
        <v>70980</v>
      </c>
      <c r="I37" s="203">
        <v>49.686</v>
      </c>
      <c r="J37" s="204"/>
      <c r="L37" s="200"/>
    </row>
    <row r="38" s="183" customFormat="1" ht="27" spans="1:12">
      <c r="A38" s="202">
        <v>3</v>
      </c>
      <c r="B38" s="202" t="s">
        <v>58</v>
      </c>
      <c r="C38" s="202" t="s">
        <v>59</v>
      </c>
      <c r="D38" s="205">
        <v>20260208</v>
      </c>
      <c r="E38" s="202">
        <v>500</v>
      </c>
      <c r="F38" s="202">
        <v>475.8</v>
      </c>
      <c r="G38" s="202">
        <f>H38/480</f>
        <v>106</v>
      </c>
      <c r="H38" s="202">
        <f>I38*10000/100</f>
        <v>50880</v>
      </c>
      <c r="I38" s="203">
        <v>508.8</v>
      </c>
      <c r="J38" s="202" t="s">
        <v>49</v>
      </c>
      <c r="L38" s="200"/>
    </row>
    <row r="39" s="183" customFormat="1" spans="1:12">
      <c r="A39" s="202">
        <v>4</v>
      </c>
      <c r="B39" s="202" t="s">
        <v>60</v>
      </c>
      <c r="C39" s="202" t="s">
        <v>28</v>
      </c>
      <c r="D39" s="202">
        <v>20260225</v>
      </c>
      <c r="E39" s="202">
        <v>500</v>
      </c>
      <c r="F39" s="202">
        <v>609.1</v>
      </c>
      <c r="G39" s="202">
        <f>H39/480</f>
        <v>100</v>
      </c>
      <c r="H39" s="202">
        <f>I39*10000/100</f>
        <v>48000</v>
      </c>
      <c r="I39" s="202">
        <v>480</v>
      </c>
      <c r="J39" s="202" t="s">
        <v>49</v>
      </c>
      <c r="L39" s="200"/>
    </row>
    <row r="40" s="183" customFormat="1" spans="1:12">
      <c r="A40" s="207">
        <v>5</v>
      </c>
      <c r="B40" s="207" t="s">
        <v>40</v>
      </c>
      <c r="C40" s="207" t="s">
        <v>41</v>
      </c>
      <c r="D40" s="207">
        <v>20260225</v>
      </c>
      <c r="E40" s="207">
        <v>80</v>
      </c>
      <c r="F40" s="207">
        <v>855.5</v>
      </c>
      <c r="G40" s="207" t="s">
        <v>61</v>
      </c>
      <c r="H40" s="207">
        <f>I40*10000/24</f>
        <v>31740</v>
      </c>
      <c r="I40" s="207">
        <v>76.176</v>
      </c>
      <c r="J40" s="207" t="s">
        <v>42</v>
      </c>
      <c r="L40" s="200"/>
    </row>
    <row r="41" s="183" customFormat="1" ht="24" customHeight="1" spans="1:12">
      <c r="A41" s="202">
        <v>6</v>
      </c>
      <c r="B41" s="202" t="s">
        <v>30</v>
      </c>
      <c r="C41" s="202" t="s">
        <v>16</v>
      </c>
      <c r="D41" s="202">
        <v>20260226</v>
      </c>
      <c r="E41" s="202">
        <v>35</v>
      </c>
      <c r="F41" s="208">
        <v>425.5</v>
      </c>
      <c r="G41" s="209"/>
      <c r="H41" s="209"/>
      <c r="I41" s="209"/>
      <c r="J41" s="209" t="s">
        <v>32</v>
      </c>
      <c r="L41" s="200"/>
    </row>
    <row r="42" s="183" customFormat="1" spans="1:12">
      <c r="A42" s="210" t="s">
        <v>50</v>
      </c>
      <c r="B42" s="211"/>
      <c r="C42" s="211"/>
      <c r="D42" s="212"/>
      <c r="E42" s="202">
        <f>SUM(E35:E41)</f>
        <v>1465</v>
      </c>
      <c r="F42" s="202"/>
      <c r="G42" s="202"/>
      <c r="H42" s="202">
        <f>SUM(H35:H41)</f>
        <v>295710</v>
      </c>
      <c r="I42" s="202">
        <f>SUM(I35:I41)</f>
        <v>1404.762</v>
      </c>
      <c r="J42" s="206"/>
      <c r="L42" s="200"/>
    </row>
    <row r="43" s="183" customFormat="1" spans="1:12">
      <c r="A43" s="199" t="s">
        <v>51</v>
      </c>
      <c r="B43" s="199"/>
      <c r="C43" s="199"/>
      <c r="D43" s="199"/>
      <c r="E43" s="199"/>
      <c r="F43" s="199"/>
      <c r="G43" s="199"/>
      <c r="H43" s="199"/>
      <c r="I43" s="199" t="s">
        <v>52</v>
      </c>
      <c r="J43" s="199"/>
      <c r="L43" s="200"/>
    </row>
    <row r="44" s="183" customFormat="1" spans="1:12">
      <c r="A44" s="199" t="s">
        <v>62</v>
      </c>
      <c r="B44" s="199"/>
      <c r="C44" s="199"/>
      <c r="D44" s="199"/>
      <c r="E44" s="199"/>
      <c r="F44" s="199"/>
      <c r="G44" s="199"/>
      <c r="H44" s="199"/>
      <c r="I44" s="199" t="s">
        <v>54</v>
      </c>
      <c r="J44" s="199"/>
      <c r="L44" s="200"/>
    </row>
    <row r="45" s="183" customFormat="1" spans="1:12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L45" s="200"/>
    </row>
    <row r="49" s="183" customFormat="1" ht="20.25" spans="1:10">
      <c r="A49" s="184" t="s">
        <v>63</v>
      </c>
      <c r="B49" s="184"/>
      <c r="C49" s="184"/>
      <c r="D49" s="184"/>
      <c r="E49" s="184"/>
      <c r="F49" s="184"/>
      <c r="G49" s="184"/>
      <c r="H49" s="184"/>
      <c r="I49" s="184"/>
      <c r="J49" s="184"/>
    </row>
    <row r="50" s="183" customFormat="1" ht="27" spans="1:10">
      <c r="A50" s="185" t="s">
        <v>1</v>
      </c>
      <c r="B50" s="185" t="s">
        <v>2</v>
      </c>
      <c r="C50" s="185" t="s">
        <v>3</v>
      </c>
      <c r="D50" s="185" t="s">
        <v>4</v>
      </c>
      <c r="E50" s="185" t="s">
        <v>5</v>
      </c>
      <c r="F50" s="185" t="s">
        <v>6</v>
      </c>
      <c r="G50" s="185" t="s">
        <v>7</v>
      </c>
      <c r="H50" s="185" t="s">
        <v>8</v>
      </c>
      <c r="I50" s="185" t="s">
        <v>9</v>
      </c>
      <c r="J50" s="185" t="s">
        <v>10</v>
      </c>
    </row>
    <row r="51" s="183" customFormat="1" spans="1:10">
      <c r="A51" s="202">
        <v>1</v>
      </c>
      <c r="B51" s="202" t="s">
        <v>30</v>
      </c>
      <c r="C51" s="202" t="s">
        <v>16</v>
      </c>
      <c r="D51" s="202">
        <v>20260226</v>
      </c>
      <c r="E51" s="202">
        <v>35</v>
      </c>
      <c r="F51" s="208">
        <v>97</v>
      </c>
      <c r="G51" s="209">
        <v>194</v>
      </c>
      <c r="H51" s="209">
        <f>I51/6*10000</f>
        <v>58200</v>
      </c>
      <c r="I51" s="209">
        <v>34.92</v>
      </c>
      <c r="J51" s="209" t="s">
        <v>32</v>
      </c>
    </row>
    <row r="52" s="183" customFormat="1" ht="21" customHeight="1" spans="1:10">
      <c r="A52" s="185">
        <v>2</v>
      </c>
      <c r="B52" s="185" t="s">
        <v>33</v>
      </c>
      <c r="C52" s="185" t="s">
        <v>34</v>
      </c>
      <c r="D52" s="185">
        <v>20260303</v>
      </c>
      <c r="E52" s="185">
        <v>50</v>
      </c>
      <c r="F52" s="185">
        <v>279.5</v>
      </c>
      <c r="G52" s="185" t="s">
        <v>64</v>
      </c>
      <c r="H52" s="185">
        <f>I52/10*10000</f>
        <v>19920</v>
      </c>
      <c r="I52" s="213">
        <v>19.92</v>
      </c>
      <c r="J52" s="187" t="s">
        <v>65</v>
      </c>
    </row>
    <row r="53" s="183" customFormat="1" ht="21" customHeight="1" spans="1:10">
      <c r="A53" s="192"/>
      <c r="B53" s="192"/>
      <c r="C53" s="192"/>
      <c r="D53" s="192"/>
      <c r="E53" s="192"/>
      <c r="F53" s="185">
        <v>296.5</v>
      </c>
      <c r="G53" s="185">
        <f>H53/400</f>
        <v>98</v>
      </c>
      <c r="H53" s="185">
        <f>I53/7*10000</f>
        <v>39200</v>
      </c>
      <c r="I53" s="213">
        <v>27.44</v>
      </c>
      <c r="J53" s="187" t="s">
        <v>57</v>
      </c>
    </row>
    <row r="54" s="183" customFormat="1" ht="21" customHeight="1" spans="1:10">
      <c r="A54" s="192"/>
      <c r="B54" s="192"/>
      <c r="C54" s="192"/>
      <c r="D54" s="185">
        <v>20260304</v>
      </c>
      <c r="E54" s="185">
        <v>50</v>
      </c>
      <c r="F54" s="185">
        <v>2129</v>
      </c>
      <c r="G54" s="185">
        <f>H54/400</f>
        <v>175</v>
      </c>
      <c r="H54" s="185">
        <f>I54/7*10000</f>
        <v>70000</v>
      </c>
      <c r="I54" s="213">
        <v>49</v>
      </c>
      <c r="J54" s="187" t="s">
        <v>57</v>
      </c>
    </row>
    <row r="55" s="183" customFormat="1" ht="21" customHeight="1" spans="1:10">
      <c r="A55" s="192"/>
      <c r="B55" s="192"/>
      <c r="C55" s="192"/>
      <c r="D55" s="185">
        <v>20260313</v>
      </c>
      <c r="E55" s="185">
        <v>50</v>
      </c>
      <c r="F55" s="192"/>
      <c r="G55" s="185">
        <f>H55/400</f>
        <v>175</v>
      </c>
      <c r="H55" s="185">
        <f>I55/7*10000</f>
        <v>70000</v>
      </c>
      <c r="I55" s="213">
        <v>49</v>
      </c>
      <c r="J55" s="187" t="s">
        <v>57</v>
      </c>
    </row>
    <row r="56" s="183" customFormat="1" ht="21" customHeight="1" spans="1:10">
      <c r="A56" s="192"/>
      <c r="B56" s="192"/>
      <c r="C56" s="192"/>
      <c r="D56" s="185">
        <v>20260314</v>
      </c>
      <c r="E56" s="185">
        <v>50</v>
      </c>
      <c r="F56" s="192"/>
      <c r="G56" s="185" t="s">
        <v>66</v>
      </c>
      <c r="H56" s="185">
        <f>I56/7*10000</f>
        <v>69820</v>
      </c>
      <c r="I56" s="213">
        <v>48.874</v>
      </c>
      <c r="J56" s="187" t="s">
        <v>57</v>
      </c>
    </row>
    <row r="57" s="183" customFormat="1" ht="21" customHeight="1" spans="1:10">
      <c r="A57" s="192"/>
      <c r="B57" s="192"/>
      <c r="C57" s="192"/>
      <c r="D57" s="185">
        <v>20260315</v>
      </c>
      <c r="E57" s="185">
        <v>50</v>
      </c>
      <c r="F57" s="185">
        <v>449.4</v>
      </c>
      <c r="G57" s="185">
        <f>H57/200</f>
        <v>173</v>
      </c>
      <c r="H57" s="185">
        <f>I57/14*10000</f>
        <v>34600</v>
      </c>
      <c r="I57" s="213">
        <v>48.44</v>
      </c>
      <c r="J57" s="187" t="s">
        <v>67</v>
      </c>
    </row>
    <row r="58" s="183" customFormat="1" ht="21" customHeight="1" spans="1:10">
      <c r="A58" s="192"/>
      <c r="B58" s="192"/>
      <c r="C58" s="192"/>
      <c r="D58" s="185">
        <v>20260316</v>
      </c>
      <c r="E58" s="185">
        <v>50</v>
      </c>
      <c r="F58" s="185">
        <v>591</v>
      </c>
      <c r="G58" s="185">
        <v>177</v>
      </c>
      <c r="H58" s="185">
        <f>177*200</f>
        <v>35400</v>
      </c>
      <c r="I58" s="213">
        <f>H58*14/10000</f>
        <v>49.56</v>
      </c>
      <c r="J58" s="187" t="s">
        <v>67</v>
      </c>
    </row>
    <row r="59" s="183" customFormat="1" ht="21" customHeight="1" spans="1:10">
      <c r="A59" s="192"/>
      <c r="B59" s="192"/>
      <c r="C59" s="192"/>
      <c r="D59" s="187">
        <v>20260326</v>
      </c>
      <c r="E59" s="187">
        <v>70</v>
      </c>
      <c r="F59" s="185">
        <v>398.9</v>
      </c>
      <c r="G59" s="202">
        <f>H59/300</f>
        <v>39</v>
      </c>
      <c r="H59" s="202">
        <f>I59/16*10000</f>
        <v>11700</v>
      </c>
      <c r="I59" s="203">
        <v>18.72</v>
      </c>
      <c r="J59" s="202" t="s">
        <v>68</v>
      </c>
    </row>
    <row r="60" s="183" customFormat="1" ht="21" customHeight="1" spans="1:10">
      <c r="A60" s="192"/>
      <c r="B60" s="192"/>
      <c r="C60" s="192"/>
      <c r="D60" s="187"/>
      <c r="E60" s="187"/>
      <c r="F60" s="185">
        <v>458.2</v>
      </c>
      <c r="G60" s="202">
        <f>H60/400</f>
        <v>171</v>
      </c>
      <c r="H60" s="202">
        <f>I60/7*10000</f>
        <v>68400</v>
      </c>
      <c r="I60" s="203">
        <v>47.88</v>
      </c>
      <c r="J60" s="202" t="s">
        <v>57</v>
      </c>
    </row>
    <row r="61" s="183" customFormat="1" ht="21" customHeight="1" spans="1:10">
      <c r="A61" s="192"/>
      <c r="B61" s="192"/>
      <c r="C61" s="192"/>
      <c r="D61" s="192">
        <v>20260327</v>
      </c>
      <c r="E61" s="192">
        <v>70</v>
      </c>
      <c r="F61" s="185">
        <v>1018.1</v>
      </c>
      <c r="G61" s="202">
        <v>243</v>
      </c>
      <c r="H61" s="202">
        <f>243*400</f>
        <v>97200</v>
      </c>
      <c r="I61" s="203">
        <f>H61*7/10000</f>
        <v>68.04</v>
      </c>
      <c r="J61" s="202" t="s">
        <v>57</v>
      </c>
    </row>
    <row r="62" s="183" customFormat="1" ht="21" customHeight="1" spans="1:10">
      <c r="A62" s="187">
        <v>3</v>
      </c>
      <c r="B62" s="187" t="s">
        <v>44</v>
      </c>
      <c r="C62" s="187" t="s">
        <v>45</v>
      </c>
      <c r="D62" s="187">
        <v>20260307</v>
      </c>
      <c r="E62" s="187">
        <v>128</v>
      </c>
      <c r="F62" s="187">
        <v>770.4</v>
      </c>
      <c r="G62" s="187">
        <f>H62/400</f>
        <v>252</v>
      </c>
      <c r="H62" s="187">
        <f>I62/12*10000</f>
        <v>100800</v>
      </c>
      <c r="I62" s="187">
        <v>120.96</v>
      </c>
      <c r="J62" s="187" t="s">
        <v>47</v>
      </c>
    </row>
    <row r="63" s="183" customFormat="1" ht="21" customHeight="1" spans="1:10">
      <c r="A63" s="187">
        <v>4</v>
      </c>
      <c r="B63" s="192" t="s">
        <v>48</v>
      </c>
      <c r="C63" s="192" t="s">
        <v>12</v>
      </c>
      <c r="D63" s="196">
        <v>20260310</v>
      </c>
      <c r="E63" s="196">
        <v>500</v>
      </c>
      <c r="F63" s="192">
        <v>837.6</v>
      </c>
      <c r="G63" s="196">
        <f>H63/480</f>
        <v>102</v>
      </c>
      <c r="H63" s="196">
        <f>I63/100*10000</f>
        <v>48960</v>
      </c>
      <c r="I63" s="197">
        <v>489.6</v>
      </c>
      <c r="J63" s="192" t="s">
        <v>49</v>
      </c>
    </row>
    <row r="64" s="183" customFormat="1" ht="21" customHeight="1" spans="1:10">
      <c r="A64" s="187"/>
      <c r="B64" s="192"/>
      <c r="C64" s="192"/>
      <c r="D64" s="196">
        <v>20260311</v>
      </c>
      <c r="E64" s="187">
        <v>500</v>
      </c>
      <c r="F64" s="192"/>
      <c r="G64" s="196" t="s">
        <v>69</v>
      </c>
      <c r="H64" s="196">
        <f>I64/100*10000</f>
        <v>48690</v>
      </c>
      <c r="I64" s="197">
        <v>486.9</v>
      </c>
      <c r="J64" s="192"/>
    </row>
    <row r="65" s="183" customFormat="1" ht="21" customHeight="1" spans="1:12">
      <c r="A65" s="192">
        <v>5</v>
      </c>
      <c r="B65" s="202" t="s">
        <v>30</v>
      </c>
      <c r="C65" s="202" t="s">
        <v>16</v>
      </c>
      <c r="D65" s="202">
        <v>20260324</v>
      </c>
      <c r="E65" s="202">
        <v>35</v>
      </c>
      <c r="F65" s="208">
        <v>524.5</v>
      </c>
      <c r="G65" s="209">
        <f>H65/300</f>
        <v>194</v>
      </c>
      <c r="H65" s="209">
        <f>I65/6*10000</f>
        <v>58200</v>
      </c>
      <c r="I65" s="209">
        <v>34.92</v>
      </c>
      <c r="J65" s="209" t="s">
        <v>32</v>
      </c>
    </row>
    <row r="66" s="183" customFormat="1" ht="21" customHeight="1" spans="1:12">
      <c r="A66" s="214">
        <v>6</v>
      </c>
      <c r="B66" s="214" t="s">
        <v>40</v>
      </c>
      <c r="C66" s="214" t="s">
        <v>41</v>
      </c>
      <c r="D66" s="207">
        <v>20260316</v>
      </c>
      <c r="E66" s="207">
        <v>80</v>
      </c>
      <c r="F66" s="214">
        <v>1001.5</v>
      </c>
      <c r="G66" s="207">
        <f>H66/300</f>
        <v>105</v>
      </c>
      <c r="H66" s="207">
        <f>I66*10000/24</f>
        <v>31500</v>
      </c>
      <c r="I66" s="207">
        <v>75.6</v>
      </c>
      <c r="J66" s="207" t="s">
        <v>42</v>
      </c>
      <c r="L66" s="200"/>
    </row>
    <row r="67" s="183" customFormat="1" ht="21" customHeight="1" spans="1:12">
      <c r="A67" s="204"/>
      <c r="B67" s="204"/>
      <c r="C67" s="204"/>
      <c r="D67" s="187">
        <v>20260322</v>
      </c>
      <c r="E67" s="187">
        <v>75</v>
      </c>
      <c r="F67" s="206"/>
      <c r="G67" s="187">
        <f>H67/300</f>
        <v>98</v>
      </c>
      <c r="H67" s="187">
        <f>I67/24*10000</f>
        <v>29400</v>
      </c>
      <c r="I67" s="187">
        <v>70.56</v>
      </c>
      <c r="J67" s="187" t="s">
        <v>42</v>
      </c>
    </row>
    <row r="68" s="183" customFormat="1" ht="21" customHeight="1" spans="1:12">
      <c r="A68" s="204"/>
      <c r="B68" s="204"/>
      <c r="C68" s="204"/>
      <c r="D68" s="185">
        <v>20260323</v>
      </c>
      <c r="E68" s="185">
        <v>75</v>
      </c>
      <c r="F68" s="187">
        <v>293.5</v>
      </c>
      <c r="G68" s="187">
        <f>H68/300</f>
        <v>42</v>
      </c>
      <c r="H68" s="187">
        <f>I68/24*10000</f>
        <v>12600</v>
      </c>
      <c r="I68" s="187">
        <v>30.24</v>
      </c>
      <c r="J68" s="187" t="s">
        <v>42</v>
      </c>
    </row>
    <row r="69" s="183" customFormat="1" ht="21" customHeight="1" spans="1:12">
      <c r="A69" s="204"/>
      <c r="B69" s="204"/>
      <c r="C69" s="204"/>
      <c r="D69" s="196"/>
      <c r="E69" s="196"/>
      <c r="F69" s="187">
        <v>434.5</v>
      </c>
      <c r="G69" s="202">
        <f>H69/300</f>
        <v>40</v>
      </c>
      <c r="H69" s="187">
        <f>I69/36*10000</f>
        <v>12000</v>
      </c>
      <c r="I69" s="202">
        <v>43.2</v>
      </c>
      <c r="J69" s="187" t="s">
        <v>70</v>
      </c>
      <c r="L69" s="200"/>
    </row>
    <row r="70" s="183" customFormat="1" ht="21" customHeight="1" spans="1:12">
      <c r="A70" s="201">
        <v>7</v>
      </c>
      <c r="B70" s="201" t="s">
        <v>58</v>
      </c>
      <c r="C70" s="201" t="s">
        <v>59</v>
      </c>
      <c r="D70" s="202">
        <v>20260318</v>
      </c>
      <c r="E70" s="202">
        <v>500</v>
      </c>
      <c r="F70" s="201">
        <v>1088</v>
      </c>
      <c r="G70" s="202">
        <f>H70/480</f>
        <v>106</v>
      </c>
      <c r="H70" s="202">
        <f>I70/100*10000</f>
        <v>50880</v>
      </c>
      <c r="I70" s="202">
        <v>508.8</v>
      </c>
      <c r="J70" s="202" t="s">
        <v>49</v>
      </c>
      <c r="L70" s="200"/>
    </row>
    <row r="71" s="183" customFormat="1" ht="21" customHeight="1" spans="1:12">
      <c r="A71" s="204"/>
      <c r="B71" s="204"/>
      <c r="C71" s="204"/>
      <c r="D71" s="202">
        <v>20260319</v>
      </c>
      <c r="E71" s="202">
        <v>500</v>
      </c>
      <c r="F71" s="204"/>
      <c r="G71" s="202">
        <f>H71/480</f>
        <v>106</v>
      </c>
      <c r="H71" s="202">
        <f>I71/100*10000</f>
        <v>50880</v>
      </c>
      <c r="I71" s="202">
        <v>508.8</v>
      </c>
      <c r="J71" s="202" t="s">
        <v>49</v>
      </c>
      <c r="L71" s="200"/>
    </row>
    <row r="72" s="183" customFormat="1" ht="21" customHeight="1" spans="1:12">
      <c r="A72" s="204"/>
      <c r="B72" s="204"/>
      <c r="C72" s="204"/>
      <c r="D72" s="201">
        <v>20260320</v>
      </c>
      <c r="E72" s="201">
        <v>500</v>
      </c>
      <c r="F72" s="204"/>
      <c r="G72" s="201" t="s">
        <v>71</v>
      </c>
      <c r="H72" s="201">
        <f>I72/100*10000</f>
        <v>50610</v>
      </c>
      <c r="I72" s="201">
        <v>506.1</v>
      </c>
      <c r="J72" s="201" t="s">
        <v>49</v>
      </c>
    </row>
    <row r="73" s="183" customFormat="1" ht="21" customHeight="1" spans="1:12">
      <c r="A73" s="201">
        <v>8</v>
      </c>
      <c r="B73" s="202" t="s">
        <v>22</v>
      </c>
      <c r="C73" s="202" t="s">
        <v>23</v>
      </c>
      <c r="D73" s="202">
        <v>20260326</v>
      </c>
      <c r="E73" s="202">
        <v>120</v>
      </c>
      <c r="F73" s="202">
        <v>213.15</v>
      </c>
      <c r="G73" s="202"/>
      <c r="H73" s="202"/>
      <c r="I73" s="202"/>
      <c r="J73" s="202" t="s">
        <v>72</v>
      </c>
    </row>
    <row r="74" s="183" customFormat="1" ht="21" customHeight="1" spans="1:12">
      <c r="A74" s="206"/>
      <c r="B74" s="202" t="s">
        <v>22</v>
      </c>
      <c r="C74" s="202" t="s">
        <v>23</v>
      </c>
      <c r="D74" s="202">
        <v>20260327</v>
      </c>
      <c r="E74" s="202">
        <v>120</v>
      </c>
      <c r="F74" s="202">
        <v>284.9</v>
      </c>
      <c r="G74" s="202"/>
      <c r="H74" s="202"/>
      <c r="I74" s="202"/>
      <c r="J74" s="202" t="s">
        <v>25</v>
      </c>
    </row>
    <row r="75" s="183" customFormat="1" ht="29" customHeight="1" spans="1:12">
      <c r="A75" s="202">
        <v>9</v>
      </c>
      <c r="B75" s="202" t="s">
        <v>33</v>
      </c>
      <c r="C75" s="202" t="s">
        <v>34</v>
      </c>
      <c r="D75" s="202" t="s">
        <v>73</v>
      </c>
      <c r="E75" s="202">
        <v>210</v>
      </c>
      <c r="F75" s="202">
        <v>693.6</v>
      </c>
      <c r="G75" s="202"/>
      <c r="H75" s="202"/>
      <c r="I75" s="202"/>
      <c r="J75" s="202" t="s">
        <v>57</v>
      </c>
    </row>
    <row r="76" s="183" customFormat="1" ht="33" customHeight="1" spans="1:12">
      <c r="A76" s="202">
        <v>10</v>
      </c>
      <c r="B76" s="202" t="s">
        <v>11</v>
      </c>
      <c r="C76" s="202" t="s">
        <v>12</v>
      </c>
      <c r="D76" s="202" t="s">
        <v>74</v>
      </c>
      <c r="E76" s="202">
        <v>360</v>
      </c>
      <c r="F76" s="202">
        <v>174</v>
      </c>
      <c r="G76" s="202"/>
      <c r="H76" s="202"/>
      <c r="I76" s="202"/>
      <c r="J76" s="202" t="s">
        <v>14</v>
      </c>
    </row>
    <row r="77" s="183" customFormat="1" ht="21" customHeight="1" spans="1:12">
      <c r="A77" s="202">
        <v>11</v>
      </c>
      <c r="B77" s="202" t="s">
        <v>75</v>
      </c>
      <c r="C77" s="202" t="s">
        <v>34</v>
      </c>
      <c r="D77" s="202">
        <v>20260331</v>
      </c>
      <c r="E77" s="202">
        <v>90</v>
      </c>
      <c r="F77" s="202">
        <v>116</v>
      </c>
      <c r="G77" s="202"/>
      <c r="H77" s="202"/>
      <c r="I77" s="202"/>
      <c r="J77" s="202" t="s">
        <v>76</v>
      </c>
    </row>
    <row r="78" s="183" customFormat="1" ht="21" customHeight="1" spans="1:12">
      <c r="A78" s="198" t="s">
        <v>50</v>
      </c>
      <c r="B78" s="198"/>
      <c r="C78" s="198"/>
      <c r="D78" s="198"/>
      <c r="E78" s="187">
        <f>SUM(E51:E77)</f>
        <v>4268</v>
      </c>
      <c r="F78" s="187">
        <f>SUM(F51:F77)</f>
        <v>12149.25</v>
      </c>
      <c r="G78" s="187" t="s">
        <v>77</v>
      </c>
      <c r="H78" s="187">
        <f>SUM(H51:H77)</f>
        <v>1068960</v>
      </c>
      <c r="I78" s="187">
        <f>SUM(I51:I77)</f>
        <v>3337.474</v>
      </c>
      <c r="J78" s="187"/>
    </row>
    <row r="79" s="183" customFormat="1" ht="20" customHeight="1" spans="1:12">
      <c r="A79" s="199" t="s">
        <v>78</v>
      </c>
      <c r="B79" s="199"/>
      <c r="C79" s="199"/>
      <c r="D79" s="199"/>
      <c r="E79" s="199"/>
      <c r="F79" s="199"/>
      <c r="G79" s="199"/>
      <c r="H79" s="199"/>
      <c r="I79" s="199" t="s">
        <v>52</v>
      </c>
      <c r="J79" s="199"/>
    </row>
    <row r="80" s="183" customFormat="1" ht="20" customHeight="1" spans="1:12">
      <c r="A80" s="199" t="s">
        <v>79</v>
      </c>
      <c r="B80" s="199"/>
      <c r="C80" s="199"/>
      <c r="D80" s="199"/>
      <c r="E80" s="199"/>
      <c r="F80" s="199"/>
      <c r="G80" s="199"/>
      <c r="H80" s="199"/>
      <c r="I80" s="199" t="s">
        <v>54</v>
      </c>
      <c r="J80" s="199"/>
    </row>
    <row r="81" s="183" customFormat="1" ht="20" customHeight="1" spans="1:10">
      <c r="A81" s="199"/>
      <c r="B81" s="199"/>
      <c r="C81" s="199"/>
      <c r="D81" s="199"/>
      <c r="E81" s="199"/>
      <c r="F81" s="199"/>
      <c r="G81" s="199"/>
      <c r="H81" s="199"/>
      <c r="I81" s="199"/>
      <c r="J81" s="199"/>
    </row>
  </sheetData>
  <mergeCells count="75">
    <mergeCell ref="A1:J1"/>
    <mergeCell ref="A27:D27"/>
    <mergeCell ref="A28:B28"/>
    <mergeCell ref="I28:J28"/>
    <mergeCell ref="A29:C29"/>
    <mergeCell ref="I29:J29"/>
    <mergeCell ref="A30:C30"/>
    <mergeCell ref="I30:J30"/>
    <mergeCell ref="A33:J33"/>
    <mergeCell ref="A42:D42"/>
    <mergeCell ref="A43:B43"/>
    <mergeCell ref="I43:J43"/>
    <mergeCell ref="A44:C44"/>
    <mergeCell ref="I44:J44"/>
    <mergeCell ref="A45:C45"/>
    <mergeCell ref="I45:J45"/>
    <mergeCell ref="A49:J49"/>
    <mergeCell ref="A78:D78"/>
    <mergeCell ref="A79:B79"/>
    <mergeCell ref="I79:J79"/>
    <mergeCell ref="A80:C80"/>
    <mergeCell ref="I80:J80"/>
    <mergeCell ref="A81:C81"/>
    <mergeCell ref="I81:J81"/>
    <mergeCell ref="A8:A15"/>
    <mergeCell ref="A17:A21"/>
    <mergeCell ref="A22:A23"/>
    <mergeCell ref="A25:A26"/>
    <mergeCell ref="A36:A37"/>
    <mergeCell ref="A52:A61"/>
    <mergeCell ref="A63:A64"/>
    <mergeCell ref="A66:A69"/>
    <mergeCell ref="A70:A72"/>
    <mergeCell ref="A73:A74"/>
    <mergeCell ref="B6:B7"/>
    <mergeCell ref="B8:B15"/>
    <mergeCell ref="B17:B21"/>
    <mergeCell ref="B22:B23"/>
    <mergeCell ref="B25:B26"/>
    <mergeCell ref="B36:B37"/>
    <mergeCell ref="B52:B57"/>
    <mergeCell ref="B63:B64"/>
    <mergeCell ref="B66:B69"/>
    <mergeCell ref="B70:B72"/>
    <mergeCell ref="C6:C7"/>
    <mergeCell ref="C8:C15"/>
    <mergeCell ref="C17:C21"/>
    <mergeCell ref="C22:C23"/>
    <mergeCell ref="C25:C26"/>
    <mergeCell ref="C36:C37"/>
    <mergeCell ref="C52:C57"/>
    <mergeCell ref="C63:C64"/>
    <mergeCell ref="C66:C69"/>
    <mergeCell ref="C70:C72"/>
    <mergeCell ref="D20:D21"/>
    <mergeCell ref="D52:D53"/>
    <mergeCell ref="D59:D60"/>
    <mergeCell ref="D68:D69"/>
    <mergeCell ref="E20:E21"/>
    <mergeCell ref="E52:E53"/>
    <mergeCell ref="E59:E60"/>
    <mergeCell ref="E68:E69"/>
    <mergeCell ref="F8:F15"/>
    <mergeCell ref="F17:F19"/>
    <mergeCell ref="F22:F23"/>
    <mergeCell ref="F25:F26"/>
    <mergeCell ref="F36:F37"/>
    <mergeCell ref="F54:F56"/>
    <mergeCell ref="F63:F64"/>
    <mergeCell ref="F66:F67"/>
    <mergeCell ref="F70:F72"/>
    <mergeCell ref="J8:J15"/>
    <mergeCell ref="J25:J26"/>
    <mergeCell ref="J36:J37"/>
    <mergeCell ref="J63:J64"/>
  </mergeCells>
  <pageMargins left="0.7" right="0.7" top="0.75" bottom="0.75" header="0.3" footer="0.3"/>
  <pageSetup paperSize="9" scale="2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4"/>
  <sheetViews>
    <sheetView topLeftCell="A267" workbookViewId="0">
      <selection activeCell="E248" sqref="E248:E268"/>
    </sheetView>
  </sheetViews>
  <sheetFormatPr defaultColWidth="9" defaultRowHeight="13.5"/>
  <sheetData>
    <row r="1" s="137" customFormat="1" ht="21" customHeight="1" spans="1:11">
      <c r="A1" s="140" t="s">
        <v>80</v>
      </c>
      <c r="B1" s="141"/>
      <c r="C1" s="141"/>
      <c r="D1" s="141"/>
      <c r="E1" s="141"/>
      <c r="F1" s="141"/>
      <c r="G1" s="141"/>
      <c r="H1" s="141"/>
      <c r="I1" s="141"/>
      <c r="J1" s="141"/>
      <c r="K1" s="142"/>
    </row>
    <row r="2" s="137" customFormat="1" ht="21" customHeight="1" spans="1:11">
      <c r="A2" s="143" t="s">
        <v>81</v>
      </c>
      <c r="B2" s="144"/>
      <c r="C2" s="144"/>
      <c r="D2" s="145" t="s">
        <v>82</v>
      </c>
      <c r="E2" s="144"/>
      <c r="F2" s="144"/>
      <c r="G2" s="144"/>
      <c r="H2" s="144"/>
      <c r="I2" s="144"/>
      <c r="J2" s="144"/>
      <c r="K2" s="144"/>
    </row>
    <row r="3" s="137" customFormat="1" ht="21" customHeight="1" spans="1:11">
      <c r="A3" s="146" t="s">
        <v>83</v>
      </c>
      <c r="B3" s="146" t="s">
        <v>84</v>
      </c>
      <c r="C3" s="140" t="s">
        <v>85</v>
      </c>
      <c r="D3" s="147" t="s">
        <v>6</v>
      </c>
      <c r="E3" s="147" t="s">
        <v>6</v>
      </c>
      <c r="F3" s="146" t="s">
        <v>6</v>
      </c>
      <c r="G3" s="146" t="s">
        <v>6</v>
      </c>
      <c r="H3" s="146" t="s">
        <v>6</v>
      </c>
      <c r="I3" s="146" t="s">
        <v>6</v>
      </c>
      <c r="J3" s="146" t="s">
        <v>86</v>
      </c>
      <c r="K3" s="146" t="s">
        <v>87</v>
      </c>
    </row>
    <row r="4" s="137" customFormat="1" ht="21" customHeight="1" spans="1:11">
      <c r="A4" s="146" t="s">
        <v>88</v>
      </c>
      <c r="B4" s="146">
        <v>12</v>
      </c>
      <c r="C4" s="140" t="s">
        <v>89</v>
      </c>
      <c r="D4" s="147">
        <v>12</v>
      </c>
      <c r="E4" s="147">
        <v>10</v>
      </c>
      <c r="F4" s="147"/>
      <c r="G4" s="148"/>
      <c r="H4" s="147"/>
      <c r="I4" s="146"/>
      <c r="J4" s="146"/>
      <c r="K4" s="146">
        <f>SUM(D4:J4)</f>
        <v>22</v>
      </c>
    </row>
    <row r="5" s="137" customFormat="1" ht="21" customHeight="1" spans="1:11">
      <c r="A5" s="149" t="s">
        <v>90</v>
      </c>
      <c r="B5" s="147">
        <v>11.5</v>
      </c>
      <c r="C5" s="140" t="s">
        <v>91</v>
      </c>
      <c r="D5" s="147">
        <v>11.5</v>
      </c>
      <c r="E5" s="147">
        <v>10</v>
      </c>
      <c r="F5" s="147"/>
      <c r="G5" s="148"/>
      <c r="H5" s="147"/>
      <c r="I5" s="146"/>
      <c r="J5" s="146"/>
      <c r="K5" s="146">
        <f>SUM(D5:J5)</f>
        <v>21.5</v>
      </c>
    </row>
    <row r="6" s="137" customFormat="1" ht="21" customHeight="1" spans="1:11">
      <c r="A6" s="150"/>
      <c r="B6" s="151"/>
      <c r="C6" s="140" t="s">
        <v>92</v>
      </c>
      <c r="D6" s="147">
        <v>11.5</v>
      </c>
      <c r="E6" s="147">
        <v>10</v>
      </c>
      <c r="F6" s="147"/>
      <c r="G6" s="148"/>
      <c r="H6" s="147"/>
      <c r="I6" s="146"/>
      <c r="J6" s="146"/>
      <c r="K6" s="146">
        <f t="shared" ref="K6:K25" si="0">SUM(D6:J6)</f>
        <v>21.5</v>
      </c>
    </row>
    <row r="7" s="137" customFormat="1" ht="21" customHeight="1" spans="1:11">
      <c r="A7" s="149" t="s">
        <v>93</v>
      </c>
      <c r="B7" s="147">
        <v>11.5</v>
      </c>
      <c r="C7" s="140" t="s">
        <v>94</v>
      </c>
      <c r="D7" s="146">
        <v>11.5</v>
      </c>
      <c r="E7" s="146">
        <v>0</v>
      </c>
      <c r="F7" s="146"/>
      <c r="G7" s="148"/>
      <c r="H7" s="147"/>
      <c r="I7" s="146"/>
      <c r="J7" s="146"/>
      <c r="K7" s="146">
        <f t="shared" si="0"/>
        <v>11.5</v>
      </c>
    </row>
    <row r="8" s="137" customFormat="1" ht="21" customHeight="1" spans="1:11">
      <c r="A8" s="150"/>
      <c r="B8" s="151"/>
      <c r="C8" s="140" t="s">
        <v>95</v>
      </c>
      <c r="D8" s="147">
        <v>11.5</v>
      </c>
      <c r="E8" s="147">
        <v>11</v>
      </c>
      <c r="F8" s="147"/>
      <c r="G8" s="148"/>
      <c r="H8" s="147"/>
      <c r="I8" s="146"/>
      <c r="J8" s="146"/>
      <c r="K8" s="146">
        <f t="shared" si="0"/>
        <v>22.5</v>
      </c>
    </row>
    <row r="9" s="137" customFormat="1" ht="21" customHeight="1" spans="1:11">
      <c r="A9" s="150"/>
      <c r="B9" s="151"/>
      <c r="C9" s="146" t="s">
        <v>96</v>
      </c>
      <c r="D9" s="146">
        <v>11.5</v>
      </c>
      <c r="E9" s="146">
        <v>10</v>
      </c>
      <c r="F9" s="146"/>
      <c r="G9" s="148"/>
      <c r="H9" s="147"/>
      <c r="I9" s="146"/>
      <c r="J9" s="146"/>
      <c r="K9" s="146">
        <f t="shared" si="0"/>
        <v>21.5</v>
      </c>
    </row>
    <row r="10" s="137" customFormat="1" ht="21" customHeight="1" spans="1:11">
      <c r="A10" s="150"/>
      <c r="B10" s="151"/>
      <c r="C10" s="140" t="s">
        <v>97</v>
      </c>
      <c r="D10" s="146">
        <v>11.5</v>
      </c>
      <c r="E10" s="146">
        <v>0</v>
      </c>
      <c r="F10" s="146"/>
      <c r="G10" s="148"/>
      <c r="H10" s="147"/>
      <c r="I10" s="147"/>
      <c r="J10" s="146"/>
      <c r="K10" s="146">
        <f t="shared" si="0"/>
        <v>11.5</v>
      </c>
    </row>
    <row r="11" s="137" customFormat="1" ht="21" customHeight="1" spans="1:11">
      <c r="A11" s="152"/>
      <c r="B11" s="153"/>
      <c r="C11" s="140" t="s">
        <v>98</v>
      </c>
      <c r="D11" s="147">
        <v>11.5</v>
      </c>
      <c r="E11" s="147">
        <v>11</v>
      </c>
      <c r="F11" s="147"/>
      <c r="G11" s="148"/>
      <c r="H11" s="147"/>
      <c r="I11" s="147"/>
      <c r="J11" s="146"/>
      <c r="K11" s="146">
        <f t="shared" si="0"/>
        <v>22.5</v>
      </c>
    </row>
    <row r="12" s="137" customFormat="1" ht="21" customHeight="1" spans="1:11">
      <c r="A12" s="146" t="s">
        <v>99</v>
      </c>
      <c r="B12" s="146">
        <v>10.5</v>
      </c>
      <c r="C12" s="146" t="s">
        <v>100</v>
      </c>
      <c r="D12" s="147">
        <v>10.5</v>
      </c>
      <c r="E12" s="147">
        <v>5</v>
      </c>
      <c r="F12" s="147"/>
      <c r="G12" s="154"/>
      <c r="H12" s="147"/>
      <c r="I12" s="146"/>
      <c r="J12" s="146"/>
      <c r="K12" s="146">
        <f t="shared" si="0"/>
        <v>15.5</v>
      </c>
    </row>
    <row r="13" s="137" customFormat="1" ht="21" customHeight="1" spans="1:11">
      <c r="A13" s="146"/>
      <c r="B13" s="146"/>
      <c r="C13" s="146" t="s">
        <v>101</v>
      </c>
      <c r="D13" s="146">
        <v>10.5</v>
      </c>
      <c r="E13" s="146">
        <v>5</v>
      </c>
      <c r="F13" s="146"/>
      <c r="G13" s="148"/>
      <c r="H13" s="147"/>
      <c r="I13" s="146"/>
      <c r="J13" s="146"/>
      <c r="K13" s="146">
        <f t="shared" si="0"/>
        <v>15.5</v>
      </c>
    </row>
    <row r="14" s="137" customFormat="1" ht="21" customHeight="1" spans="1:11">
      <c r="A14" s="146" t="s">
        <v>102</v>
      </c>
      <c r="B14" s="146">
        <v>11.5</v>
      </c>
      <c r="C14" s="140" t="s">
        <v>103</v>
      </c>
      <c r="D14" s="146">
        <v>0</v>
      </c>
      <c r="E14" s="146">
        <v>0</v>
      </c>
      <c r="F14" s="146"/>
      <c r="G14" s="148"/>
      <c r="H14" s="147"/>
      <c r="I14" s="146"/>
      <c r="J14" s="146"/>
      <c r="K14" s="146">
        <f t="shared" si="0"/>
        <v>0</v>
      </c>
    </row>
    <row r="15" s="137" customFormat="1" ht="21" customHeight="1" spans="1:11">
      <c r="A15" s="146"/>
      <c r="B15" s="146"/>
      <c r="C15" s="140" t="s">
        <v>104</v>
      </c>
      <c r="D15" s="147">
        <v>0</v>
      </c>
      <c r="E15" s="147">
        <v>0</v>
      </c>
      <c r="F15" s="147"/>
      <c r="G15" s="148"/>
      <c r="H15" s="147"/>
      <c r="I15" s="146"/>
      <c r="J15" s="146"/>
      <c r="K15" s="146">
        <f t="shared" si="0"/>
        <v>0</v>
      </c>
    </row>
    <row r="16" s="137" customFormat="1" ht="21" customHeight="1" spans="1:11">
      <c r="A16" s="146"/>
      <c r="B16" s="146"/>
      <c r="C16" s="140" t="s">
        <v>105</v>
      </c>
      <c r="D16" s="147">
        <v>10.5</v>
      </c>
      <c r="E16" s="147">
        <v>5</v>
      </c>
      <c r="F16" s="147"/>
      <c r="G16" s="155"/>
      <c r="H16" s="147"/>
      <c r="I16" s="146"/>
      <c r="J16" s="146"/>
      <c r="K16" s="146">
        <f t="shared" si="0"/>
        <v>15.5</v>
      </c>
    </row>
    <row r="17" s="137" customFormat="1" ht="21" customHeight="1" spans="1:11">
      <c r="A17" s="146"/>
      <c r="B17" s="146"/>
      <c r="C17" s="140" t="s">
        <v>106</v>
      </c>
      <c r="D17" s="146">
        <v>0</v>
      </c>
      <c r="E17" s="146">
        <v>0</v>
      </c>
      <c r="F17" s="146"/>
      <c r="G17" s="156"/>
      <c r="H17" s="147"/>
      <c r="I17" s="146"/>
      <c r="J17" s="146"/>
      <c r="K17" s="146">
        <f t="shared" si="0"/>
        <v>0</v>
      </c>
    </row>
    <row r="18" s="137" customFormat="1" ht="21" customHeight="1" spans="1:11">
      <c r="A18" s="151" t="s">
        <v>107</v>
      </c>
      <c r="B18" s="151">
        <v>10.5</v>
      </c>
      <c r="C18" s="146" t="s">
        <v>108</v>
      </c>
      <c r="D18" s="147">
        <v>10.5</v>
      </c>
      <c r="E18" s="147">
        <v>5</v>
      </c>
      <c r="F18" s="147"/>
      <c r="G18" s="148"/>
      <c r="H18" s="147"/>
      <c r="I18" s="146"/>
      <c r="J18" s="146"/>
      <c r="K18" s="146">
        <f t="shared" si="0"/>
        <v>15.5</v>
      </c>
    </row>
    <row r="19" s="137" customFormat="1" ht="21" customHeight="1" spans="1:11">
      <c r="A19" s="151"/>
      <c r="B19" s="151"/>
      <c r="C19" s="146" t="s">
        <v>109</v>
      </c>
      <c r="D19" s="146">
        <v>10.5</v>
      </c>
      <c r="E19" s="146">
        <v>0</v>
      </c>
      <c r="F19" s="146"/>
      <c r="G19" s="148"/>
      <c r="H19" s="147"/>
      <c r="I19" s="146"/>
      <c r="J19" s="146"/>
      <c r="K19" s="146">
        <f t="shared" si="0"/>
        <v>10.5</v>
      </c>
    </row>
    <row r="20" s="137" customFormat="1" ht="21" customHeight="1" spans="1:11">
      <c r="A20" s="151"/>
      <c r="B20" s="151"/>
      <c r="C20" s="146" t="s">
        <v>110</v>
      </c>
      <c r="D20" s="147">
        <v>10.5</v>
      </c>
      <c r="E20" s="147">
        <v>5</v>
      </c>
      <c r="F20" s="147"/>
      <c r="G20" s="148"/>
      <c r="H20" s="147"/>
      <c r="I20" s="146"/>
      <c r="J20" s="146"/>
      <c r="K20" s="146">
        <f t="shared" si="0"/>
        <v>15.5</v>
      </c>
    </row>
    <row r="21" s="137" customFormat="1" ht="21" customHeight="1" spans="1:11">
      <c r="A21" s="151"/>
      <c r="B21" s="151"/>
      <c r="C21" s="146" t="s">
        <v>111</v>
      </c>
      <c r="D21" s="147">
        <v>0</v>
      </c>
      <c r="E21" s="147">
        <v>5</v>
      </c>
      <c r="F21" s="147"/>
      <c r="G21" s="148"/>
      <c r="H21" s="147"/>
      <c r="I21" s="146"/>
      <c r="J21" s="146"/>
      <c r="K21" s="146">
        <f t="shared" si="0"/>
        <v>5</v>
      </c>
    </row>
    <row r="22" s="137" customFormat="1" ht="21" customHeight="1" spans="1:11">
      <c r="A22" s="151"/>
      <c r="B22" s="151"/>
      <c r="C22" s="146" t="s">
        <v>112</v>
      </c>
      <c r="D22" s="146">
        <v>10.5</v>
      </c>
      <c r="E22" s="146">
        <v>0</v>
      </c>
      <c r="F22" s="146"/>
      <c r="G22" s="148"/>
      <c r="H22" s="147"/>
      <c r="I22" s="146"/>
      <c r="J22" s="142"/>
      <c r="K22" s="146">
        <f t="shared" si="0"/>
        <v>10.5</v>
      </c>
    </row>
    <row r="23" s="137" customFormat="1" ht="21" customHeight="1" spans="1:11">
      <c r="A23" s="151"/>
      <c r="B23" s="151"/>
      <c r="C23" s="146" t="s">
        <v>113</v>
      </c>
      <c r="D23" s="146">
        <v>10.5</v>
      </c>
      <c r="E23" s="146">
        <v>0</v>
      </c>
      <c r="F23" s="146"/>
      <c r="G23" s="148"/>
      <c r="H23" s="147"/>
      <c r="I23" s="146"/>
      <c r="J23" s="142"/>
      <c r="K23" s="146">
        <f t="shared" si="0"/>
        <v>10.5</v>
      </c>
    </row>
    <row r="24" s="137" customFormat="1" ht="21" customHeight="1" spans="1:11">
      <c r="A24" s="147" t="s">
        <v>114</v>
      </c>
      <c r="B24" s="147">
        <v>10.5</v>
      </c>
      <c r="C24" s="146" t="s">
        <v>115</v>
      </c>
      <c r="D24" s="146">
        <v>10.5</v>
      </c>
      <c r="E24" s="146">
        <v>10.5</v>
      </c>
      <c r="F24" s="146"/>
      <c r="G24" s="148"/>
      <c r="H24" s="146"/>
      <c r="I24" s="146"/>
      <c r="J24" s="142"/>
      <c r="K24" s="146">
        <f t="shared" si="0"/>
        <v>21</v>
      </c>
    </row>
    <row r="25" s="137" customFormat="1" ht="21" customHeight="1" spans="1:11">
      <c r="A25" s="147" t="s">
        <v>116</v>
      </c>
      <c r="B25" s="147">
        <v>12</v>
      </c>
      <c r="C25" s="147" t="s">
        <v>117</v>
      </c>
      <c r="D25" s="147">
        <v>12</v>
      </c>
      <c r="E25" s="147">
        <v>12</v>
      </c>
      <c r="F25" s="147"/>
      <c r="G25" s="157"/>
      <c r="H25" s="147"/>
      <c r="I25" s="147"/>
      <c r="J25" s="158"/>
      <c r="K25" s="147">
        <f t="shared" si="0"/>
        <v>24</v>
      </c>
    </row>
    <row r="26" s="137" customFormat="1" ht="21" customHeight="1" spans="1:11">
      <c r="A26" s="140"/>
      <c r="B26" s="141"/>
      <c r="C26" s="141"/>
      <c r="D26" s="141"/>
      <c r="E26" s="141"/>
      <c r="F26" s="141"/>
      <c r="G26" s="141"/>
      <c r="H26" s="141"/>
      <c r="I26" s="141"/>
      <c r="J26" s="142"/>
      <c r="K26" s="159">
        <f>SUM(K4:K25)</f>
        <v>313.5</v>
      </c>
    </row>
    <row r="29" s="2" customFormat="1" ht="21" customHeight="1" spans="1:11">
      <c r="A29" s="114" t="s">
        <v>80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6"/>
    </row>
    <row r="30" s="2" customFormat="1" ht="21" customHeight="1" spans="1:11">
      <c r="A30" s="117" t="s">
        <v>118</v>
      </c>
      <c r="B30" s="118"/>
      <c r="C30" s="118"/>
      <c r="D30" s="119" t="s">
        <v>119</v>
      </c>
      <c r="E30" s="118"/>
      <c r="F30" s="118"/>
      <c r="G30" s="118"/>
      <c r="H30" s="118"/>
      <c r="I30" s="118"/>
      <c r="J30" s="118"/>
      <c r="K30" s="118"/>
    </row>
    <row r="31" s="2" customFormat="1" ht="21" customHeight="1" spans="1:11">
      <c r="A31" s="82" t="s">
        <v>83</v>
      </c>
      <c r="B31" s="82" t="s">
        <v>84</v>
      </c>
      <c r="C31" s="98" t="s">
        <v>120</v>
      </c>
      <c r="D31" s="89" t="s">
        <v>6</v>
      </c>
      <c r="E31" s="89" t="s">
        <v>6</v>
      </c>
      <c r="F31" s="82" t="s">
        <v>6</v>
      </c>
      <c r="G31" s="82" t="s">
        <v>6</v>
      </c>
      <c r="H31" s="82" t="s">
        <v>6</v>
      </c>
      <c r="I31" s="82" t="s">
        <v>6</v>
      </c>
      <c r="J31" s="82" t="s">
        <v>121</v>
      </c>
      <c r="K31" s="82" t="s">
        <v>87</v>
      </c>
    </row>
    <row r="32" s="2" customFormat="1" ht="21" customHeight="1" spans="1:11">
      <c r="A32" s="82" t="s">
        <v>122</v>
      </c>
      <c r="B32" s="82">
        <v>12</v>
      </c>
      <c r="C32" s="98" t="s">
        <v>123</v>
      </c>
      <c r="D32" s="89">
        <v>12</v>
      </c>
      <c r="E32" s="89">
        <v>10</v>
      </c>
      <c r="F32" s="89"/>
      <c r="G32" s="89"/>
      <c r="H32" s="89"/>
      <c r="I32" s="82"/>
      <c r="J32" s="82"/>
      <c r="K32" s="31">
        <f t="shared" ref="K32:K52" si="1">SUM(D32:J32)</f>
        <v>22</v>
      </c>
    </row>
    <row r="33" s="2" customFormat="1" ht="21" customHeight="1" spans="1:11">
      <c r="A33" s="47" t="s">
        <v>90</v>
      </c>
      <c r="B33" s="82">
        <v>11.5</v>
      </c>
      <c r="C33" s="98" t="s">
        <v>124</v>
      </c>
      <c r="D33" s="89">
        <v>17.5</v>
      </c>
      <c r="E33" s="89">
        <v>15</v>
      </c>
      <c r="F33" s="89"/>
      <c r="G33" s="89"/>
      <c r="H33" s="89"/>
      <c r="I33" s="82"/>
      <c r="J33" s="82"/>
      <c r="K33" s="31">
        <f t="shared" si="1"/>
        <v>32.5</v>
      </c>
    </row>
    <row r="34" s="2" customFormat="1" ht="21" customHeight="1" spans="1:11">
      <c r="A34" s="47"/>
      <c r="B34" s="82"/>
      <c r="C34" s="98" t="s">
        <v>92</v>
      </c>
      <c r="D34" s="89">
        <v>17.5</v>
      </c>
      <c r="E34" s="89">
        <v>15</v>
      </c>
      <c r="F34" s="89"/>
      <c r="G34" s="89"/>
      <c r="H34" s="89"/>
      <c r="I34" s="82"/>
      <c r="J34" s="82"/>
      <c r="K34" s="31">
        <f t="shared" si="1"/>
        <v>32.5</v>
      </c>
    </row>
    <row r="35" s="2" customFormat="1" ht="21" customHeight="1" spans="1:11">
      <c r="A35" s="42" t="s">
        <v>125</v>
      </c>
      <c r="B35" s="31">
        <v>11.5</v>
      </c>
      <c r="C35" s="43" t="s">
        <v>94</v>
      </c>
      <c r="D35" s="89">
        <v>15</v>
      </c>
      <c r="E35" s="89">
        <v>10</v>
      </c>
      <c r="F35" s="89"/>
      <c r="G35" s="89"/>
      <c r="H35" s="89"/>
      <c r="I35" s="82"/>
      <c r="J35" s="82"/>
      <c r="K35" s="31">
        <f t="shared" si="1"/>
        <v>25</v>
      </c>
    </row>
    <row r="36" s="2" customFormat="1" ht="21" customHeight="1" spans="1:11">
      <c r="A36" s="44"/>
      <c r="B36" s="31"/>
      <c r="C36" s="2" t="s">
        <v>98</v>
      </c>
      <c r="D36" s="89">
        <v>15</v>
      </c>
      <c r="E36" s="89">
        <v>10</v>
      </c>
      <c r="F36" s="89"/>
      <c r="G36" s="89"/>
      <c r="H36" s="89"/>
      <c r="I36" s="82"/>
      <c r="J36" s="82"/>
      <c r="K36" s="31">
        <f t="shared" si="1"/>
        <v>25</v>
      </c>
    </row>
    <row r="37" s="2" customFormat="1" ht="21" customHeight="1" spans="1:11">
      <c r="A37" s="45" t="s">
        <v>126</v>
      </c>
      <c r="B37" s="31"/>
      <c r="C37" s="43" t="s">
        <v>95</v>
      </c>
      <c r="D37" s="89">
        <v>10</v>
      </c>
      <c r="E37" s="89">
        <v>10</v>
      </c>
      <c r="F37" s="89"/>
      <c r="G37" s="89"/>
      <c r="H37" s="89"/>
      <c r="I37" s="82"/>
      <c r="J37" s="82"/>
      <c r="K37" s="31">
        <f t="shared" si="1"/>
        <v>20</v>
      </c>
    </row>
    <row r="38" s="2" customFormat="1" ht="21" customHeight="1" spans="1:11">
      <c r="A38" s="46"/>
      <c r="B38" s="31"/>
      <c r="C38" s="43" t="s">
        <v>97</v>
      </c>
      <c r="D38" s="89">
        <v>10</v>
      </c>
      <c r="E38" s="89">
        <v>15</v>
      </c>
      <c r="F38" s="89"/>
      <c r="G38" s="89"/>
      <c r="H38" s="89"/>
      <c r="I38" s="89"/>
      <c r="J38" s="82"/>
      <c r="K38" s="31">
        <f t="shared" si="1"/>
        <v>25</v>
      </c>
    </row>
    <row r="39" s="2" customFormat="1" ht="21" customHeight="1" spans="1:11">
      <c r="A39" s="47" t="s">
        <v>127</v>
      </c>
      <c r="B39" s="31"/>
      <c r="C39" s="31" t="s">
        <v>96</v>
      </c>
      <c r="D39" s="89">
        <v>15</v>
      </c>
      <c r="E39" s="89">
        <v>10</v>
      </c>
      <c r="F39" s="89"/>
      <c r="G39" s="89"/>
      <c r="H39" s="89"/>
      <c r="I39" s="89"/>
      <c r="J39" s="82"/>
      <c r="K39" s="31">
        <f t="shared" si="1"/>
        <v>25</v>
      </c>
    </row>
    <row r="40" s="2" customFormat="1" ht="21" customHeight="1" spans="1:11">
      <c r="A40" s="82" t="s">
        <v>128</v>
      </c>
      <c r="B40" s="82">
        <v>10.5</v>
      </c>
      <c r="C40" s="82" t="s">
        <v>129</v>
      </c>
      <c r="D40" s="89">
        <v>15</v>
      </c>
      <c r="E40" s="89">
        <v>10</v>
      </c>
      <c r="F40" s="89"/>
      <c r="G40" s="89"/>
      <c r="H40" s="89"/>
      <c r="I40" s="82"/>
      <c r="J40" s="82"/>
      <c r="K40" s="31">
        <f t="shared" si="1"/>
        <v>25</v>
      </c>
    </row>
    <row r="41" s="2" customFormat="1" ht="21" customHeight="1" spans="1:11">
      <c r="A41" s="82"/>
      <c r="B41" s="82"/>
      <c r="C41" s="82" t="s">
        <v>101</v>
      </c>
      <c r="D41" s="89">
        <v>15</v>
      </c>
      <c r="E41" s="89">
        <v>10</v>
      </c>
      <c r="F41" s="89"/>
      <c r="G41" s="89"/>
      <c r="H41" s="89"/>
      <c r="I41" s="82"/>
      <c r="J41" s="82"/>
      <c r="K41" s="31">
        <f t="shared" si="1"/>
        <v>25</v>
      </c>
    </row>
    <row r="42" s="2" customFormat="1" ht="21" customHeight="1" spans="1:11">
      <c r="A42" s="82" t="s">
        <v>130</v>
      </c>
      <c r="B42" s="82">
        <v>11.5</v>
      </c>
      <c r="C42" s="98" t="s">
        <v>103</v>
      </c>
      <c r="D42" s="89">
        <v>10</v>
      </c>
      <c r="E42" s="89">
        <v>11.5</v>
      </c>
      <c r="F42" s="89"/>
      <c r="G42" s="89"/>
      <c r="H42" s="89"/>
      <c r="I42" s="82"/>
      <c r="J42" s="82"/>
      <c r="K42" s="31">
        <f t="shared" si="1"/>
        <v>21.5</v>
      </c>
    </row>
    <row r="43" s="2" customFormat="1" ht="21" customHeight="1" spans="1:11">
      <c r="A43" s="82"/>
      <c r="B43" s="82"/>
      <c r="C43" s="98" t="s">
        <v>104</v>
      </c>
      <c r="D43" s="89">
        <v>10.5</v>
      </c>
      <c r="E43" s="89">
        <v>5</v>
      </c>
      <c r="F43" s="89"/>
      <c r="G43" s="89"/>
      <c r="H43" s="89"/>
      <c r="I43" s="82"/>
      <c r="J43" s="82"/>
      <c r="K43" s="31">
        <f t="shared" si="1"/>
        <v>15.5</v>
      </c>
    </row>
    <row r="44" s="2" customFormat="1" ht="21" customHeight="1" spans="1:11">
      <c r="A44" s="82"/>
      <c r="B44" s="82"/>
      <c r="C44" s="98" t="s">
        <v>131</v>
      </c>
      <c r="D44" s="89">
        <v>10.5</v>
      </c>
      <c r="E44" s="89">
        <v>5</v>
      </c>
      <c r="F44" s="89"/>
      <c r="G44" s="89"/>
      <c r="H44" s="89"/>
      <c r="I44" s="82"/>
      <c r="J44" s="82"/>
      <c r="K44" s="31">
        <f t="shared" si="1"/>
        <v>15.5</v>
      </c>
    </row>
    <row r="45" s="2" customFormat="1" ht="21" customHeight="1" spans="1:11">
      <c r="A45" s="82"/>
      <c r="B45" s="82"/>
      <c r="C45" s="98" t="s">
        <v>106</v>
      </c>
      <c r="D45" s="89">
        <v>10.5</v>
      </c>
      <c r="E45" s="89">
        <v>10</v>
      </c>
      <c r="F45" s="89"/>
      <c r="G45" s="89"/>
      <c r="H45" s="89"/>
      <c r="I45" s="82"/>
      <c r="J45" s="82"/>
      <c r="K45" s="31">
        <f t="shared" si="1"/>
        <v>20.5</v>
      </c>
    </row>
    <row r="46" s="2" customFormat="1" ht="21" customHeight="1" spans="1:11">
      <c r="A46" s="97" t="s">
        <v>107</v>
      </c>
      <c r="B46" s="97">
        <v>10.5</v>
      </c>
      <c r="C46" s="82" t="s">
        <v>108</v>
      </c>
      <c r="D46" s="89">
        <v>15.2</v>
      </c>
      <c r="E46" s="89">
        <v>5</v>
      </c>
      <c r="F46" s="98"/>
      <c r="G46" s="89"/>
      <c r="H46" s="89"/>
      <c r="I46" s="82"/>
      <c r="J46" s="82"/>
      <c r="K46" s="31">
        <f t="shared" si="1"/>
        <v>20.2</v>
      </c>
    </row>
    <row r="47" s="2" customFormat="1" ht="21" customHeight="1" spans="1:11">
      <c r="A47" s="97"/>
      <c r="B47" s="97"/>
      <c r="C47" s="82" t="s">
        <v>132</v>
      </c>
      <c r="D47" s="89">
        <v>30.4</v>
      </c>
      <c r="E47" s="89">
        <v>10</v>
      </c>
      <c r="F47" s="89"/>
      <c r="G47" s="89"/>
      <c r="H47" s="89"/>
      <c r="I47" s="82"/>
      <c r="J47" s="82"/>
      <c r="K47" s="31">
        <f t="shared" si="1"/>
        <v>40.4</v>
      </c>
    </row>
    <row r="48" s="2" customFormat="1" ht="21" customHeight="1" spans="1:11">
      <c r="A48" s="97"/>
      <c r="B48" s="97"/>
      <c r="C48" s="82" t="s">
        <v>111</v>
      </c>
      <c r="D48" s="89">
        <v>15.8</v>
      </c>
      <c r="E48" s="89">
        <v>5</v>
      </c>
      <c r="F48" s="89"/>
      <c r="G48" s="89"/>
      <c r="H48" s="89"/>
      <c r="I48" s="82"/>
      <c r="J48" s="82"/>
      <c r="K48" s="31">
        <f t="shared" si="1"/>
        <v>20.8</v>
      </c>
    </row>
    <row r="49" s="2" customFormat="1" ht="21" customHeight="1" spans="1:11">
      <c r="A49" s="97"/>
      <c r="B49" s="97"/>
      <c r="C49" s="82" t="s">
        <v>112</v>
      </c>
      <c r="D49" s="89">
        <v>15.8</v>
      </c>
      <c r="E49" s="89">
        <v>5</v>
      </c>
      <c r="F49" s="89"/>
      <c r="G49" s="89"/>
      <c r="H49" s="89"/>
      <c r="I49" s="82"/>
      <c r="J49" s="92"/>
      <c r="K49" s="31">
        <f t="shared" si="1"/>
        <v>20.8</v>
      </c>
    </row>
    <row r="50" s="2" customFormat="1" ht="21" customHeight="1" spans="1:11">
      <c r="A50" s="97"/>
      <c r="B50" s="97"/>
      <c r="C50" s="82" t="s">
        <v>113</v>
      </c>
      <c r="D50" s="89">
        <v>15.8</v>
      </c>
      <c r="E50" s="89">
        <v>5</v>
      </c>
      <c r="F50" s="89"/>
      <c r="G50" s="89"/>
      <c r="H50" s="89"/>
      <c r="I50" s="82"/>
      <c r="J50" s="92"/>
      <c r="K50" s="31">
        <f t="shared" si="1"/>
        <v>20.8</v>
      </c>
    </row>
    <row r="51" s="2" customFormat="1" ht="21" customHeight="1" spans="1:11">
      <c r="A51" s="89" t="s">
        <v>133</v>
      </c>
      <c r="B51" s="89">
        <v>10.5</v>
      </c>
      <c r="C51" s="82" t="s">
        <v>115</v>
      </c>
      <c r="D51" s="89">
        <v>10</v>
      </c>
      <c r="E51" s="89">
        <v>5</v>
      </c>
      <c r="F51" s="82"/>
      <c r="G51" s="82"/>
      <c r="H51" s="82"/>
      <c r="I51" s="82"/>
      <c r="J51" s="92"/>
      <c r="K51" s="31">
        <f t="shared" si="1"/>
        <v>15</v>
      </c>
    </row>
    <row r="52" s="2" customFormat="1" ht="21" customHeight="1" spans="1:11">
      <c r="A52" s="82" t="s">
        <v>116</v>
      </c>
      <c r="B52" s="82">
        <v>12</v>
      </c>
      <c r="C52" s="82" t="s">
        <v>134</v>
      </c>
      <c r="D52" s="82">
        <v>12</v>
      </c>
      <c r="E52" s="82">
        <v>5</v>
      </c>
      <c r="F52" s="82"/>
      <c r="G52" s="82"/>
      <c r="H52" s="82"/>
      <c r="I52" s="82"/>
      <c r="J52" s="92"/>
      <c r="K52" s="31">
        <f t="shared" si="1"/>
        <v>17</v>
      </c>
    </row>
    <row r="53" s="2" customFormat="1" ht="21" customHeight="1" spans="1:11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28">
        <f>SUM(K32:K52)</f>
        <v>485</v>
      </c>
    </row>
    <row r="56" s="4" customFormat="1" ht="21.75" customHeight="1" spans="1:11">
      <c r="A56" s="76" t="s">
        <v>80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s="4" customFormat="1" ht="21.75" customHeight="1" spans="1:11">
      <c r="A57" s="8" t="s">
        <v>135</v>
      </c>
      <c r="B57" s="9"/>
      <c r="C57" s="9"/>
      <c r="D57" s="10" t="s">
        <v>136</v>
      </c>
      <c r="E57" s="9"/>
      <c r="F57" s="9"/>
      <c r="G57" s="9"/>
      <c r="H57" s="9"/>
      <c r="I57" s="9"/>
      <c r="J57" s="9"/>
      <c r="K57" s="9"/>
    </row>
    <row r="58" s="4" customFormat="1" ht="21.75" customHeight="1" spans="1:11">
      <c r="A58" s="11" t="s">
        <v>83</v>
      </c>
      <c r="B58" s="11" t="s">
        <v>84</v>
      </c>
      <c r="C58" s="12" t="s">
        <v>120</v>
      </c>
      <c r="D58" s="13" t="s">
        <v>6</v>
      </c>
      <c r="E58" s="13" t="s">
        <v>6</v>
      </c>
      <c r="F58" s="11" t="s">
        <v>6</v>
      </c>
      <c r="G58" s="11" t="s">
        <v>6</v>
      </c>
      <c r="H58" s="11" t="s">
        <v>6</v>
      </c>
      <c r="I58" s="11" t="s">
        <v>6</v>
      </c>
      <c r="J58" s="11" t="s">
        <v>121</v>
      </c>
      <c r="K58" s="11" t="s">
        <v>87</v>
      </c>
    </row>
    <row r="59" s="4" customFormat="1" ht="21.75" customHeight="1" spans="1:11">
      <c r="A59" s="11" t="s">
        <v>122</v>
      </c>
      <c r="B59" s="11">
        <v>12</v>
      </c>
      <c r="C59" s="12" t="s">
        <v>123</v>
      </c>
      <c r="D59" s="13">
        <v>12</v>
      </c>
      <c r="E59" s="13">
        <v>10</v>
      </c>
      <c r="F59" s="58"/>
      <c r="G59" s="58"/>
      <c r="H59" s="13"/>
      <c r="I59" s="11"/>
      <c r="J59" s="11"/>
      <c r="K59" s="11">
        <f t="shared" ref="K59:K79" si="2">SUM(D59:J59)</f>
        <v>22</v>
      </c>
    </row>
    <row r="60" s="4" customFormat="1" ht="21.75" customHeight="1" spans="1:11">
      <c r="A60" s="77" t="s">
        <v>90</v>
      </c>
      <c r="B60" s="13">
        <v>11.5</v>
      </c>
      <c r="C60" s="12" t="s">
        <v>124</v>
      </c>
      <c r="D60" s="13">
        <v>17.5</v>
      </c>
      <c r="E60" s="13">
        <v>15</v>
      </c>
      <c r="F60" s="58"/>
      <c r="G60" s="58"/>
      <c r="H60" s="13"/>
      <c r="I60" s="11"/>
      <c r="J60" s="11"/>
      <c r="K60" s="11">
        <f t="shared" si="2"/>
        <v>32.5</v>
      </c>
    </row>
    <row r="61" s="4" customFormat="1" ht="21.75" customHeight="1" spans="1:11">
      <c r="A61" s="78"/>
      <c r="B61" s="21"/>
      <c r="C61" s="12" t="s">
        <v>92</v>
      </c>
      <c r="D61" s="13">
        <v>17.5</v>
      </c>
      <c r="E61" s="13">
        <v>15</v>
      </c>
      <c r="F61" s="58"/>
      <c r="G61" s="58"/>
      <c r="H61" s="13"/>
      <c r="I61" s="11"/>
      <c r="J61" s="11"/>
      <c r="K61" s="11">
        <f t="shared" si="2"/>
        <v>32.5</v>
      </c>
    </row>
    <row r="62" s="4" customFormat="1" ht="21.75" customHeight="1" spans="1:11">
      <c r="A62" s="77" t="s">
        <v>93</v>
      </c>
      <c r="B62" s="13">
        <v>11.5</v>
      </c>
      <c r="C62" s="12" t="s">
        <v>94</v>
      </c>
      <c r="D62" s="11">
        <v>0</v>
      </c>
      <c r="E62" s="11">
        <v>0</v>
      </c>
      <c r="F62" s="58"/>
      <c r="G62" s="58"/>
      <c r="H62" s="13"/>
      <c r="I62" s="11"/>
      <c r="J62" s="11"/>
      <c r="K62" s="11">
        <f t="shared" si="2"/>
        <v>0</v>
      </c>
    </row>
    <row r="63" s="4" customFormat="1" ht="21.75" customHeight="1" spans="1:11">
      <c r="A63" s="78"/>
      <c r="B63" s="21"/>
      <c r="C63" s="12" t="s">
        <v>95</v>
      </c>
      <c r="D63" s="13">
        <v>11.5</v>
      </c>
      <c r="E63" s="13">
        <v>10</v>
      </c>
      <c r="F63" s="58"/>
      <c r="G63" s="58"/>
      <c r="H63" s="13"/>
      <c r="I63" s="11"/>
      <c r="J63" s="11"/>
      <c r="K63" s="11">
        <f t="shared" si="2"/>
        <v>21.5</v>
      </c>
    </row>
    <row r="64" s="4" customFormat="1" ht="21.75" customHeight="1" spans="1:11">
      <c r="A64" s="78"/>
      <c r="B64" s="21"/>
      <c r="C64" s="11" t="s">
        <v>96</v>
      </c>
      <c r="D64" s="11">
        <v>0</v>
      </c>
      <c r="E64" s="11">
        <v>0</v>
      </c>
      <c r="F64" s="58"/>
      <c r="G64" s="58"/>
      <c r="H64" s="13"/>
      <c r="I64" s="11"/>
      <c r="J64" s="11"/>
      <c r="K64" s="11">
        <f t="shared" si="2"/>
        <v>0</v>
      </c>
    </row>
    <row r="65" s="4" customFormat="1" ht="21.75" customHeight="1" spans="1:11">
      <c r="A65" s="78"/>
      <c r="B65" s="21"/>
      <c r="C65" s="12" t="s">
        <v>97</v>
      </c>
      <c r="D65" s="11">
        <v>0</v>
      </c>
      <c r="E65" s="11">
        <v>0</v>
      </c>
      <c r="F65" s="58"/>
      <c r="G65" s="58"/>
      <c r="H65" s="13"/>
      <c r="I65" s="13"/>
      <c r="J65" s="11"/>
      <c r="K65" s="11">
        <f t="shared" si="2"/>
        <v>0</v>
      </c>
    </row>
    <row r="66" s="4" customFormat="1" ht="21.75" customHeight="1" spans="1:11">
      <c r="A66" s="79"/>
      <c r="B66" s="80"/>
      <c r="C66" s="12" t="s">
        <v>98</v>
      </c>
      <c r="D66" s="13">
        <v>11.5</v>
      </c>
      <c r="E66" s="13">
        <v>10</v>
      </c>
      <c r="F66" s="58"/>
      <c r="G66" s="58"/>
      <c r="H66" s="13"/>
      <c r="I66" s="13"/>
      <c r="J66" s="11"/>
      <c r="K66" s="11">
        <f t="shared" si="2"/>
        <v>21.5</v>
      </c>
    </row>
    <row r="67" s="4" customFormat="1" ht="21.75" customHeight="1" spans="1:11">
      <c r="A67" s="11" t="s">
        <v>128</v>
      </c>
      <c r="B67" s="11">
        <v>10.5</v>
      </c>
      <c r="C67" s="11" t="s">
        <v>129</v>
      </c>
      <c r="D67" s="13">
        <v>10.5</v>
      </c>
      <c r="E67" s="13">
        <v>5</v>
      </c>
      <c r="F67" s="63"/>
      <c r="G67" s="63"/>
      <c r="H67" s="13"/>
      <c r="I67" s="11"/>
      <c r="J67" s="11"/>
      <c r="K67" s="11">
        <f t="shared" si="2"/>
        <v>15.5</v>
      </c>
    </row>
    <row r="68" s="4" customFormat="1" ht="21.75" customHeight="1" spans="1:11">
      <c r="A68" s="11"/>
      <c r="B68" s="11"/>
      <c r="C68" s="11" t="s">
        <v>101</v>
      </c>
      <c r="D68" s="11">
        <v>10.5</v>
      </c>
      <c r="E68" s="11">
        <v>5</v>
      </c>
      <c r="F68" s="58"/>
      <c r="G68" s="58"/>
      <c r="H68" s="13"/>
      <c r="I68" s="11"/>
      <c r="J68" s="11"/>
      <c r="K68" s="11">
        <f t="shared" si="2"/>
        <v>15.5</v>
      </c>
    </row>
    <row r="69" s="4" customFormat="1" ht="21.75" customHeight="1" spans="1:11">
      <c r="A69" s="11" t="s">
        <v>130</v>
      </c>
      <c r="B69" s="11">
        <v>11.5</v>
      </c>
      <c r="C69" s="12" t="s">
        <v>103</v>
      </c>
      <c r="D69" s="11">
        <v>0</v>
      </c>
      <c r="E69" s="11">
        <v>0</v>
      </c>
      <c r="F69" s="58"/>
      <c r="G69" s="58"/>
      <c r="H69" s="13"/>
      <c r="I69" s="11"/>
      <c r="J69" s="11"/>
      <c r="K69" s="11">
        <f t="shared" si="2"/>
        <v>0</v>
      </c>
    </row>
    <row r="70" s="4" customFormat="1" ht="21.75" customHeight="1" spans="1:11">
      <c r="A70" s="11"/>
      <c r="B70" s="11"/>
      <c r="C70" s="12" t="s">
        <v>104</v>
      </c>
      <c r="D70" s="13">
        <v>0</v>
      </c>
      <c r="E70" s="13">
        <v>0</v>
      </c>
      <c r="F70" s="58"/>
      <c r="G70" s="58"/>
      <c r="H70" s="13"/>
      <c r="I70" s="11"/>
      <c r="J70" s="11"/>
      <c r="K70" s="11">
        <f t="shared" si="2"/>
        <v>0</v>
      </c>
    </row>
    <row r="71" s="4" customFormat="1" ht="21.75" customHeight="1" spans="1:11">
      <c r="A71" s="11"/>
      <c r="B71" s="11"/>
      <c r="C71" s="12" t="s">
        <v>131</v>
      </c>
      <c r="D71" s="13">
        <v>10.5</v>
      </c>
      <c r="E71" s="13">
        <v>5</v>
      </c>
      <c r="F71" s="65"/>
      <c r="G71" s="65"/>
      <c r="H71" s="13"/>
      <c r="I71" s="11"/>
      <c r="J71" s="11"/>
      <c r="K71" s="11">
        <f t="shared" si="2"/>
        <v>15.5</v>
      </c>
    </row>
    <row r="72" s="4" customFormat="1" ht="21.75" customHeight="1" spans="1:11">
      <c r="A72" s="11"/>
      <c r="B72" s="11"/>
      <c r="C72" s="12" t="s">
        <v>106</v>
      </c>
      <c r="D72" s="11">
        <v>0</v>
      </c>
      <c r="E72" s="11">
        <v>0</v>
      </c>
      <c r="F72" s="67"/>
      <c r="G72" s="67"/>
      <c r="H72" s="13"/>
      <c r="I72" s="11"/>
      <c r="J72" s="11"/>
      <c r="K72" s="11">
        <f t="shared" si="2"/>
        <v>0</v>
      </c>
    </row>
    <row r="73" s="4" customFormat="1" ht="21.75" customHeight="1" spans="1:11">
      <c r="A73" s="21" t="s">
        <v>107</v>
      </c>
      <c r="B73" s="21">
        <v>10.5</v>
      </c>
      <c r="C73" s="11" t="s">
        <v>108</v>
      </c>
      <c r="D73" s="13">
        <v>10.5</v>
      </c>
      <c r="E73" s="13">
        <v>5</v>
      </c>
      <c r="F73" s="58"/>
      <c r="G73" s="58"/>
      <c r="H73" s="13"/>
      <c r="I73" s="11"/>
      <c r="J73" s="11"/>
      <c r="K73" s="11">
        <f t="shared" si="2"/>
        <v>15.5</v>
      </c>
    </row>
    <row r="74" s="4" customFormat="1" ht="21.75" customHeight="1" spans="1:11">
      <c r="A74" s="21"/>
      <c r="B74" s="21"/>
      <c r="C74" s="11" t="s">
        <v>132</v>
      </c>
      <c r="D74" s="13">
        <v>10.5</v>
      </c>
      <c r="E74" s="13">
        <v>5</v>
      </c>
      <c r="F74" s="58"/>
      <c r="G74" s="58"/>
      <c r="H74" s="13"/>
      <c r="I74" s="11"/>
      <c r="J74" s="11"/>
      <c r="K74" s="11">
        <f t="shared" si="2"/>
        <v>15.5</v>
      </c>
    </row>
    <row r="75" s="4" customFormat="1" ht="21.75" customHeight="1" spans="1:11">
      <c r="A75" s="21"/>
      <c r="B75" s="21"/>
      <c r="C75" s="11" t="s">
        <v>111</v>
      </c>
      <c r="D75" s="13">
        <v>10.5</v>
      </c>
      <c r="E75" s="13">
        <v>5</v>
      </c>
      <c r="F75" s="58"/>
      <c r="G75" s="58"/>
      <c r="H75" s="13"/>
      <c r="I75" s="11"/>
      <c r="J75" s="11"/>
      <c r="K75" s="11">
        <f t="shared" si="2"/>
        <v>15.5</v>
      </c>
    </row>
    <row r="76" s="4" customFormat="1" ht="21.75" customHeight="1" spans="1:11">
      <c r="A76" s="21"/>
      <c r="B76" s="21"/>
      <c r="C76" s="11" t="s">
        <v>112</v>
      </c>
      <c r="D76" s="11">
        <v>0</v>
      </c>
      <c r="E76" s="11">
        <v>0</v>
      </c>
      <c r="F76" s="58"/>
      <c r="G76" s="58"/>
      <c r="H76" s="13"/>
      <c r="I76" s="11"/>
      <c r="J76" s="30"/>
      <c r="K76" s="11">
        <f t="shared" si="2"/>
        <v>0</v>
      </c>
    </row>
    <row r="77" s="4" customFormat="1" ht="21.75" customHeight="1" spans="1:11">
      <c r="A77" s="21"/>
      <c r="B77" s="21"/>
      <c r="C77" s="11" t="s">
        <v>113</v>
      </c>
      <c r="D77" s="11">
        <v>0</v>
      </c>
      <c r="E77" s="11">
        <v>0</v>
      </c>
      <c r="F77" s="58"/>
      <c r="G77" s="58"/>
      <c r="H77" s="13"/>
      <c r="I77" s="11"/>
      <c r="J77" s="30"/>
      <c r="K77" s="11">
        <f t="shared" si="2"/>
        <v>0</v>
      </c>
    </row>
    <row r="78" s="4" customFormat="1" ht="21.75" customHeight="1" spans="1:11">
      <c r="A78" s="13" t="s">
        <v>133</v>
      </c>
      <c r="B78" s="13">
        <v>10.5</v>
      </c>
      <c r="C78" s="11" t="s">
        <v>115</v>
      </c>
      <c r="D78" s="11">
        <v>10</v>
      </c>
      <c r="E78" s="11">
        <v>10</v>
      </c>
      <c r="F78" s="58"/>
      <c r="G78" s="58"/>
      <c r="H78" s="11"/>
      <c r="I78" s="11"/>
      <c r="J78" s="30"/>
      <c r="K78" s="11">
        <f t="shared" si="2"/>
        <v>20</v>
      </c>
    </row>
    <row r="79" s="4" customFormat="1" ht="21.75" customHeight="1" spans="1:11">
      <c r="A79" s="13" t="s">
        <v>116</v>
      </c>
      <c r="B79" s="13">
        <v>12</v>
      </c>
      <c r="C79" s="13" t="s">
        <v>134</v>
      </c>
      <c r="D79" s="13">
        <v>12</v>
      </c>
      <c r="E79" s="13">
        <v>12</v>
      </c>
      <c r="F79" s="132"/>
      <c r="G79" s="132"/>
      <c r="H79" s="13"/>
      <c r="I79" s="13"/>
      <c r="J79" s="17"/>
      <c r="K79" s="13">
        <f t="shared" si="2"/>
        <v>24</v>
      </c>
    </row>
    <row r="80" s="4" customFormat="1" ht="21.75" customHeight="1" spans="1:11">
      <c r="A80" s="12"/>
      <c r="B80" s="81"/>
      <c r="C80" s="81"/>
      <c r="D80" s="81"/>
      <c r="E80" s="81"/>
      <c r="F80" s="81"/>
      <c r="G80" s="81"/>
      <c r="H80" s="81"/>
      <c r="I80" s="81"/>
      <c r="J80" s="81"/>
      <c r="K80" s="11">
        <f>SUM(K59:K79)</f>
        <v>267</v>
      </c>
    </row>
    <row r="83" s="2" customFormat="1" ht="21" customHeight="1" spans="1:11">
      <c r="A83" s="83" t="s">
        <v>137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</row>
    <row r="84" s="2" customFormat="1" ht="21" customHeight="1" spans="1:11">
      <c r="A84" s="84" t="s">
        <v>138</v>
      </c>
      <c r="B84" s="84"/>
      <c r="C84" s="84"/>
      <c r="D84" s="85" t="s">
        <v>139</v>
      </c>
      <c r="E84" s="84"/>
      <c r="F84" s="84"/>
      <c r="G84" s="84"/>
      <c r="H84" s="84"/>
      <c r="I84" s="84"/>
      <c r="J84" s="84"/>
      <c r="K84" s="84"/>
    </row>
    <row r="85" s="2" customFormat="1" ht="21" customHeight="1" spans="1:11">
      <c r="A85" s="86" t="s">
        <v>83</v>
      </c>
      <c r="B85" s="86" t="s">
        <v>84</v>
      </c>
      <c r="C85" s="87" t="s">
        <v>120</v>
      </c>
      <c r="D85" s="88" t="s">
        <v>6</v>
      </c>
      <c r="E85" s="88" t="s">
        <v>6</v>
      </c>
      <c r="F85" s="86" t="s">
        <v>6</v>
      </c>
      <c r="G85" s="86" t="s">
        <v>6</v>
      </c>
      <c r="H85" s="86" t="s">
        <v>6</v>
      </c>
      <c r="I85" s="86" t="s">
        <v>6</v>
      </c>
      <c r="J85" s="86" t="s">
        <v>121</v>
      </c>
      <c r="K85" s="86" t="s">
        <v>87</v>
      </c>
    </row>
    <row r="86" s="2" customFormat="1" ht="21" customHeight="1" spans="1:11">
      <c r="A86" s="31" t="s">
        <v>122</v>
      </c>
      <c r="B86" s="31">
        <v>12</v>
      </c>
      <c r="C86" s="98" t="s">
        <v>123</v>
      </c>
      <c r="D86" s="89">
        <v>12</v>
      </c>
      <c r="E86" s="89">
        <v>20</v>
      </c>
      <c r="F86" s="90"/>
      <c r="G86" s="91"/>
      <c r="H86" s="91"/>
      <c r="I86" s="92"/>
      <c r="J86" s="82"/>
      <c r="K86" s="31">
        <f t="shared" ref="K86:K106" si="3">SUM(D86:J86)</f>
        <v>32</v>
      </c>
    </row>
    <row r="87" s="2" customFormat="1" ht="21" customHeight="1" spans="1:11">
      <c r="A87" s="93" t="s">
        <v>90</v>
      </c>
      <c r="B87" s="31">
        <v>11.5</v>
      </c>
      <c r="C87" s="43" t="s">
        <v>124</v>
      </c>
      <c r="D87" s="89">
        <v>17.5</v>
      </c>
      <c r="E87" s="89">
        <v>25</v>
      </c>
      <c r="F87" s="90"/>
      <c r="G87" s="91"/>
      <c r="H87" s="91"/>
      <c r="I87" s="92"/>
      <c r="J87" s="82"/>
      <c r="K87" s="31">
        <f t="shared" si="3"/>
        <v>42.5</v>
      </c>
    </row>
    <row r="88" s="2" customFormat="1" ht="21" customHeight="1" spans="1:11">
      <c r="A88" s="93"/>
      <c r="B88" s="31"/>
      <c r="C88" s="43" t="s">
        <v>92</v>
      </c>
      <c r="D88" s="89">
        <v>17.5</v>
      </c>
      <c r="E88" s="89">
        <v>15</v>
      </c>
      <c r="F88" s="90"/>
      <c r="G88" s="91"/>
      <c r="H88" s="91"/>
      <c r="I88" s="92"/>
      <c r="J88" s="82"/>
      <c r="K88" s="31">
        <f t="shared" si="3"/>
        <v>32.5</v>
      </c>
    </row>
    <row r="89" s="2" customFormat="1" ht="21" customHeight="1" spans="1:11">
      <c r="A89" s="42" t="s">
        <v>125</v>
      </c>
      <c r="B89" s="31">
        <v>11.5</v>
      </c>
      <c r="C89" s="43" t="s">
        <v>94</v>
      </c>
      <c r="D89" s="89">
        <v>20</v>
      </c>
      <c r="E89" s="89">
        <v>10</v>
      </c>
      <c r="F89" s="90"/>
      <c r="G89" s="91"/>
      <c r="H89" s="91"/>
      <c r="I89" s="92"/>
      <c r="J89" s="82"/>
      <c r="K89" s="31">
        <f t="shared" si="3"/>
        <v>30</v>
      </c>
    </row>
    <row r="90" s="2" customFormat="1" ht="21" customHeight="1" spans="1:11">
      <c r="A90" s="44"/>
      <c r="B90" s="31"/>
      <c r="C90" s="2" t="s">
        <v>98</v>
      </c>
      <c r="D90" s="89">
        <v>15</v>
      </c>
      <c r="E90" s="89">
        <v>10</v>
      </c>
      <c r="F90" s="90"/>
      <c r="G90" s="91"/>
      <c r="H90" s="91"/>
      <c r="I90" s="92"/>
      <c r="J90" s="82"/>
      <c r="K90" s="31">
        <f t="shared" si="3"/>
        <v>25</v>
      </c>
    </row>
    <row r="91" s="2" customFormat="1" ht="21" customHeight="1" spans="1:11">
      <c r="A91" s="45" t="s">
        <v>126</v>
      </c>
      <c r="B91" s="31"/>
      <c r="C91" s="43" t="s">
        <v>95</v>
      </c>
      <c r="D91" s="89">
        <v>15</v>
      </c>
      <c r="E91" s="89">
        <v>10</v>
      </c>
      <c r="F91" s="90"/>
      <c r="G91" s="91"/>
      <c r="H91" s="91"/>
      <c r="I91" s="92"/>
      <c r="J91" s="82"/>
      <c r="K91" s="31">
        <f t="shared" si="3"/>
        <v>25</v>
      </c>
    </row>
    <row r="92" s="2" customFormat="1" ht="21" customHeight="1" spans="1:11">
      <c r="A92" s="46"/>
      <c r="B92" s="31"/>
      <c r="C92" s="43" t="s">
        <v>97</v>
      </c>
      <c r="D92" s="89">
        <v>15</v>
      </c>
      <c r="E92" s="89">
        <v>10</v>
      </c>
      <c r="F92" s="90"/>
      <c r="G92" s="91"/>
      <c r="H92" s="91"/>
      <c r="I92" s="94"/>
      <c r="J92" s="82"/>
      <c r="K92" s="31">
        <f t="shared" si="3"/>
        <v>25</v>
      </c>
    </row>
    <row r="93" s="2" customFormat="1" ht="21" customHeight="1" spans="1:11">
      <c r="A93" s="47" t="s">
        <v>127</v>
      </c>
      <c r="B93" s="31"/>
      <c r="C93" s="31" t="s">
        <v>96</v>
      </c>
      <c r="D93" s="89">
        <v>20</v>
      </c>
      <c r="E93" s="89">
        <v>10</v>
      </c>
      <c r="F93" s="90"/>
      <c r="G93" s="91"/>
      <c r="H93" s="91"/>
      <c r="I93" s="94"/>
      <c r="J93" s="82"/>
      <c r="K93" s="31">
        <f t="shared" si="3"/>
        <v>30</v>
      </c>
    </row>
    <row r="94" s="2" customFormat="1" ht="21" customHeight="1" spans="1:11">
      <c r="A94" s="31" t="s">
        <v>128</v>
      </c>
      <c r="B94" s="31">
        <v>10.5</v>
      </c>
      <c r="C94" s="31" t="s">
        <v>129</v>
      </c>
      <c r="D94" s="89">
        <v>15</v>
      </c>
      <c r="E94" s="89">
        <v>10</v>
      </c>
      <c r="F94" s="90"/>
      <c r="G94" s="91"/>
      <c r="H94" s="91"/>
      <c r="I94" s="92"/>
      <c r="J94" s="82"/>
      <c r="K94" s="31">
        <f t="shared" si="3"/>
        <v>25</v>
      </c>
    </row>
    <row r="95" s="2" customFormat="1" ht="21" customHeight="1" spans="1:11">
      <c r="A95" s="31"/>
      <c r="B95" s="31"/>
      <c r="C95" s="31" t="s">
        <v>101</v>
      </c>
      <c r="D95" s="89">
        <v>15</v>
      </c>
      <c r="E95" s="89">
        <v>10</v>
      </c>
      <c r="F95" s="90"/>
      <c r="G95" s="91"/>
      <c r="H95" s="91"/>
      <c r="I95" s="92"/>
      <c r="J95" s="82"/>
      <c r="K95" s="31">
        <f t="shared" si="3"/>
        <v>25</v>
      </c>
    </row>
    <row r="96" s="2" customFormat="1" ht="21" customHeight="1" spans="1:11">
      <c r="A96" s="31" t="s">
        <v>130</v>
      </c>
      <c r="B96" s="31">
        <v>11.5</v>
      </c>
      <c r="C96" s="43" t="s">
        <v>103</v>
      </c>
      <c r="D96" s="89">
        <v>48</v>
      </c>
      <c r="E96" s="89">
        <v>10</v>
      </c>
      <c r="F96" s="90"/>
      <c r="G96" s="91"/>
      <c r="H96" s="91"/>
      <c r="I96" s="92"/>
      <c r="J96" s="82"/>
      <c r="K96" s="31">
        <f t="shared" si="3"/>
        <v>58</v>
      </c>
    </row>
    <row r="97" s="2" customFormat="1" ht="21" customHeight="1" spans="1:11">
      <c r="A97" s="31"/>
      <c r="B97" s="31"/>
      <c r="C97" s="43" t="s">
        <v>104</v>
      </c>
      <c r="D97" s="82">
        <v>26</v>
      </c>
      <c r="E97" s="89">
        <v>10</v>
      </c>
      <c r="F97" s="90"/>
      <c r="G97" s="91"/>
      <c r="H97" s="91"/>
      <c r="I97" s="92"/>
      <c r="J97" s="82"/>
      <c r="K97" s="31">
        <f t="shared" si="3"/>
        <v>36</v>
      </c>
    </row>
    <row r="98" s="2" customFormat="1" ht="21" customHeight="1" spans="1:11">
      <c r="A98" s="31"/>
      <c r="B98" s="31"/>
      <c r="C98" s="43" t="s">
        <v>131</v>
      </c>
      <c r="D98" s="82">
        <v>26</v>
      </c>
      <c r="E98" s="89">
        <v>10</v>
      </c>
      <c r="F98" s="90"/>
      <c r="G98" s="91"/>
      <c r="H98" s="91"/>
      <c r="I98" s="92"/>
      <c r="J98" s="82"/>
      <c r="K98" s="31">
        <f t="shared" si="3"/>
        <v>36</v>
      </c>
    </row>
    <row r="99" s="2" customFormat="1" ht="21" customHeight="1" spans="1:11">
      <c r="A99" s="31"/>
      <c r="B99" s="31"/>
      <c r="C99" s="43" t="s">
        <v>106</v>
      </c>
      <c r="D99" s="82">
        <v>34</v>
      </c>
      <c r="E99" s="89">
        <v>10</v>
      </c>
      <c r="F99" s="90"/>
      <c r="G99" s="91"/>
      <c r="H99" s="91"/>
      <c r="I99" s="92"/>
      <c r="J99" s="82"/>
      <c r="K99" s="31">
        <f t="shared" si="3"/>
        <v>44</v>
      </c>
    </row>
    <row r="100" s="2" customFormat="1" ht="21" customHeight="1" spans="1:11">
      <c r="A100" s="95" t="s">
        <v>107</v>
      </c>
      <c r="B100" s="95">
        <v>10.5</v>
      </c>
      <c r="C100" s="31" t="s">
        <v>108</v>
      </c>
      <c r="D100" s="89">
        <v>51</v>
      </c>
      <c r="E100" s="89">
        <v>10</v>
      </c>
      <c r="F100" s="90"/>
      <c r="G100" s="91"/>
      <c r="H100" s="91"/>
      <c r="I100" s="92"/>
      <c r="J100" s="82"/>
      <c r="K100" s="31">
        <f t="shared" si="3"/>
        <v>61</v>
      </c>
    </row>
    <row r="101" s="2" customFormat="1" ht="21" customHeight="1" spans="1:11">
      <c r="A101" s="95"/>
      <c r="B101" s="95"/>
      <c r="C101" s="31" t="s">
        <v>132</v>
      </c>
      <c r="D101" s="89">
        <v>51</v>
      </c>
      <c r="E101" s="89">
        <v>10</v>
      </c>
      <c r="F101" s="90"/>
      <c r="G101" s="91"/>
      <c r="H101" s="91"/>
      <c r="I101" s="92"/>
      <c r="J101" s="82"/>
      <c r="K101" s="31">
        <f t="shared" si="3"/>
        <v>61</v>
      </c>
    </row>
    <row r="102" s="2" customFormat="1" ht="21" customHeight="1" spans="1:11">
      <c r="A102" s="95"/>
      <c r="B102" s="95"/>
      <c r="C102" s="31" t="s">
        <v>111</v>
      </c>
      <c r="D102" s="89">
        <v>34</v>
      </c>
      <c r="E102" s="89">
        <v>10</v>
      </c>
      <c r="F102" s="90"/>
      <c r="G102" s="91"/>
      <c r="H102" s="91"/>
      <c r="I102" s="92"/>
      <c r="J102" s="82"/>
      <c r="K102" s="31">
        <f t="shared" si="3"/>
        <v>44</v>
      </c>
    </row>
    <row r="103" s="2" customFormat="1" ht="21" customHeight="1" spans="1:11">
      <c r="A103" s="95"/>
      <c r="B103" s="95"/>
      <c r="C103" s="31" t="s">
        <v>112</v>
      </c>
      <c r="D103" s="89">
        <v>34</v>
      </c>
      <c r="E103" s="89">
        <v>10</v>
      </c>
      <c r="F103" s="90"/>
      <c r="G103" s="91"/>
      <c r="H103" s="91"/>
      <c r="I103" s="92"/>
      <c r="J103" s="92"/>
      <c r="K103" s="31">
        <f t="shared" si="3"/>
        <v>44</v>
      </c>
    </row>
    <row r="104" s="2" customFormat="1" ht="21" customHeight="1" spans="1:11">
      <c r="A104" s="95"/>
      <c r="B104" s="95"/>
      <c r="C104" s="31" t="s">
        <v>113</v>
      </c>
      <c r="D104" s="89">
        <v>34</v>
      </c>
      <c r="E104" s="89">
        <v>10</v>
      </c>
      <c r="F104" s="90"/>
      <c r="G104" s="91"/>
      <c r="H104" s="91"/>
      <c r="I104" s="92"/>
      <c r="J104" s="92"/>
      <c r="K104" s="31">
        <f t="shared" si="3"/>
        <v>44</v>
      </c>
    </row>
    <row r="105" s="2" customFormat="1" ht="21" customHeight="1" spans="1:11">
      <c r="A105" s="50" t="s">
        <v>133</v>
      </c>
      <c r="B105" s="50">
        <v>10.5</v>
      </c>
      <c r="C105" s="31" t="s">
        <v>115</v>
      </c>
      <c r="D105" s="89">
        <v>10.5</v>
      </c>
      <c r="E105" s="89">
        <v>10</v>
      </c>
      <c r="F105" s="90"/>
      <c r="G105" s="91"/>
      <c r="H105" s="91"/>
      <c r="I105" s="92"/>
      <c r="J105" s="92"/>
      <c r="K105" s="31">
        <f t="shared" si="3"/>
        <v>20.5</v>
      </c>
    </row>
    <row r="106" s="2" customFormat="1" ht="21" customHeight="1" spans="1:11">
      <c r="A106" s="31" t="s">
        <v>116</v>
      </c>
      <c r="B106" s="31">
        <v>12</v>
      </c>
      <c r="C106" s="31" t="s">
        <v>134</v>
      </c>
      <c r="D106" s="82">
        <v>12</v>
      </c>
      <c r="E106" s="82">
        <v>10</v>
      </c>
      <c r="F106" s="98"/>
      <c r="G106" s="91"/>
      <c r="H106" s="91"/>
      <c r="I106" s="92"/>
      <c r="J106" s="92"/>
      <c r="K106" s="31">
        <f t="shared" si="3"/>
        <v>22</v>
      </c>
    </row>
    <row r="107" s="2" customFormat="1" ht="21" customHeight="1" spans="1:11">
      <c r="A107" s="43"/>
      <c r="B107" s="51"/>
      <c r="C107" s="51"/>
      <c r="D107" s="125">
        <f t="shared" ref="D107:F107" si="4">SUM(D86:D106)</f>
        <v>522.5</v>
      </c>
      <c r="E107" s="125">
        <f t="shared" si="4"/>
        <v>240</v>
      </c>
      <c r="F107" s="125">
        <f t="shared" si="4"/>
        <v>0</v>
      </c>
      <c r="G107" s="125"/>
      <c r="H107" s="125"/>
      <c r="I107" s="125"/>
      <c r="J107" s="125"/>
      <c r="K107" s="82">
        <f>SUM(K86:K106)</f>
        <v>762.5</v>
      </c>
    </row>
    <row r="110" s="2" customFormat="1" ht="21" customHeight="1" spans="1:11">
      <c r="A110" s="83" t="s">
        <v>140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</row>
    <row r="111" s="2" customFormat="1" ht="21" customHeight="1" spans="1:11">
      <c r="A111" s="84" t="s">
        <v>138</v>
      </c>
      <c r="B111" s="84"/>
      <c r="C111" s="84"/>
      <c r="D111" s="85" t="s">
        <v>141</v>
      </c>
      <c r="E111" s="84"/>
      <c r="F111" s="84"/>
      <c r="G111" s="84"/>
      <c r="H111" s="84"/>
      <c r="I111" s="84"/>
      <c r="J111" s="84"/>
      <c r="K111" s="84"/>
    </row>
    <row r="112" s="2" customFormat="1" ht="21" customHeight="1" spans="1:11">
      <c r="A112" s="86" t="s">
        <v>83</v>
      </c>
      <c r="B112" s="86" t="s">
        <v>84</v>
      </c>
      <c r="C112" s="87" t="s">
        <v>120</v>
      </c>
      <c r="D112" s="88" t="s">
        <v>6</v>
      </c>
      <c r="E112" s="88" t="s">
        <v>6</v>
      </c>
      <c r="F112" s="86" t="s">
        <v>6</v>
      </c>
      <c r="G112" s="86" t="s">
        <v>6</v>
      </c>
      <c r="H112" s="86" t="s">
        <v>6</v>
      </c>
      <c r="I112" s="86" t="s">
        <v>6</v>
      </c>
      <c r="J112" s="86" t="s">
        <v>121</v>
      </c>
      <c r="K112" s="86" t="s">
        <v>87</v>
      </c>
    </row>
    <row r="113" s="2" customFormat="1" ht="21" customHeight="1" spans="1:11">
      <c r="A113" s="31" t="s">
        <v>122</v>
      </c>
      <c r="B113" s="31">
        <v>12</v>
      </c>
      <c r="C113" s="98" t="s">
        <v>123</v>
      </c>
      <c r="D113" s="89">
        <v>12</v>
      </c>
      <c r="E113" s="89">
        <v>20</v>
      </c>
      <c r="F113" s="90"/>
      <c r="G113" s="91"/>
      <c r="H113" s="91"/>
      <c r="I113" s="92"/>
      <c r="J113" s="82"/>
      <c r="K113" s="31">
        <f t="shared" ref="K113:K133" si="5">SUM(D113:J113)</f>
        <v>32</v>
      </c>
    </row>
    <row r="114" s="2" customFormat="1" ht="21" customHeight="1" spans="1:11">
      <c r="A114" s="93" t="s">
        <v>90</v>
      </c>
      <c r="B114" s="31">
        <v>11.5</v>
      </c>
      <c r="C114" s="43" t="s">
        <v>124</v>
      </c>
      <c r="D114" s="89">
        <v>17</v>
      </c>
      <c r="E114" s="89">
        <v>20</v>
      </c>
      <c r="F114" s="90"/>
      <c r="G114" s="91"/>
      <c r="H114" s="91"/>
      <c r="I114" s="92"/>
      <c r="J114" s="82"/>
      <c r="K114" s="31">
        <f t="shared" si="5"/>
        <v>37</v>
      </c>
    </row>
    <row r="115" s="2" customFormat="1" ht="21" customHeight="1" spans="1:11">
      <c r="A115" s="93"/>
      <c r="B115" s="31"/>
      <c r="C115" s="43" t="s">
        <v>92</v>
      </c>
      <c r="D115" s="89">
        <v>17</v>
      </c>
      <c r="E115" s="89">
        <v>10</v>
      </c>
      <c r="F115" s="90"/>
      <c r="G115" s="91"/>
      <c r="H115" s="91"/>
      <c r="I115" s="92"/>
      <c r="J115" s="82"/>
      <c r="K115" s="31">
        <f t="shared" si="5"/>
        <v>27</v>
      </c>
    </row>
    <row r="116" s="2" customFormat="1" ht="21" customHeight="1" spans="1:11">
      <c r="A116" s="42" t="s">
        <v>125</v>
      </c>
      <c r="B116" s="31">
        <v>11.5</v>
      </c>
      <c r="C116" s="43" t="s">
        <v>94</v>
      </c>
      <c r="D116" s="89">
        <v>20</v>
      </c>
      <c r="E116" s="89">
        <v>10</v>
      </c>
      <c r="F116" s="90"/>
      <c r="G116" s="91"/>
      <c r="H116" s="91"/>
      <c r="I116" s="92"/>
      <c r="J116" s="82"/>
      <c r="K116" s="31">
        <f t="shared" si="5"/>
        <v>30</v>
      </c>
    </row>
    <row r="117" s="2" customFormat="1" ht="21" customHeight="1" spans="1:11">
      <c r="A117" s="44"/>
      <c r="B117" s="31"/>
      <c r="C117" s="2" t="s">
        <v>98</v>
      </c>
      <c r="D117" s="89">
        <v>15</v>
      </c>
      <c r="E117" s="89">
        <v>10</v>
      </c>
      <c r="F117" s="90"/>
      <c r="G117" s="91"/>
      <c r="H117" s="91"/>
      <c r="I117" s="92"/>
      <c r="J117" s="82"/>
      <c r="K117" s="31">
        <f t="shared" si="5"/>
        <v>25</v>
      </c>
    </row>
    <row r="118" s="2" customFormat="1" ht="21" customHeight="1" spans="1:11">
      <c r="A118" s="45" t="s">
        <v>126</v>
      </c>
      <c r="B118" s="31"/>
      <c r="C118" s="43" t="s">
        <v>95</v>
      </c>
      <c r="D118" s="89">
        <v>15</v>
      </c>
      <c r="E118" s="89">
        <v>10</v>
      </c>
      <c r="F118" s="90"/>
      <c r="G118" s="91"/>
      <c r="H118" s="91"/>
      <c r="I118" s="92"/>
      <c r="J118" s="82"/>
      <c r="K118" s="31">
        <f t="shared" si="5"/>
        <v>25</v>
      </c>
    </row>
    <row r="119" s="2" customFormat="1" ht="21" customHeight="1" spans="1:11">
      <c r="A119" s="46"/>
      <c r="B119" s="31"/>
      <c r="C119" s="43" t="s">
        <v>97</v>
      </c>
      <c r="D119" s="89">
        <v>15</v>
      </c>
      <c r="E119" s="89">
        <v>10</v>
      </c>
      <c r="F119" s="90"/>
      <c r="G119" s="91"/>
      <c r="H119" s="91"/>
      <c r="I119" s="94"/>
      <c r="J119" s="82"/>
      <c r="K119" s="31">
        <f t="shared" si="5"/>
        <v>25</v>
      </c>
    </row>
    <row r="120" s="2" customFormat="1" ht="21" customHeight="1" spans="1:11">
      <c r="A120" s="47" t="s">
        <v>127</v>
      </c>
      <c r="B120" s="31"/>
      <c r="C120" s="31" t="s">
        <v>96</v>
      </c>
      <c r="D120" s="89">
        <v>15</v>
      </c>
      <c r="E120" s="89">
        <v>10</v>
      </c>
      <c r="F120" s="90"/>
      <c r="G120" s="91"/>
      <c r="H120" s="91"/>
      <c r="I120" s="94"/>
      <c r="J120" s="82"/>
      <c r="K120" s="31">
        <f t="shared" si="5"/>
        <v>25</v>
      </c>
    </row>
    <row r="121" s="2" customFormat="1" ht="21" customHeight="1" spans="1:11">
      <c r="A121" s="31" t="s">
        <v>128</v>
      </c>
      <c r="B121" s="31">
        <v>10.5</v>
      </c>
      <c r="C121" s="31" t="s">
        <v>129</v>
      </c>
      <c r="D121" s="89">
        <v>15</v>
      </c>
      <c r="E121" s="89">
        <v>10</v>
      </c>
      <c r="F121" s="90"/>
      <c r="G121" s="91"/>
      <c r="H121" s="91"/>
      <c r="I121" s="92"/>
      <c r="J121" s="82"/>
      <c r="K121" s="31">
        <f t="shared" si="5"/>
        <v>25</v>
      </c>
    </row>
    <row r="122" s="2" customFormat="1" ht="21" customHeight="1" spans="1:11">
      <c r="A122" s="31"/>
      <c r="B122" s="31"/>
      <c r="C122" s="31" t="s">
        <v>101</v>
      </c>
      <c r="D122" s="89">
        <v>15</v>
      </c>
      <c r="E122" s="89">
        <v>10</v>
      </c>
      <c r="F122" s="90"/>
      <c r="G122" s="91"/>
      <c r="H122" s="91"/>
      <c r="I122" s="92"/>
      <c r="J122" s="82"/>
      <c r="K122" s="31">
        <f t="shared" si="5"/>
        <v>25</v>
      </c>
    </row>
    <row r="123" s="2" customFormat="1" ht="21" customHeight="1" spans="1:11">
      <c r="A123" s="31" t="s">
        <v>130</v>
      </c>
      <c r="B123" s="31">
        <v>11.5</v>
      </c>
      <c r="C123" s="43" t="s">
        <v>103</v>
      </c>
      <c r="D123" s="89">
        <v>35</v>
      </c>
      <c r="E123" s="89">
        <v>10</v>
      </c>
      <c r="F123" s="90"/>
      <c r="G123" s="91"/>
      <c r="H123" s="91"/>
      <c r="I123" s="92"/>
      <c r="J123" s="82"/>
      <c r="K123" s="31">
        <f t="shared" si="5"/>
        <v>45</v>
      </c>
    </row>
    <row r="124" s="2" customFormat="1" ht="21" customHeight="1" spans="1:11">
      <c r="A124" s="31"/>
      <c r="B124" s="31"/>
      <c r="C124" s="43" t="s">
        <v>104</v>
      </c>
      <c r="D124" s="82">
        <v>30</v>
      </c>
      <c r="E124" s="89">
        <v>10</v>
      </c>
      <c r="F124" s="90"/>
      <c r="G124" s="91"/>
      <c r="H124" s="91"/>
      <c r="I124" s="92"/>
      <c r="J124" s="82"/>
      <c r="K124" s="31">
        <f t="shared" si="5"/>
        <v>40</v>
      </c>
    </row>
    <row r="125" s="2" customFormat="1" ht="21" customHeight="1" spans="1:11">
      <c r="A125" s="31"/>
      <c r="B125" s="31"/>
      <c r="C125" s="43" t="s">
        <v>131</v>
      </c>
      <c r="D125" s="82">
        <v>40</v>
      </c>
      <c r="E125" s="89">
        <v>10</v>
      </c>
      <c r="F125" s="90"/>
      <c r="G125" s="91"/>
      <c r="H125" s="91"/>
      <c r="I125" s="92"/>
      <c r="J125" s="82"/>
      <c r="K125" s="31">
        <f t="shared" si="5"/>
        <v>50</v>
      </c>
    </row>
    <row r="126" s="2" customFormat="1" ht="21" customHeight="1" spans="1:11">
      <c r="A126" s="31"/>
      <c r="B126" s="31"/>
      <c r="C126" s="43" t="s">
        <v>106</v>
      </c>
      <c r="D126" s="82">
        <v>40</v>
      </c>
      <c r="E126" s="89">
        <v>10</v>
      </c>
      <c r="F126" s="90"/>
      <c r="G126" s="91"/>
      <c r="H126" s="91"/>
      <c r="I126" s="92"/>
      <c r="J126" s="82"/>
      <c r="K126" s="31">
        <f t="shared" si="5"/>
        <v>50</v>
      </c>
    </row>
    <row r="127" s="2" customFormat="1" ht="21" customHeight="1" spans="1:11">
      <c r="A127" s="95" t="s">
        <v>107</v>
      </c>
      <c r="B127" s="95">
        <v>10.5</v>
      </c>
      <c r="C127" s="31" t="s">
        <v>108</v>
      </c>
      <c r="D127" s="89">
        <v>20.5</v>
      </c>
      <c r="E127" s="89">
        <v>10</v>
      </c>
      <c r="F127" s="90"/>
      <c r="G127" s="91"/>
      <c r="H127" s="91"/>
      <c r="I127" s="92"/>
      <c r="J127" s="82"/>
      <c r="K127" s="31">
        <f t="shared" si="5"/>
        <v>30.5</v>
      </c>
    </row>
    <row r="128" s="2" customFormat="1" ht="21" customHeight="1" spans="1:11">
      <c r="A128" s="95"/>
      <c r="B128" s="95"/>
      <c r="C128" s="31" t="s">
        <v>132</v>
      </c>
      <c r="D128" s="89">
        <v>20.5</v>
      </c>
      <c r="E128" s="89">
        <v>10</v>
      </c>
      <c r="F128" s="90"/>
      <c r="G128" s="91"/>
      <c r="H128" s="91"/>
      <c r="I128" s="92"/>
      <c r="J128" s="82"/>
      <c r="K128" s="31">
        <f t="shared" si="5"/>
        <v>30.5</v>
      </c>
    </row>
    <row r="129" s="2" customFormat="1" ht="21" customHeight="1" spans="1:11">
      <c r="A129" s="95"/>
      <c r="B129" s="95"/>
      <c r="C129" s="31" t="s">
        <v>111</v>
      </c>
      <c r="D129" s="89">
        <v>20.5</v>
      </c>
      <c r="E129" s="89">
        <v>10</v>
      </c>
      <c r="F129" s="90"/>
      <c r="G129" s="91"/>
      <c r="H129" s="91"/>
      <c r="I129" s="92"/>
      <c r="J129" s="82"/>
      <c r="K129" s="31">
        <f t="shared" si="5"/>
        <v>30.5</v>
      </c>
    </row>
    <row r="130" s="2" customFormat="1" ht="21" customHeight="1" spans="1:11">
      <c r="A130" s="95"/>
      <c r="B130" s="95"/>
      <c r="C130" s="31" t="s">
        <v>112</v>
      </c>
      <c r="D130" s="89">
        <v>20.5</v>
      </c>
      <c r="E130" s="89">
        <v>10</v>
      </c>
      <c r="F130" s="90"/>
      <c r="G130" s="91"/>
      <c r="H130" s="91"/>
      <c r="I130" s="92"/>
      <c r="J130" s="92"/>
      <c r="K130" s="31">
        <f t="shared" si="5"/>
        <v>30.5</v>
      </c>
    </row>
    <row r="131" s="2" customFormat="1" ht="21" customHeight="1" spans="1:11">
      <c r="A131" s="95"/>
      <c r="B131" s="95"/>
      <c r="C131" s="31" t="s">
        <v>113</v>
      </c>
      <c r="D131" s="89">
        <v>20.5</v>
      </c>
      <c r="E131" s="89">
        <v>10</v>
      </c>
      <c r="F131" s="90"/>
      <c r="G131" s="91"/>
      <c r="H131" s="91"/>
      <c r="I131" s="92"/>
      <c r="J131" s="92"/>
      <c r="K131" s="31">
        <f t="shared" si="5"/>
        <v>30.5</v>
      </c>
    </row>
    <row r="132" s="2" customFormat="1" ht="21" customHeight="1" spans="1:11">
      <c r="A132" s="50" t="s">
        <v>133</v>
      </c>
      <c r="B132" s="50">
        <v>10.5</v>
      </c>
      <c r="C132" s="31" t="s">
        <v>115</v>
      </c>
      <c r="D132" s="89">
        <v>10</v>
      </c>
      <c r="E132" s="89">
        <v>10</v>
      </c>
      <c r="F132" s="90"/>
      <c r="G132" s="91"/>
      <c r="H132" s="91"/>
      <c r="I132" s="92"/>
      <c r="J132" s="92"/>
      <c r="K132" s="31">
        <f t="shared" si="5"/>
        <v>20</v>
      </c>
    </row>
    <row r="133" s="2" customFormat="1" ht="21" customHeight="1" spans="1:11">
      <c r="A133" s="31" t="s">
        <v>116</v>
      </c>
      <c r="B133" s="31">
        <v>12</v>
      </c>
      <c r="C133" s="31" t="s">
        <v>134</v>
      </c>
      <c r="D133" s="82">
        <v>12</v>
      </c>
      <c r="E133" s="82">
        <v>10</v>
      </c>
      <c r="F133" s="98"/>
      <c r="G133" s="91"/>
      <c r="H133" s="91"/>
      <c r="I133" s="92"/>
      <c r="J133" s="92"/>
      <c r="K133" s="31">
        <f t="shared" si="5"/>
        <v>22</v>
      </c>
    </row>
    <row r="134" s="2" customFormat="1" ht="21" customHeight="1" spans="1:11">
      <c r="A134" s="161"/>
      <c r="B134" s="162"/>
      <c r="C134" s="162"/>
      <c r="D134" s="163"/>
      <c r="E134" s="163"/>
      <c r="F134" s="163"/>
      <c r="G134" s="163"/>
      <c r="H134" s="163"/>
      <c r="I134" s="163"/>
      <c r="J134" s="163"/>
      <c r="K134" s="82">
        <f>SUM(K113:K133)</f>
        <v>655.5</v>
      </c>
    </row>
    <row r="137" s="4" customFormat="1" ht="21.75" customHeight="1" spans="1:11">
      <c r="A137" s="99" t="s">
        <v>80</v>
      </c>
      <c r="B137" s="99"/>
      <c r="C137" s="99"/>
      <c r="D137" s="99"/>
      <c r="E137" s="99"/>
      <c r="F137" s="99"/>
      <c r="G137" s="99"/>
      <c r="H137" s="99"/>
      <c r="I137" s="99"/>
      <c r="J137" s="99"/>
      <c r="K137" s="99"/>
    </row>
    <row r="138" s="4" customFormat="1" ht="21.75" customHeight="1" spans="1:11">
      <c r="A138" s="8" t="s">
        <v>142</v>
      </c>
      <c r="B138" s="9"/>
      <c r="C138" s="9"/>
      <c r="D138" s="10" t="s">
        <v>143</v>
      </c>
      <c r="E138" s="9"/>
      <c r="F138" s="9"/>
      <c r="G138" s="9"/>
      <c r="H138" s="9"/>
      <c r="I138" s="9"/>
      <c r="J138" s="9"/>
      <c r="K138" s="9"/>
    </row>
    <row r="139" s="4" customFormat="1" ht="21.75" customHeight="1" spans="1:11">
      <c r="A139" s="11" t="s">
        <v>83</v>
      </c>
      <c r="B139" s="11" t="s">
        <v>84</v>
      </c>
      <c r="C139" s="12" t="s">
        <v>120</v>
      </c>
      <c r="D139" s="13" t="s">
        <v>6</v>
      </c>
      <c r="E139" s="13" t="s">
        <v>6</v>
      </c>
      <c r="F139" s="11" t="s">
        <v>6</v>
      </c>
      <c r="G139" s="11" t="s">
        <v>6</v>
      </c>
      <c r="H139" s="11" t="s">
        <v>6</v>
      </c>
      <c r="I139" s="11" t="s">
        <v>6</v>
      </c>
      <c r="J139" s="11" t="s">
        <v>121</v>
      </c>
      <c r="K139" s="11" t="s">
        <v>87</v>
      </c>
    </row>
    <row r="140" s="4" customFormat="1" ht="21.75" customHeight="1" spans="1:11">
      <c r="A140" s="11" t="s">
        <v>122</v>
      </c>
      <c r="B140" s="11">
        <v>12</v>
      </c>
      <c r="C140" s="12" t="s">
        <v>123</v>
      </c>
      <c r="D140" s="13">
        <v>12</v>
      </c>
      <c r="E140" s="13">
        <v>12</v>
      </c>
      <c r="F140" s="13">
        <v>12</v>
      </c>
      <c r="G140" s="13"/>
      <c r="H140" s="13"/>
      <c r="I140" s="13"/>
      <c r="J140" s="13"/>
      <c r="K140" s="11">
        <f t="shared" ref="K140:K160" si="6">SUM(D140:J140)</f>
        <v>36</v>
      </c>
    </row>
    <row r="141" s="4" customFormat="1" ht="21.75" customHeight="1" spans="1:11">
      <c r="A141" s="77" t="s">
        <v>90</v>
      </c>
      <c r="B141" s="13">
        <v>11.5</v>
      </c>
      <c r="C141" s="12" t="s">
        <v>124</v>
      </c>
      <c r="D141" s="13">
        <v>17.5</v>
      </c>
      <c r="E141" s="13">
        <v>17.5</v>
      </c>
      <c r="F141" s="13">
        <v>17.5</v>
      </c>
      <c r="G141" s="13"/>
      <c r="H141" s="13"/>
      <c r="I141" s="13"/>
      <c r="J141" s="13"/>
      <c r="K141" s="11">
        <f t="shared" si="6"/>
        <v>52.5</v>
      </c>
    </row>
    <row r="142" s="4" customFormat="1" ht="21.75" customHeight="1" spans="1:11">
      <c r="A142" s="78"/>
      <c r="B142" s="21"/>
      <c r="C142" s="12" t="s">
        <v>92</v>
      </c>
      <c r="D142" s="13">
        <v>17.5</v>
      </c>
      <c r="E142" s="13">
        <v>17.5</v>
      </c>
      <c r="F142" s="13">
        <v>17.5</v>
      </c>
      <c r="G142" s="13"/>
      <c r="H142" s="13"/>
      <c r="I142" s="13"/>
      <c r="J142" s="13"/>
      <c r="K142" s="11">
        <f t="shared" si="6"/>
        <v>52.5</v>
      </c>
    </row>
    <row r="143" s="4" customFormat="1" ht="21.75" customHeight="1" spans="1:11">
      <c r="A143" s="77" t="s">
        <v>93</v>
      </c>
      <c r="B143" s="13">
        <v>11.5</v>
      </c>
      <c r="C143" s="12" t="s">
        <v>94</v>
      </c>
      <c r="D143" s="11">
        <v>11.5</v>
      </c>
      <c r="E143" s="11">
        <v>11.5</v>
      </c>
      <c r="F143" s="11">
        <v>11.5</v>
      </c>
      <c r="G143" s="11"/>
      <c r="H143" s="11"/>
      <c r="I143" s="11"/>
      <c r="J143" s="11"/>
      <c r="K143" s="11">
        <f t="shared" si="6"/>
        <v>34.5</v>
      </c>
    </row>
    <row r="144" s="4" customFormat="1" ht="21.75" customHeight="1" spans="1:11">
      <c r="A144" s="78"/>
      <c r="B144" s="21"/>
      <c r="C144" s="12" t="s">
        <v>95</v>
      </c>
      <c r="D144" s="13">
        <v>11.5</v>
      </c>
      <c r="E144" s="13">
        <v>11.5</v>
      </c>
      <c r="F144" s="13">
        <v>11.5</v>
      </c>
      <c r="G144" s="13"/>
      <c r="H144" s="13"/>
      <c r="I144" s="13"/>
      <c r="J144" s="13"/>
      <c r="K144" s="11">
        <f t="shared" si="6"/>
        <v>34.5</v>
      </c>
    </row>
    <row r="145" s="4" customFormat="1" ht="21.75" customHeight="1" spans="1:11">
      <c r="A145" s="78"/>
      <c r="B145" s="21"/>
      <c r="C145" s="11" t="s">
        <v>96</v>
      </c>
      <c r="D145" s="11">
        <v>0</v>
      </c>
      <c r="E145" s="11">
        <v>0</v>
      </c>
      <c r="F145" s="11">
        <v>0</v>
      </c>
      <c r="G145" s="11"/>
      <c r="H145" s="11"/>
      <c r="I145" s="11"/>
      <c r="J145" s="11"/>
      <c r="K145" s="11">
        <f t="shared" si="6"/>
        <v>0</v>
      </c>
    </row>
    <row r="146" s="4" customFormat="1" ht="21.75" customHeight="1" spans="1:11">
      <c r="A146" s="78"/>
      <c r="B146" s="21"/>
      <c r="C146" s="12" t="s">
        <v>97</v>
      </c>
      <c r="D146" s="11">
        <v>0</v>
      </c>
      <c r="E146" s="11">
        <v>0</v>
      </c>
      <c r="F146" s="11">
        <v>0</v>
      </c>
      <c r="G146" s="11"/>
      <c r="H146" s="11"/>
      <c r="I146" s="11"/>
      <c r="J146" s="11"/>
      <c r="K146" s="11">
        <f t="shared" si="6"/>
        <v>0</v>
      </c>
    </row>
    <row r="147" s="4" customFormat="1" ht="21.75" customHeight="1" spans="1:11">
      <c r="A147" s="79"/>
      <c r="B147" s="80"/>
      <c r="C147" s="12" t="s">
        <v>98</v>
      </c>
      <c r="D147" s="13">
        <v>0</v>
      </c>
      <c r="E147" s="13">
        <v>0</v>
      </c>
      <c r="F147" s="13">
        <v>0</v>
      </c>
      <c r="G147" s="13"/>
      <c r="H147" s="13"/>
      <c r="I147" s="13"/>
      <c r="J147" s="13"/>
      <c r="K147" s="11">
        <f t="shared" si="6"/>
        <v>0</v>
      </c>
    </row>
    <row r="148" s="4" customFormat="1" ht="21.75" customHeight="1" spans="1:11">
      <c r="A148" s="11" t="s">
        <v>128</v>
      </c>
      <c r="B148" s="11">
        <v>10.5</v>
      </c>
      <c r="C148" s="11" t="s">
        <v>129</v>
      </c>
      <c r="D148" s="13">
        <v>10.5</v>
      </c>
      <c r="E148" s="13">
        <v>10.5</v>
      </c>
      <c r="F148" s="13">
        <v>10.5</v>
      </c>
      <c r="G148" s="13"/>
      <c r="H148" s="13"/>
      <c r="I148" s="13"/>
      <c r="J148" s="13"/>
      <c r="K148" s="11">
        <f t="shared" si="6"/>
        <v>31.5</v>
      </c>
    </row>
    <row r="149" s="4" customFormat="1" ht="21.75" customHeight="1" spans="1:11">
      <c r="A149" s="11"/>
      <c r="B149" s="11"/>
      <c r="C149" s="11" t="s">
        <v>101</v>
      </c>
      <c r="D149" s="11">
        <v>10.5</v>
      </c>
      <c r="E149" s="11">
        <v>10.5</v>
      </c>
      <c r="F149" s="11">
        <v>10.5</v>
      </c>
      <c r="G149" s="11"/>
      <c r="H149" s="11"/>
      <c r="I149" s="11"/>
      <c r="J149" s="11"/>
      <c r="K149" s="11">
        <f t="shared" si="6"/>
        <v>31.5</v>
      </c>
    </row>
    <row r="150" s="4" customFormat="1" ht="21.75" customHeight="1" spans="1:11">
      <c r="A150" s="11" t="s">
        <v>130</v>
      </c>
      <c r="B150" s="11">
        <v>11.5</v>
      </c>
      <c r="C150" s="12" t="s">
        <v>103</v>
      </c>
      <c r="D150" s="11">
        <v>0</v>
      </c>
      <c r="E150" s="11">
        <v>0</v>
      </c>
      <c r="F150" s="11">
        <v>0</v>
      </c>
      <c r="G150" s="11"/>
      <c r="H150" s="11"/>
      <c r="I150" s="11"/>
      <c r="J150" s="11"/>
      <c r="K150" s="11">
        <f t="shared" si="6"/>
        <v>0</v>
      </c>
    </row>
    <row r="151" s="4" customFormat="1" ht="21.75" customHeight="1" spans="1:11">
      <c r="A151" s="11"/>
      <c r="B151" s="11"/>
      <c r="C151" s="12" t="s">
        <v>104</v>
      </c>
      <c r="D151" s="13">
        <v>0</v>
      </c>
      <c r="E151" s="13">
        <v>0</v>
      </c>
      <c r="F151" s="13">
        <v>0</v>
      </c>
      <c r="G151" s="13"/>
      <c r="H151" s="13"/>
      <c r="I151" s="13"/>
      <c r="J151" s="13"/>
      <c r="K151" s="11">
        <f t="shared" si="6"/>
        <v>0</v>
      </c>
    </row>
    <row r="152" s="4" customFormat="1" ht="21.75" customHeight="1" spans="1:11">
      <c r="A152" s="11"/>
      <c r="B152" s="11"/>
      <c r="C152" s="12" t="s">
        <v>131</v>
      </c>
      <c r="D152" s="13">
        <v>10.5</v>
      </c>
      <c r="E152" s="13">
        <v>10.5</v>
      </c>
      <c r="F152" s="13">
        <v>10.5</v>
      </c>
      <c r="G152" s="13"/>
      <c r="H152" s="13"/>
      <c r="I152" s="13"/>
      <c r="J152" s="13"/>
      <c r="K152" s="11">
        <f t="shared" si="6"/>
        <v>31.5</v>
      </c>
    </row>
    <row r="153" s="4" customFormat="1" ht="21.75" customHeight="1" spans="1:11">
      <c r="A153" s="11"/>
      <c r="B153" s="11"/>
      <c r="C153" s="12" t="s">
        <v>106</v>
      </c>
      <c r="D153" s="11">
        <v>0</v>
      </c>
      <c r="E153" s="11">
        <v>0</v>
      </c>
      <c r="F153" s="11">
        <v>0</v>
      </c>
      <c r="G153" s="11"/>
      <c r="H153" s="11"/>
      <c r="I153" s="11"/>
      <c r="J153" s="11"/>
      <c r="K153" s="11">
        <f t="shared" si="6"/>
        <v>0</v>
      </c>
    </row>
    <row r="154" s="4" customFormat="1" ht="21.75" customHeight="1" spans="1:11">
      <c r="A154" s="21" t="s">
        <v>107</v>
      </c>
      <c r="B154" s="21">
        <v>10.5</v>
      </c>
      <c r="C154" s="11" t="s">
        <v>108</v>
      </c>
      <c r="D154" s="13">
        <v>10.5</v>
      </c>
      <c r="E154" s="13">
        <v>10.5</v>
      </c>
      <c r="F154" s="13">
        <v>10.5</v>
      </c>
      <c r="G154" s="13"/>
      <c r="H154" s="13"/>
      <c r="I154" s="13"/>
      <c r="J154" s="13"/>
      <c r="K154" s="11">
        <f t="shared" si="6"/>
        <v>31.5</v>
      </c>
    </row>
    <row r="155" s="4" customFormat="1" ht="21.75" customHeight="1" spans="1:11">
      <c r="A155" s="21"/>
      <c r="B155" s="21"/>
      <c r="C155" s="11" t="s">
        <v>132</v>
      </c>
      <c r="D155" s="13">
        <v>10.5</v>
      </c>
      <c r="E155" s="13">
        <v>10.5</v>
      </c>
      <c r="F155" s="13">
        <v>10.5</v>
      </c>
      <c r="G155" s="13"/>
      <c r="H155" s="13"/>
      <c r="I155" s="13"/>
      <c r="J155" s="13"/>
      <c r="K155" s="11">
        <f t="shared" si="6"/>
        <v>31.5</v>
      </c>
    </row>
    <row r="156" s="4" customFormat="1" ht="21.75" customHeight="1" spans="1:11">
      <c r="A156" s="21"/>
      <c r="B156" s="21"/>
      <c r="C156" s="11" t="s">
        <v>111</v>
      </c>
      <c r="D156" s="13">
        <v>10.5</v>
      </c>
      <c r="E156" s="13">
        <v>10.5</v>
      </c>
      <c r="F156" s="13">
        <v>10.5</v>
      </c>
      <c r="G156" s="13"/>
      <c r="H156" s="13"/>
      <c r="I156" s="13"/>
      <c r="J156" s="13"/>
      <c r="K156" s="11">
        <f t="shared" si="6"/>
        <v>31.5</v>
      </c>
    </row>
    <row r="157" s="4" customFormat="1" ht="21.75" customHeight="1" spans="1:11">
      <c r="A157" s="21"/>
      <c r="B157" s="21"/>
      <c r="C157" s="11" t="s">
        <v>112</v>
      </c>
      <c r="D157" s="11">
        <v>0</v>
      </c>
      <c r="E157" s="11">
        <v>0</v>
      </c>
      <c r="F157" s="11">
        <v>0</v>
      </c>
      <c r="G157" s="11"/>
      <c r="H157" s="11"/>
      <c r="I157" s="11"/>
      <c r="J157" s="11"/>
      <c r="K157" s="11">
        <f t="shared" si="6"/>
        <v>0</v>
      </c>
    </row>
    <row r="158" s="4" customFormat="1" ht="21.75" customHeight="1" spans="1:11">
      <c r="A158" s="21"/>
      <c r="B158" s="21"/>
      <c r="C158" s="11" t="s">
        <v>113</v>
      </c>
      <c r="D158" s="11">
        <v>0</v>
      </c>
      <c r="E158" s="11">
        <v>0</v>
      </c>
      <c r="F158" s="11">
        <v>0</v>
      </c>
      <c r="G158" s="11"/>
      <c r="H158" s="11"/>
      <c r="I158" s="11"/>
      <c r="J158" s="11"/>
      <c r="K158" s="11">
        <f t="shared" si="6"/>
        <v>0</v>
      </c>
    </row>
    <row r="159" s="4" customFormat="1" ht="21.75" customHeight="1" spans="1:11">
      <c r="A159" s="13" t="s">
        <v>133</v>
      </c>
      <c r="B159" s="13">
        <v>10.5</v>
      </c>
      <c r="C159" s="11" t="s">
        <v>115</v>
      </c>
      <c r="D159" s="11">
        <v>10</v>
      </c>
      <c r="E159" s="11">
        <v>10</v>
      </c>
      <c r="F159" s="11">
        <v>10</v>
      </c>
      <c r="G159" s="11"/>
      <c r="H159" s="11"/>
      <c r="I159" s="11"/>
      <c r="J159" s="11"/>
      <c r="K159" s="11">
        <f t="shared" si="6"/>
        <v>30</v>
      </c>
    </row>
    <row r="160" s="4" customFormat="1" ht="21.75" customHeight="1" spans="1:11">
      <c r="A160" s="13" t="s">
        <v>116</v>
      </c>
      <c r="B160" s="13">
        <v>12</v>
      </c>
      <c r="C160" s="13" t="s">
        <v>134</v>
      </c>
      <c r="D160" s="13">
        <v>12</v>
      </c>
      <c r="E160" s="13">
        <v>12</v>
      </c>
      <c r="F160" s="13">
        <v>12</v>
      </c>
      <c r="G160" s="13"/>
      <c r="H160" s="13"/>
      <c r="I160" s="13"/>
      <c r="J160" s="13"/>
      <c r="K160" s="11">
        <f t="shared" si="6"/>
        <v>36</v>
      </c>
    </row>
    <row r="161" s="4" customFormat="1" ht="21.75" customHeight="1" spans="1:11">
      <c r="A161" s="12"/>
      <c r="B161" s="81"/>
      <c r="C161" s="81"/>
      <c r="D161" s="81"/>
      <c r="E161" s="81"/>
      <c r="F161" s="81"/>
      <c r="G161" s="81"/>
      <c r="H161" s="81"/>
      <c r="I161" s="81"/>
      <c r="J161" s="30"/>
      <c r="K161" s="11">
        <f>SUM(K140:K160)</f>
        <v>465</v>
      </c>
    </row>
    <row r="164" s="4" customFormat="1" ht="21.75" customHeight="1" spans="1:11">
      <c r="A164" s="99" t="s">
        <v>80</v>
      </c>
      <c r="B164" s="99"/>
      <c r="C164" s="99"/>
      <c r="D164" s="99"/>
      <c r="E164" s="99"/>
      <c r="F164" s="99"/>
      <c r="G164" s="99"/>
      <c r="H164" s="99"/>
      <c r="I164" s="99"/>
      <c r="J164" s="99"/>
      <c r="K164" s="99"/>
    </row>
    <row r="165" s="4" customFormat="1" ht="21.75" customHeight="1" spans="1:11">
      <c r="A165" s="8" t="s">
        <v>142</v>
      </c>
      <c r="B165" s="9"/>
      <c r="C165" s="9"/>
      <c r="D165" s="10" t="s">
        <v>144</v>
      </c>
      <c r="E165" s="9"/>
      <c r="F165" s="9"/>
      <c r="G165" s="9"/>
      <c r="H165" s="9"/>
      <c r="I165" s="9"/>
      <c r="J165" s="9"/>
      <c r="K165" s="9"/>
    </row>
    <row r="166" s="4" customFormat="1" ht="21.75" customHeight="1" spans="1:11">
      <c r="A166" s="11" t="s">
        <v>83</v>
      </c>
      <c r="B166" s="11" t="s">
        <v>84</v>
      </c>
      <c r="C166" s="12" t="s">
        <v>120</v>
      </c>
      <c r="D166" s="13" t="s">
        <v>6</v>
      </c>
      <c r="E166" s="13" t="s">
        <v>6</v>
      </c>
      <c r="F166" s="11" t="s">
        <v>6</v>
      </c>
      <c r="G166" s="11" t="s">
        <v>6</v>
      </c>
      <c r="H166" s="11" t="s">
        <v>6</v>
      </c>
      <c r="I166" s="11" t="s">
        <v>6</v>
      </c>
      <c r="J166" s="11" t="s">
        <v>121</v>
      </c>
      <c r="K166" s="11" t="s">
        <v>87</v>
      </c>
    </row>
    <row r="167" s="4" customFormat="1" ht="21.75" customHeight="1" spans="1:11">
      <c r="A167" s="11" t="s">
        <v>122</v>
      </c>
      <c r="B167" s="11">
        <v>12</v>
      </c>
      <c r="C167" s="12" t="s">
        <v>123</v>
      </c>
      <c r="D167" s="13">
        <v>12</v>
      </c>
      <c r="E167" s="13">
        <v>12</v>
      </c>
      <c r="F167" s="13">
        <v>12</v>
      </c>
      <c r="G167" s="13">
        <v>12</v>
      </c>
      <c r="H167" s="13">
        <v>12</v>
      </c>
      <c r="I167" s="13"/>
      <c r="J167" s="13"/>
      <c r="K167" s="11">
        <f t="shared" ref="K167:K187" si="7">SUM(D167:J167)</f>
        <v>60</v>
      </c>
    </row>
    <row r="168" s="4" customFormat="1" ht="21.75" customHeight="1" spans="1:11">
      <c r="A168" s="77" t="s">
        <v>90</v>
      </c>
      <c r="B168" s="13">
        <v>11.5</v>
      </c>
      <c r="C168" s="12" t="s">
        <v>124</v>
      </c>
      <c r="D168" s="13">
        <v>17.5</v>
      </c>
      <c r="E168" s="13">
        <v>17.5</v>
      </c>
      <c r="F168" s="13">
        <v>17.5</v>
      </c>
      <c r="G168" s="13">
        <v>17.5</v>
      </c>
      <c r="H168" s="13">
        <v>17.5</v>
      </c>
      <c r="I168" s="13"/>
      <c r="J168" s="13"/>
      <c r="K168" s="11">
        <f t="shared" si="7"/>
        <v>87.5</v>
      </c>
    </row>
    <row r="169" s="4" customFormat="1" ht="21.75" customHeight="1" spans="1:11">
      <c r="A169" s="78"/>
      <c r="B169" s="21"/>
      <c r="C169" s="12" t="s">
        <v>92</v>
      </c>
      <c r="D169" s="13">
        <v>17.5</v>
      </c>
      <c r="E169" s="13">
        <v>17.5</v>
      </c>
      <c r="F169" s="13">
        <v>17.5</v>
      </c>
      <c r="G169" s="13">
        <v>17.5</v>
      </c>
      <c r="H169" s="13">
        <v>17.5</v>
      </c>
      <c r="I169" s="13"/>
      <c r="J169" s="13"/>
      <c r="K169" s="11">
        <f t="shared" si="7"/>
        <v>87.5</v>
      </c>
    </row>
    <row r="170" s="4" customFormat="1" ht="21.75" customHeight="1" spans="1:11">
      <c r="A170" s="77" t="s">
        <v>93</v>
      </c>
      <c r="B170" s="13">
        <v>11.5</v>
      </c>
      <c r="C170" s="12" t="s">
        <v>94</v>
      </c>
      <c r="D170" s="11">
        <v>11.5</v>
      </c>
      <c r="E170" s="11">
        <v>11.5</v>
      </c>
      <c r="F170" s="11">
        <v>11.5</v>
      </c>
      <c r="G170" s="11">
        <v>11.5</v>
      </c>
      <c r="H170" s="11">
        <v>11.5</v>
      </c>
      <c r="I170" s="11"/>
      <c r="J170" s="11"/>
      <c r="K170" s="11">
        <f t="shared" si="7"/>
        <v>57.5</v>
      </c>
    </row>
    <row r="171" s="4" customFormat="1" ht="21.75" customHeight="1" spans="1:11">
      <c r="A171" s="78"/>
      <c r="B171" s="21"/>
      <c r="C171" s="12" t="s">
        <v>95</v>
      </c>
      <c r="D171" s="13">
        <v>11.5</v>
      </c>
      <c r="E171" s="13">
        <v>11.5</v>
      </c>
      <c r="F171" s="13">
        <v>11.5</v>
      </c>
      <c r="G171" s="13">
        <v>11.5</v>
      </c>
      <c r="H171" s="13">
        <v>11.5</v>
      </c>
      <c r="I171" s="13"/>
      <c r="J171" s="13"/>
      <c r="K171" s="11">
        <f t="shared" si="7"/>
        <v>57.5</v>
      </c>
    </row>
    <row r="172" s="4" customFormat="1" ht="21.75" customHeight="1" spans="1:11">
      <c r="A172" s="78"/>
      <c r="B172" s="21"/>
      <c r="C172" s="11" t="s">
        <v>96</v>
      </c>
      <c r="D172" s="11">
        <v>11.5</v>
      </c>
      <c r="E172" s="11">
        <v>11.5</v>
      </c>
      <c r="F172" s="11">
        <v>11.5</v>
      </c>
      <c r="G172" s="11">
        <v>11.5</v>
      </c>
      <c r="H172" s="11">
        <v>11.5</v>
      </c>
      <c r="I172" s="11"/>
      <c r="J172" s="11"/>
      <c r="K172" s="11">
        <f t="shared" si="7"/>
        <v>57.5</v>
      </c>
    </row>
    <row r="173" s="4" customFormat="1" ht="21.75" customHeight="1" spans="1:11">
      <c r="A173" s="78"/>
      <c r="B173" s="21"/>
      <c r="C173" s="12" t="s">
        <v>97</v>
      </c>
      <c r="D173" s="11">
        <v>11.5</v>
      </c>
      <c r="E173" s="11">
        <v>11.5</v>
      </c>
      <c r="F173" s="11">
        <v>11.5</v>
      </c>
      <c r="G173" s="11">
        <v>11.5</v>
      </c>
      <c r="H173" s="11">
        <v>11.5</v>
      </c>
      <c r="I173" s="11"/>
      <c r="J173" s="11"/>
      <c r="K173" s="11">
        <f t="shared" si="7"/>
        <v>57.5</v>
      </c>
    </row>
    <row r="174" s="4" customFormat="1" ht="21.75" customHeight="1" spans="1:11">
      <c r="A174" s="79"/>
      <c r="B174" s="80"/>
      <c r="C174" s="12" t="s">
        <v>98</v>
      </c>
      <c r="D174" s="13">
        <v>11.5</v>
      </c>
      <c r="E174" s="13">
        <v>11.5</v>
      </c>
      <c r="F174" s="13">
        <v>11.5</v>
      </c>
      <c r="G174" s="13">
        <v>11.5</v>
      </c>
      <c r="H174" s="13">
        <v>11.5</v>
      </c>
      <c r="I174" s="13"/>
      <c r="J174" s="13"/>
      <c r="K174" s="11">
        <f t="shared" si="7"/>
        <v>57.5</v>
      </c>
    </row>
    <row r="175" s="4" customFormat="1" ht="21.75" customHeight="1" spans="1:11">
      <c r="A175" s="11" t="s">
        <v>128</v>
      </c>
      <c r="B175" s="11">
        <v>10.5</v>
      </c>
      <c r="C175" s="11" t="s">
        <v>129</v>
      </c>
      <c r="D175" s="13">
        <v>10.5</v>
      </c>
      <c r="E175" s="13">
        <v>10.5</v>
      </c>
      <c r="F175" s="13">
        <v>10.5</v>
      </c>
      <c r="G175" s="13">
        <v>10.5</v>
      </c>
      <c r="H175" s="13">
        <v>10.5</v>
      </c>
      <c r="I175" s="13"/>
      <c r="J175" s="13"/>
      <c r="K175" s="11">
        <f t="shared" si="7"/>
        <v>52.5</v>
      </c>
    </row>
    <row r="176" s="4" customFormat="1" ht="21.75" customHeight="1" spans="1:11">
      <c r="A176" s="11"/>
      <c r="B176" s="11"/>
      <c r="C176" s="11" t="s">
        <v>101</v>
      </c>
      <c r="D176" s="11">
        <v>10.5</v>
      </c>
      <c r="E176" s="11">
        <v>10.5</v>
      </c>
      <c r="F176" s="11">
        <v>10.5</v>
      </c>
      <c r="G176" s="11">
        <v>10.5</v>
      </c>
      <c r="H176" s="11">
        <v>10.5</v>
      </c>
      <c r="I176" s="11"/>
      <c r="J176" s="11"/>
      <c r="K176" s="11">
        <f t="shared" si="7"/>
        <v>52.5</v>
      </c>
    </row>
    <row r="177" s="4" customFormat="1" ht="21.75" customHeight="1" spans="1:11">
      <c r="A177" s="11" t="s">
        <v>130</v>
      </c>
      <c r="B177" s="11">
        <v>11.5</v>
      </c>
      <c r="C177" s="12" t="s">
        <v>103</v>
      </c>
      <c r="D177" s="11">
        <v>11.5</v>
      </c>
      <c r="E177" s="11">
        <v>11.5</v>
      </c>
      <c r="F177" s="11">
        <v>11.5</v>
      </c>
      <c r="G177" s="11">
        <v>11.5</v>
      </c>
      <c r="H177" s="11">
        <v>11.5</v>
      </c>
      <c r="I177" s="11"/>
      <c r="J177" s="11"/>
      <c r="K177" s="11">
        <f t="shared" si="7"/>
        <v>57.5</v>
      </c>
    </row>
    <row r="178" s="4" customFormat="1" ht="21.75" customHeight="1" spans="1:11">
      <c r="A178" s="11"/>
      <c r="B178" s="11"/>
      <c r="C178" s="12" t="s">
        <v>104</v>
      </c>
      <c r="D178" s="13">
        <v>11.5</v>
      </c>
      <c r="E178" s="13">
        <v>11.5</v>
      </c>
      <c r="F178" s="13">
        <v>11.5</v>
      </c>
      <c r="G178" s="13">
        <v>11.5</v>
      </c>
      <c r="H178" s="13">
        <v>11.5</v>
      </c>
      <c r="I178" s="13"/>
      <c r="J178" s="13"/>
      <c r="K178" s="11">
        <f t="shared" si="7"/>
        <v>57.5</v>
      </c>
    </row>
    <row r="179" s="4" customFormat="1" ht="21.75" customHeight="1" spans="1:11">
      <c r="A179" s="11"/>
      <c r="B179" s="11"/>
      <c r="C179" s="12" t="s">
        <v>131</v>
      </c>
      <c r="D179" s="13">
        <v>10.5</v>
      </c>
      <c r="E179" s="13">
        <v>10.5</v>
      </c>
      <c r="F179" s="13">
        <v>10.5</v>
      </c>
      <c r="G179" s="13">
        <v>10.5</v>
      </c>
      <c r="H179" s="13">
        <v>10.5</v>
      </c>
      <c r="I179" s="13"/>
      <c r="J179" s="13"/>
      <c r="K179" s="11">
        <f t="shared" si="7"/>
        <v>52.5</v>
      </c>
    </row>
    <row r="180" s="4" customFormat="1" ht="21.75" customHeight="1" spans="1:11">
      <c r="A180" s="11"/>
      <c r="B180" s="11"/>
      <c r="C180" s="12" t="s">
        <v>106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/>
      <c r="J180" s="11"/>
      <c r="K180" s="11">
        <f t="shared" si="7"/>
        <v>0</v>
      </c>
    </row>
    <row r="181" s="4" customFormat="1" ht="21.75" customHeight="1" spans="1:11">
      <c r="A181" s="21" t="s">
        <v>107</v>
      </c>
      <c r="B181" s="21">
        <v>10.5</v>
      </c>
      <c r="C181" s="11" t="s">
        <v>108</v>
      </c>
      <c r="D181" s="13">
        <v>10.5</v>
      </c>
      <c r="E181" s="13">
        <v>10.5</v>
      </c>
      <c r="F181" s="13">
        <v>10.5</v>
      </c>
      <c r="G181" s="13">
        <v>10.5</v>
      </c>
      <c r="H181" s="13">
        <v>10.5</v>
      </c>
      <c r="I181" s="13"/>
      <c r="J181" s="13"/>
      <c r="K181" s="11">
        <f t="shared" si="7"/>
        <v>52.5</v>
      </c>
    </row>
    <row r="182" s="4" customFormat="1" ht="21.75" customHeight="1" spans="1:11">
      <c r="A182" s="21"/>
      <c r="B182" s="21"/>
      <c r="C182" s="11" t="s">
        <v>132</v>
      </c>
      <c r="D182" s="13">
        <v>10.5</v>
      </c>
      <c r="E182" s="13">
        <v>10.5</v>
      </c>
      <c r="F182" s="13">
        <v>10.5</v>
      </c>
      <c r="G182" s="13">
        <v>10.5</v>
      </c>
      <c r="H182" s="13">
        <v>10.5</v>
      </c>
      <c r="I182" s="13"/>
      <c r="J182" s="13"/>
      <c r="K182" s="11">
        <f t="shared" si="7"/>
        <v>52.5</v>
      </c>
    </row>
    <row r="183" s="4" customFormat="1" ht="21.75" customHeight="1" spans="1:11">
      <c r="A183" s="21"/>
      <c r="B183" s="21"/>
      <c r="C183" s="11" t="s">
        <v>111</v>
      </c>
      <c r="D183" s="13">
        <v>10.5</v>
      </c>
      <c r="E183" s="13">
        <v>10.5</v>
      </c>
      <c r="F183" s="13">
        <v>10.5</v>
      </c>
      <c r="G183" s="13">
        <v>10.5</v>
      </c>
      <c r="H183" s="13">
        <v>10.5</v>
      </c>
      <c r="I183" s="13"/>
      <c r="J183" s="13"/>
      <c r="K183" s="11">
        <f t="shared" si="7"/>
        <v>52.5</v>
      </c>
    </row>
    <row r="184" s="4" customFormat="1" ht="21.75" customHeight="1" spans="1:11">
      <c r="A184" s="21"/>
      <c r="B184" s="21"/>
      <c r="C184" s="11" t="s">
        <v>112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/>
      <c r="J184" s="11"/>
      <c r="K184" s="11">
        <f t="shared" si="7"/>
        <v>0</v>
      </c>
    </row>
    <row r="185" s="4" customFormat="1" ht="21.75" customHeight="1" spans="1:11">
      <c r="A185" s="21"/>
      <c r="B185" s="21"/>
      <c r="C185" s="11" t="s">
        <v>113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/>
      <c r="J185" s="11"/>
      <c r="K185" s="11">
        <f t="shared" si="7"/>
        <v>0</v>
      </c>
    </row>
    <row r="186" s="4" customFormat="1" ht="21.75" customHeight="1" spans="1:11">
      <c r="A186" s="13" t="s">
        <v>133</v>
      </c>
      <c r="B186" s="13">
        <v>10.5</v>
      </c>
      <c r="C186" s="11" t="s">
        <v>115</v>
      </c>
      <c r="D186" s="11">
        <v>10.5</v>
      </c>
      <c r="E186" s="11">
        <v>10.5</v>
      </c>
      <c r="F186" s="11">
        <v>10.5</v>
      </c>
      <c r="G186" s="11">
        <v>10.5</v>
      </c>
      <c r="H186" s="11">
        <v>10.5</v>
      </c>
      <c r="I186" s="11"/>
      <c r="J186" s="11"/>
      <c r="K186" s="11">
        <f t="shared" si="7"/>
        <v>52.5</v>
      </c>
    </row>
    <row r="187" s="4" customFormat="1" ht="21.75" customHeight="1" spans="1:11">
      <c r="A187" s="13" t="s">
        <v>116</v>
      </c>
      <c r="B187" s="13">
        <v>12</v>
      </c>
      <c r="C187" s="13" t="s">
        <v>134</v>
      </c>
      <c r="D187" s="13">
        <v>12</v>
      </c>
      <c r="E187" s="13">
        <v>12</v>
      </c>
      <c r="F187" s="13">
        <v>12</v>
      </c>
      <c r="G187" s="13">
        <v>12</v>
      </c>
      <c r="H187" s="13">
        <v>12</v>
      </c>
      <c r="I187" s="13"/>
      <c r="J187" s="13"/>
      <c r="K187" s="11">
        <f t="shared" si="7"/>
        <v>60</v>
      </c>
    </row>
    <row r="188" s="4" customFormat="1" ht="21.75" customHeight="1" spans="1:11">
      <c r="A188" s="12"/>
      <c r="B188" s="81"/>
      <c r="C188" s="81"/>
      <c r="D188" s="81"/>
      <c r="E188" s="81"/>
      <c r="F188" s="81"/>
      <c r="G188" s="81"/>
      <c r="H188" s="81"/>
      <c r="I188" s="81"/>
      <c r="J188" s="30"/>
      <c r="K188" s="11">
        <f>SUM(K167:K187)</f>
        <v>1065</v>
      </c>
    </row>
    <row r="191" s="1" customFormat="1" ht="21" customHeight="1" spans="1:11">
      <c r="A191" s="5" t="s">
        <v>80</v>
      </c>
      <c r="B191" s="6"/>
      <c r="C191" s="6"/>
      <c r="D191" s="6"/>
      <c r="E191" s="6"/>
      <c r="F191" s="6"/>
      <c r="G191" s="6"/>
      <c r="H191" s="6"/>
      <c r="I191" s="6"/>
      <c r="J191" s="6"/>
      <c r="K191" s="7"/>
    </row>
    <row r="192" s="1" customFormat="1" ht="21" customHeight="1" spans="1:11">
      <c r="A192" s="8" t="s">
        <v>145</v>
      </c>
      <c r="B192" s="9"/>
      <c r="C192" s="9"/>
      <c r="D192" s="10" t="s">
        <v>146</v>
      </c>
      <c r="E192" s="9"/>
      <c r="F192" s="9"/>
      <c r="G192" s="9"/>
      <c r="H192" s="9"/>
      <c r="I192" s="9"/>
      <c r="J192" s="9"/>
      <c r="K192" s="9"/>
    </row>
    <row r="193" s="1" customFormat="1" ht="21" customHeight="1" spans="1:11">
      <c r="A193" s="11" t="s">
        <v>83</v>
      </c>
      <c r="B193" s="11" t="s">
        <v>84</v>
      </c>
      <c r="C193" s="12" t="s">
        <v>120</v>
      </c>
      <c r="D193" s="13" t="s">
        <v>6</v>
      </c>
      <c r="E193" s="13" t="s">
        <v>6</v>
      </c>
      <c r="F193" s="13" t="s">
        <v>6</v>
      </c>
      <c r="G193" s="11" t="s">
        <v>6</v>
      </c>
      <c r="H193" s="11" t="s">
        <v>6</v>
      </c>
      <c r="I193" s="11" t="s">
        <v>6</v>
      </c>
      <c r="J193" s="11" t="s">
        <v>121</v>
      </c>
      <c r="K193" s="11" t="s">
        <v>87</v>
      </c>
    </row>
    <row r="194" s="1" customFormat="1" ht="21" customHeight="1" spans="1:11">
      <c r="A194" s="11" t="s">
        <v>122</v>
      </c>
      <c r="B194" s="11">
        <v>12</v>
      </c>
      <c r="C194" s="12" t="s">
        <v>123</v>
      </c>
      <c r="D194" s="15">
        <v>12</v>
      </c>
      <c r="E194" s="15">
        <v>10</v>
      </c>
      <c r="F194" s="16"/>
      <c r="G194" s="17"/>
      <c r="H194" s="13"/>
      <c r="I194" s="11"/>
      <c r="J194" s="11"/>
      <c r="K194" s="14">
        <f t="shared" ref="K194:K214" si="8">SUM(D194:J194)</f>
        <v>22</v>
      </c>
    </row>
    <row r="195" s="1" customFormat="1" ht="21" customHeight="1" spans="1:11">
      <c r="A195" s="18" t="s">
        <v>90</v>
      </c>
      <c r="B195" s="11">
        <v>11.5</v>
      </c>
      <c r="C195" s="12" t="s">
        <v>124</v>
      </c>
      <c r="D195" s="15">
        <v>17.5</v>
      </c>
      <c r="E195" s="15">
        <v>0</v>
      </c>
      <c r="F195" s="16"/>
      <c r="G195" s="17"/>
      <c r="H195" s="13"/>
      <c r="I195" s="11"/>
      <c r="J195" s="11"/>
      <c r="K195" s="14">
        <f t="shared" si="8"/>
        <v>17.5</v>
      </c>
    </row>
    <row r="196" s="1" customFormat="1" ht="21" customHeight="1" spans="1:11">
      <c r="A196" s="18"/>
      <c r="B196" s="11"/>
      <c r="C196" s="12" t="s">
        <v>92</v>
      </c>
      <c r="D196" s="15">
        <v>17.5</v>
      </c>
      <c r="E196" s="15">
        <v>10</v>
      </c>
      <c r="F196" s="16"/>
      <c r="G196" s="17"/>
      <c r="H196" s="13"/>
      <c r="I196" s="11"/>
      <c r="J196" s="11"/>
      <c r="K196" s="14">
        <f t="shared" si="8"/>
        <v>27.5</v>
      </c>
    </row>
    <row r="197" s="1" customFormat="1" ht="21" customHeight="1" spans="1:11">
      <c r="A197" s="19" t="s">
        <v>125</v>
      </c>
      <c r="B197" s="14">
        <v>11.5</v>
      </c>
      <c r="C197" s="20" t="s">
        <v>94</v>
      </c>
      <c r="D197" s="15">
        <v>15</v>
      </c>
      <c r="E197" s="15">
        <v>0</v>
      </c>
      <c r="F197" s="21"/>
      <c r="G197" s="13"/>
      <c r="H197" s="13"/>
      <c r="I197" s="11"/>
      <c r="J197" s="11"/>
      <c r="K197" s="14">
        <f t="shared" si="8"/>
        <v>15</v>
      </c>
    </row>
    <row r="198" s="1" customFormat="1" ht="21" customHeight="1" spans="1:11">
      <c r="A198" s="22"/>
      <c r="B198" s="14"/>
      <c r="C198" s="1" t="s">
        <v>98</v>
      </c>
      <c r="D198" s="23">
        <v>0</v>
      </c>
      <c r="E198" s="24">
        <v>10</v>
      </c>
      <c r="F198" s="13"/>
      <c r="G198" s="13"/>
      <c r="H198" s="13"/>
      <c r="I198" s="11"/>
      <c r="J198" s="11"/>
      <c r="K198" s="14">
        <f t="shared" si="8"/>
        <v>10</v>
      </c>
    </row>
    <row r="199" s="1" customFormat="1" ht="21" customHeight="1" spans="1:11">
      <c r="A199" s="25" t="s">
        <v>126</v>
      </c>
      <c r="B199" s="14"/>
      <c r="C199" s="20" t="s">
        <v>95</v>
      </c>
      <c r="D199" s="26">
        <v>11.5</v>
      </c>
      <c r="E199" s="15">
        <v>0</v>
      </c>
      <c r="F199" s="13"/>
      <c r="G199" s="13"/>
      <c r="H199" s="13"/>
      <c r="I199" s="11"/>
      <c r="J199" s="11"/>
      <c r="K199" s="14">
        <f t="shared" si="8"/>
        <v>11.5</v>
      </c>
    </row>
    <row r="200" s="1" customFormat="1" ht="21" customHeight="1" spans="1:11">
      <c r="A200" s="27"/>
      <c r="B200" s="14"/>
      <c r="C200" s="20" t="s">
        <v>97</v>
      </c>
      <c r="D200" s="28">
        <v>0</v>
      </c>
      <c r="E200" s="29">
        <v>10</v>
      </c>
      <c r="F200" s="13"/>
      <c r="G200" s="13"/>
      <c r="H200" s="13"/>
      <c r="I200" s="13"/>
      <c r="J200" s="11"/>
      <c r="K200" s="14">
        <f t="shared" si="8"/>
        <v>10</v>
      </c>
    </row>
    <row r="201" s="1" customFormat="1" ht="21" customHeight="1" spans="1:11">
      <c r="A201" s="18" t="s">
        <v>127</v>
      </c>
      <c r="B201" s="14"/>
      <c r="C201" s="14" t="s">
        <v>96</v>
      </c>
      <c r="D201" s="28">
        <v>11.5</v>
      </c>
      <c r="E201" s="29">
        <v>5</v>
      </c>
      <c r="F201" s="13"/>
      <c r="G201" s="13"/>
      <c r="H201" s="13"/>
      <c r="I201" s="13"/>
      <c r="J201" s="11"/>
      <c r="K201" s="14">
        <f t="shared" si="8"/>
        <v>16.5</v>
      </c>
    </row>
    <row r="202" s="1" customFormat="1" ht="21" customHeight="1" spans="1:11">
      <c r="A202" s="11" t="s">
        <v>128</v>
      </c>
      <c r="B202" s="11">
        <v>10.5</v>
      </c>
      <c r="C202" s="11" t="s">
        <v>129</v>
      </c>
      <c r="D202" s="28">
        <v>0</v>
      </c>
      <c r="E202" s="29">
        <v>10</v>
      </c>
      <c r="F202" s="13"/>
      <c r="G202" s="13"/>
      <c r="H202" s="13"/>
      <c r="I202" s="11"/>
      <c r="J202" s="11"/>
      <c r="K202" s="14">
        <f t="shared" si="8"/>
        <v>10</v>
      </c>
    </row>
    <row r="203" s="1" customFormat="1" ht="21" customHeight="1" spans="1:11">
      <c r="A203" s="11"/>
      <c r="B203" s="11"/>
      <c r="C203" s="11" t="s">
        <v>101</v>
      </c>
      <c r="D203" s="28">
        <v>0</v>
      </c>
      <c r="E203" s="29">
        <v>5</v>
      </c>
      <c r="F203" s="13"/>
      <c r="G203" s="13"/>
      <c r="H203" s="13"/>
      <c r="I203" s="11"/>
      <c r="J203" s="11"/>
      <c r="K203" s="14">
        <f t="shared" si="8"/>
        <v>5</v>
      </c>
    </row>
    <row r="204" s="1" customFormat="1" ht="21" customHeight="1" spans="1:11">
      <c r="A204" s="11" t="s">
        <v>130</v>
      </c>
      <c r="B204" s="11">
        <v>11.5</v>
      </c>
      <c r="C204" s="12" t="s">
        <v>103</v>
      </c>
      <c r="D204" s="15">
        <v>20</v>
      </c>
      <c r="E204" s="29">
        <v>10</v>
      </c>
      <c r="F204" s="13"/>
      <c r="G204" s="13"/>
      <c r="H204" s="13"/>
      <c r="I204" s="11"/>
      <c r="J204" s="11"/>
      <c r="K204" s="14">
        <f t="shared" si="8"/>
        <v>30</v>
      </c>
    </row>
    <row r="205" s="1" customFormat="1" ht="21" customHeight="1" spans="1:11">
      <c r="A205" s="11"/>
      <c r="B205" s="11"/>
      <c r="C205" s="12" t="s">
        <v>104</v>
      </c>
      <c r="D205" s="15">
        <v>10</v>
      </c>
      <c r="E205" s="29">
        <v>10</v>
      </c>
      <c r="F205" s="17"/>
      <c r="G205" s="13"/>
      <c r="H205" s="13"/>
      <c r="I205" s="11"/>
      <c r="J205" s="11"/>
      <c r="K205" s="14">
        <f t="shared" si="8"/>
        <v>20</v>
      </c>
    </row>
    <row r="206" s="1" customFormat="1" ht="21" customHeight="1" spans="1:11">
      <c r="A206" s="11"/>
      <c r="B206" s="11"/>
      <c r="C206" s="12" t="s">
        <v>131</v>
      </c>
      <c r="D206" s="15">
        <v>10</v>
      </c>
      <c r="E206" s="29">
        <v>20</v>
      </c>
      <c r="F206" s="17"/>
      <c r="G206" s="13"/>
      <c r="H206" s="13"/>
      <c r="I206" s="11"/>
      <c r="J206" s="11"/>
      <c r="K206" s="14">
        <f t="shared" si="8"/>
        <v>30</v>
      </c>
    </row>
    <row r="207" s="1" customFormat="1" ht="21" customHeight="1" spans="1:11">
      <c r="A207" s="11"/>
      <c r="B207" s="11"/>
      <c r="C207" s="12" t="s">
        <v>106</v>
      </c>
      <c r="D207" s="28">
        <v>153</v>
      </c>
      <c r="E207" s="15">
        <v>10</v>
      </c>
      <c r="F207" s="13"/>
      <c r="G207" s="13"/>
      <c r="H207" s="13"/>
      <c r="I207" s="11"/>
      <c r="J207" s="11"/>
      <c r="K207" s="14">
        <f t="shared" si="8"/>
        <v>163</v>
      </c>
    </row>
    <row r="208" s="1" customFormat="1" ht="21" customHeight="1" spans="1:11">
      <c r="A208" s="21" t="s">
        <v>107</v>
      </c>
      <c r="B208" s="21">
        <v>10.5</v>
      </c>
      <c r="C208" s="11" t="s">
        <v>108</v>
      </c>
      <c r="D208" s="15">
        <v>15</v>
      </c>
      <c r="E208" s="15">
        <v>10</v>
      </c>
      <c r="F208" s="13"/>
      <c r="G208" s="13"/>
      <c r="H208" s="13"/>
      <c r="I208" s="11"/>
      <c r="J208" s="11"/>
      <c r="K208" s="14">
        <f t="shared" si="8"/>
        <v>25</v>
      </c>
    </row>
    <row r="209" s="1" customFormat="1" ht="21" customHeight="1" spans="1:11">
      <c r="A209" s="21"/>
      <c r="B209" s="21"/>
      <c r="C209" s="11" t="s">
        <v>132</v>
      </c>
      <c r="D209" s="28">
        <v>15</v>
      </c>
      <c r="E209" s="15">
        <v>10</v>
      </c>
      <c r="F209" s="13"/>
      <c r="G209" s="13"/>
      <c r="H209" s="13"/>
      <c r="I209" s="11"/>
      <c r="J209" s="11"/>
      <c r="K209" s="14">
        <f t="shared" si="8"/>
        <v>25</v>
      </c>
    </row>
    <row r="210" s="1" customFormat="1" ht="21" customHeight="1" spans="1:11">
      <c r="A210" s="21"/>
      <c r="B210" s="21"/>
      <c r="C210" s="11" t="s">
        <v>111</v>
      </c>
      <c r="D210" s="15">
        <v>15</v>
      </c>
      <c r="E210" s="15">
        <v>0</v>
      </c>
      <c r="F210" s="13"/>
      <c r="G210" s="13"/>
      <c r="H210" s="13"/>
      <c r="I210" s="11"/>
      <c r="J210" s="11"/>
      <c r="K210" s="14">
        <f t="shared" si="8"/>
        <v>15</v>
      </c>
    </row>
    <row r="211" s="1" customFormat="1" ht="21" customHeight="1" spans="1:11">
      <c r="A211" s="21"/>
      <c r="B211" s="21"/>
      <c r="C211" s="11" t="s">
        <v>112</v>
      </c>
      <c r="D211" s="15">
        <v>15</v>
      </c>
      <c r="E211" s="15">
        <v>5</v>
      </c>
      <c r="F211" s="13"/>
      <c r="G211" s="13"/>
      <c r="H211" s="13"/>
      <c r="I211" s="11"/>
      <c r="J211" s="30"/>
      <c r="K211" s="14">
        <f t="shared" si="8"/>
        <v>20</v>
      </c>
    </row>
    <row r="212" s="1" customFormat="1" ht="21" customHeight="1" spans="1:11">
      <c r="A212" s="21"/>
      <c r="B212" s="21"/>
      <c r="C212" s="11" t="s">
        <v>113</v>
      </c>
      <c r="D212" s="15">
        <v>12</v>
      </c>
      <c r="E212" s="15">
        <v>0</v>
      </c>
      <c r="F212" s="13"/>
      <c r="G212" s="13"/>
      <c r="H212" s="13"/>
      <c r="I212" s="11"/>
      <c r="J212" s="30"/>
      <c r="K212" s="14">
        <f t="shared" si="8"/>
        <v>12</v>
      </c>
    </row>
    <row r="213" s="1" customFormat="1" ht="21" customHeight="1" spans="1:11">
      <c r="A213" s="13" t="s">
        <v>133</v>
      </c>
      <c r="B213" s="13">
        <v>10.5</v>
      </c>
      <c r="C213" s="11" t="s">
        <v>115</v>
      </c>
      <c r="D213" s="15">
        <v>10.5</v>
      </c>
      <c r="E213" s="15">
        <v>10</v>
      </c>
      <c r="F213" s="13"/>
      <c r="G213" s="11"/>
      <c r="H213" s="11"/>
      <c r="I213" s="11"/>
      <c r="J213" s="30"/>
      <c r="K213" s="14">
        <f t="shared" si="8"/>
        <v>20.5</v>
      </c>
    </row>
    <row r="214" s="1" customFormat="1" ht="21" customHeight="1" spans="1:11">
      <c r="A214" s="11" t="s">
        <v>116</v>
      </c>
      <c r="B214" s="11">
        <v>12</v>
      </c>
      <c r="C214" s="11" t="s">
        <v>134</v>
      </c>
      <c r="D214" s="31">
        <v>12</v>
      </c>
      <c r="E214" s="31">
        <v>5</v>
      </c>
      <c r="F214" s="11"/>
      <c r="G214" s="11"/>
      <c r="H214" s="11"/>
      <c r="I214" s="11"/>
      <c r="J214" s="30"/>
      <c r="K214" s="14">
        <f t="shared" si="8"/>
        <v>17</v>
      </c>
    </row>
    <row r="215" s="1" customFormat="1" ht="21" customHeight="1" spans="1:11">
      <c r="A215" s="32"/>
      <c r="B215" s="32"/>
      <c r="C215" s="32"/>
      <c r="D215" s="32"/>
      <c r="E215" s="32"/>
      <c r="F215" s="33"/>
      <c r="G215" s="32"/>
      <c r="H215" s="32"/>
      <c r="I215" s="32"/>
      <c r="J215" s="32"/>
      <c r="K215" s="34">
        <f>SUM(K194:K214)</f>
        <v>522.5</v>
      </c>
    </row>
    <row r="218" s="1" customFormat="1" ht="21" customHeight="1" spans="1:11">
      <c r="A218" s="53" t="s">
        <v>80</v>
      </c>
      <c r="B218" s="53"/>
      <c r="C218" s="53"/>
      <c r="D218" s="53"/>
      <c r="E218" s="53"/>
      <c r="F218" s="53"/>
      <c r="G218" s="53"/>
      <c r="H218" s="53"/>
      <c r="I218" s="53"/>
      <c r="J218" s="53"/>
      <c r="K218" s="53"/>
    </row>
    <row r="219" s="1" customFormat="1" ht="21" customHeight="1" spans="1:11">
      <c r="A219" s="54" t="s">
        <v>147</v>
      </c>
      <c r="B219" s="54"/>
      <c r="C219" s="54"/>
      <c r="D219" s="54" t="s">
        <v>148</v>
      </c>
      <c r="E219" s="54"/>
      <c r="F219" s="54"/>
      <c r="G219" s="54"/>
      <c r="H219" s="54"/>
      <c r="I219" s="54"/>
      <c r="J219" s="54"/>
      <c r="K219" s="54"/>
    </row>
    <row r="220" s="1" customFormat="1" ht="21" customHeight="1" spans="1:11">
      <c r="A220" s="55" t="s">
        <v>83</v>
      </c>
      <c r="B220" s="55" t="s">
        <v>84</v>
      </c>
      <c r="C220" s="56" t="s">
        <v>120</v>
      </c>
      <c r="D220" s="57" t="s">
        <v>6</v>
      </c>
      <c r="E220" s="57" t="s">
        <v>6</v>
      </c>
      <c r="F220" s="55" t="s">
        <v>6</v>
      </c>
      <c r="G220" s="55" t="s">
        <v>6</v>
      </c>
      <c r="H220" s="55" t="s">
        <v>6</v>
      </c>
      <c r="I220" s="55" t="s">
        <v>6</v>
      </c>
      <c r="J220" s="55" t="s">
        <v>121</v>
      </c>
      <c r="K220" s="55" t="s">
        <v>87</v>
      </c>
    </row>
    <row r="221" s="1" customFormat="1" ht="21" customHeight="1" spans="1:11">
      <c r="A221" s="34" t="s">
        <v>122</v>
      </c>
      <c r="B221" s="34">
        <v>12</v>
      </c>
      <c r="C221" s="133" t="s">
        <v>123</v>
      </c>
      <c r="D221" s="58">
        <v>12</v>
      </c>
      <c r="E221" s="58">
        <v>12</v>
      </c>
      <c r="F221" s="58">
        <v>12</v>
      </c>
      <c r="G221" s="58"/>
      <c r="H221" s="62"/>
      <c r="I221" s="34"/>
      <c r="J221" s="34"/>
      <c r="K221" s="14">
        <f t="shared" ref="K221:K241" si="9">SUM(D221:J221)</f>
        <v>36</v>
      </c>
    </row>
    <row r="222" s="1" customFormat="1" ht="21" customHeight="1" spans="1:11">
      <c r="A222" s="60" t="s">
        <v>90</v>
      </c>
      <c r="B222" s="34">
        <v>11.5</v>
      </c>
      <c r="C222" s="61" t="s">
        <v>124</v>
      </c>
      <c r="D222" s="58">
        <v>30</v>
      </c>
      <c r="E222" s="58">
        <v>30</v>
      </c>
      <c r="F222" s="58">
        <v>30</v>
      </c>
      <c r="G222" s="58"/>
      <c r="H222" s="62"/>
      <c r="I222" s="34"/>
      <c r="J222" s="34"/>
      <c r="K222" s="14">
        <f t="shared" si="9"/>
        <v>90</v>
      </c>
    </row>
    <row r="223" s="1" customFormat="1" ht="21" customHeight="1" spans="1:11">
      <c r="A223" s="60"/>
      <c r="B223" s="34"/>
      <c r="C223" s="61" t="s">
        <v>92</v>
      </c>
      <c r="D223" s="58">
        <v>26.5</v>
      </c>
      <c r="E223" s="58">
        <v>26.5</v>
      </c>
      <c r="F223" s="58">
        <v>26.5</v>
      </c>
      <c r="G223" s="58"/>
      <c r="H223" s="62"/>
      <c r="I223" s="34"/>
      <c r="J223" s="34"/>
      <c r="K223" s="14">
        <f t="shared" si="9"/>
        <v>79.5</v>
      </c>
    </row>
    <row r="224" s="1" customFormat="1" ht="21" customHeight="1" spans="1:11">
      <c r="A224" s="19" t="s">
        <v>125</v>
      </c>
      <c r="B224" s="14">
        <v>11.5</v>
      </c>
      <c r="C224" s="20" t="s">
        <v>94</v>
      </c>
      <c r="D224" s="58">
        <v>23</v>
      </c>
      <c r="E224" s="58">
        <v>11.5</v>
      </c>
      <c r="F224" s="58">
        <v>11.5</v>
      </c>
      <c r="G224" s="58"/>
      <c r="H224" s="62"/>
      <c r="I224" s="34"/>
      <c r="J224" s="34"/>
      <c r="K224" s="14">
        <f t="shared" si="9"/>
        <v>46</v>
      </c>
    </row>
    <row r="225" s="1" customFormat="1" ht="21" customHeight="1" spans="1:11">
      <c r="A225" s="22"/>
      <c r="B225" s="14"/>
      <c r="C225" s="1" t="s">
        <v>98</v>
      </c>
      <c r="D225" s="58">
        <v>23</v>
      </c>
      <c r="E225" s="58">
        <v>23</v>
      </c>
      <c r="F225" s="58">
        <v>23</v>
      </c>
      <c r="G225" s="58"/>
      <c r="H225" s="62"/>
      <c r="I225" s="34"/>
      <c r="J225" s="34"/>
      <c r="K225" s="14">
        <f t="shared" si="9"/>
        <v>69</v>
      </c>
    </row>
    <row r="226" s="1" customFormat="1" ht="21" customHeight="1" spans="1:11">
      <c r="A226" s="25" t="s">
        <v>126</v>
      </c>
      <c r="B226" s="14"/>
      <c r="C226" s="20" t="s">
        <v>95</v>
      </c>
      <c r="D226" s="58">
        <v>23</v>
      </c>
      <c r="E226" s="58">
        <v>23</v>
      </c>
      <c r="F226" s="58">
        <v>23</v>
      </c>
      <c r="G226" s="58"/>
      <c r="H226" s="62"/>
      <c r="I226" s="34"/>
      <c r="J226" s="34"/>
      <c r="K226" s="14">
        <f t="shared" si="9"/>
        <v>69</v>
      </c>
    </row>
    <row r="227" s="1" customFormat="1" ht="21" customHeight="1" spans="1:11">
      <c r="A227" s="27"/>
      <c r="B227" s="14"/>
      <c r="C227" s="20" t="s">
        <v>97</v>
      </c>
      <c r="D227" s="58">
        <v>23</v>
      </c>
      <c r="E227" s="58">
        <v>23</v>
      </c>
      <c r="F227" s="58">
        <v>23</v>
      </c>
      <c r="G227" s="58"/>
      <c r="H227" s="62"/>
      <c r="I227" s="62"/>
      <c r="J227" s="34"/>
      <c r="K227" s="14">
        <f t="shared" si="9"/>
        <v>69</v>
      </c>
    </row>
    <row r="228" s="1" customFormat="1" ht="21" customHeight="1" spans="1:11">
      <c r="A228" s="18" t="s">
        <v>127</v>
      </c>
      <c r="B228" s="14"/>
      <c r="C228" s="14" t="s">
        <v>96</v>
      </c>
      <c r="D228" s="58">
        <v>21.5</v>
      </c>
      <c r="E228" s="58">
        <v>11.5</v>
      </c>
      <c r="F228" s="58">
        <v>11.5</v>
      </c>
      <c r="G228" s="58"/>
      <c r="H228" s="62"/>
      <c r="I228" s="62"/>
      <c r="J228" s="34"/>
      <c r="K228" s="14">
        <f t="shared" si="9"/>
        <v>44.5</v>
      </c>
    </row>
    <row r="229" s="1" customFormat="1" ht="21" customHeight="1" spans="1:11">
      <c r="A229" s="34" t="s">
        <v>128</v>
      </c>
      <c r="B229" s="34">
        <v>10.5</v>
      </c>
      <c r="C229" s="34" t="s">
        <v>129</v>
      </c>
      <c r="D229" s="63">
        <v>21</v>
      </c>
      <c r="E229" s="63">
        <v>20</v>
      </c>
      <c r="F229" s="63">
        <v>20</v>
      </c>
      <c r="G229" s="63"/>
      <c r="H229" s="62"/>
      <c r="I229" s="34"/>
      <c r="J229" s="34"/>
      <c r="K229" s="14">
        <f t="shared" si="9"/>
        <v>61</v>
      </c>
    </row>
    <row r="230" s="1" customFormat="1" ht="21" customHeight="1" spans="1:11">
      <c r="A230" s="34"/>
      <c r="B230" s="34"/>
      <c r="C230" s="34" t="s">
        <v>101</v>
      </c>
      <c r="D230" s="58">
        <v>21</v>
      </c>
      <c r="E230" s="58">
        <v>20</v>
      </c>
      <c r="F230" s="58">
        <v>20</v>
      </c>
      <c r="G230" s="58"/>
      <c r="H230" s="62"/>
      <c r="I230" s="34"/>
      <c r="J230" s="34"/>
      <c r="K230" s="14">
        <f t="shared" si="9"/>
        <v>61</v>
      </c>
    </row>
    <row r="231" s="1" customFormat="1" ht="21" customHeight="1" spans="1:11">
      <c r="A231" s="34" t="s">
        <v>130</v>
      </c>
      <c r="B231" s="34">
        <v>11.5</v>
      </c>
      <c r="C231" s="61" t="s">
        <v>103</v>
      </c>
      <c r="D231" s="58">
        <v>28</v>
      </c>
      <c r="E231" s="58">
        <v>28</v>
      </c>
      <c r="F231" s="58">
        <v>28</v>
      </c>
      <c r="G231" s="58"/>
      <c r="H231" s="62"/>
      <c r="I231" s="34"/>
      <c r="J231" s="34"/>
      <c r="K231" s="14">
        <f t="shared" si="9"/>
        <v>84</v>
      </c>
    </row>
    <row r="232" s="1" customFormat="1" ht="21" customHeight="1" spans="1:11">
      <c r="A232" s="34"/>
      <c r="B232" s="34"/>
      <c r="C232" s="61" t="s">
        <v>104</v>
      </c>
      <c r="D232" s="58">
        <v>18</v>
      </c>
      <c r="E232" s="58">
        <v>18</v>
      </c>
      <c r="F232" s="58">
        <v>18</v>
      </c>
      <c r="G232" s="58"/>
      <c r="H232" s="62"/>
      <c r="I232" s="34"/>
      <c r="J232" s="34"/>
      <c r="K232" s="14">
        <f t="shared" si="9"/>
        <v>54</v>
      </c>
    </row>
    <row r="233" s="1" customFormat="1" ht="21" customHeight="1" spans="1:11">
      <c r="A233" s="34"/>
      <c r="B233" s="34"/>
      <c r="C233" s="61" t="s">
        <v>131</v>
      </c>
      <c r="D233" s="65">
        <v>41</v>
      </c>
      <c r="E233" s="65">
        <v>41</v>
      </c>
      <c r="F233" s="65">
        <v>41</v>
      </c>
      <c r="G233" s="65"/>
      <c r="H233" s="62"/>
      <c r="I233" s="34"/>
      <c r="J233" s="34"/>
      <c r="K233" s="14">
        <f t="shared" si="9"/>
        <v>123</v>
      </c>
    </row>
    <row r="234" s="1" customFormat="1" ht="21" customHeight="1" spans="1:11">
      <c r="A234" s="34"/>
      <c r="B234" s="34"/>
      <c r="C234" s="61" t="s">
        <v>106</v>
      </c>
      <c r="D234" s="67">
        <v>155.7</v>
      </c>
      <c r="E234" s="67">
        <v>157</v>
      </c>
      <c r="F234" s="67">
        <v>157</v>
      </c>
      <c r="G234" s="67"/>
      <c r="H234" s="62"/>
      <c r="I234" s="34"/>
      <c r="J234" s="34"/>
      <c r="K234" s="14">
        <f t="shared" si="9"/>
        <v>469.7</v>
      </c>
    </row>
    <row r="235" s="1" customFormat="1" ht="21" customHeight="1" spans="1:11">
      <c r="A235" s="69" t="s">
        <v>107</v>
      </c>
      <c r="B235" s="69">
        <v>10.5</v>
      </c>
      <c r="C235" s="34" t="s">
        <v>108</v>
      </c>
      <c r="D235" s="58">
        <v>25</v>
      </c>
      <c r="E235" s="58">
        <v>25</v>
      </c>
      <c r="F235" s="58">
        <v>25</v>
      </c>
      <c r="G235" s="58"/>
      <c r="H235" s="62"/>
      <c r="I235" s="34"/>
      <c r="J235" s="34"/>
      <c r="K235" s="14">
        <f t="shared" si="9"/>
        <v>75</v>
      </c>
    </row>
    <row r="236" s="1" customFormat="1" ht="21" customHeight="1" spans="1:11">
      <c r="A236" s="69"/>
      <c r="B236" s="69"/>
      <c r="C236" s="34" t="s">
        <v>132</v>
      </c>
      <c r="D236" s="58">
        <v>50</v>
      </c>
      <c r="E236" s="58">
        <v>50</v>
      </c>
      <c r="F236" s="58">
        <v>50</v>
      </c>
      <c r="G236" s="58"/>
      <c r="H236" s="62"/>
      <c r="I236" s="34"/>
      <c r="J236" s="34"/>
      <c r="K236" s="14">
        <f t="shared" si="9"/>
        <v>150</v>
      </c>
    </row>
    <row r="237" s="1" customFormat="1" ht="21" customHeight="1" spans="1:11">
      <c r="A237" s="69"/>
      <c r="B237" s="69"/>
      <c r="C237" s="34" t="s">
        <v>111</v>
      </c>
      <c r="D237" s="58">
        <v>24.6</v>
      </c>
      <c r="E237" s="58">
        <v>24.5</v>
      </c>
      <c r="F237" s="58">
        <v>24.5</v>
      </c>
      <c r="G237" s="58"/>
      <c r="H237" s="62"/>
      <c r="I237" s="34"/>
      <c r="J237" s="34"/>
      <c r="K237" s="14">
        <f t="shared" si="9"/>
        <v>73.6</v>
      </c>
    </row>
    <row r="238" s="1" customFormat="1" ht="21" customHeight="1" spans="1:11">
      <c r="A238" s="69"/>
      <c r="B238" s="69"/>
      <c r="C238" s="34" t="s">
        <v>112</v>
      </c>
      <c r="D238" s="58">
        <v>24.6</v>
      </c>
      <c r="E238" s="58">
        <v>24.5</v>
      </c>
      <c r="F238" s="58">
        <v>24.5</v>
      </c>
      <c r="G238" s="58"/>
      <c r="H238" s="62"/>
      <c r="I238" s="34"/>
      <c r="J238" s="70"/>
      <c r="K238" s="14">
        <f t="shared" si="9"/>
        <v>73.6</v>
      </c>
    </row>
    <row r="239" s="1" customFormat="1" ht="21" customHeight="1" spans="1:11">
      <c r="A239" s="69"/>
      <c r="B239" s="69"/>
      <c r="C239" s="34" t="s">
        <v>113</v>
      </c>
      <c r="D239" s="58">
        <v>24.6</v>
      </c>
      <c r="E239" s="58">
        <v>24.5</v>
      </c>
      <c r="F239" s="58">
        <v>24.5</v>
      </c>
      <c r="G239" s="58"/>
      <c r="H239" s="62"/>
      <c r="I239" s="34"/>
      <c r="J239" s="70"/>
      <c r="K239" s="14">
        <f t="shared" si="9"/>
        <v>73.6</v>
      </c>
    </row>
    <row r="240" s="1" customFormat="1" ht="21" customHeight="1" spans="1:11">
      <c r="A240" s="62" t="s">
        <v>133</v>
      </c>
      <c r="B240" s="62">
        <v>10.5</v>
      </c>
      <c r="C240" s="34" t="s">
        <v>115</v>
      </c>
      <c r="D240" s="58">
        <v>10.5</v>
      </c>
      <c r="E240" s="58">
        <v>10.5</v>
      </c>
      <c r="F240" s="58">
        <v>10.5</v>
      </c>
      <c r="G240" s="58"/>
      <c r="H240" s="34"/>
      <c r="I240" s="34"/>
      <c r="J240" s="70"/>
      <c r="K240" s="14">
        <f t="shared" si="9"/>
        <v>31.5</v>
      </c>
    </row>
    <row r="241" s="1" customFormat="1" ht="21" customHeight="1" spans="1:11">
      <c r="A241" s="62" t="s">
        <v>116</v>
      </c>
      <c r="B241" s="62">
        <v>12</v>
      </c>
      <c r="C241" s="62" t="s">
        <v>134</v>
      </c>
      <c r="D241" s="63">
        <v>12</v>
      </c>
      <c r="E241" s="63">
        <v>12</v>
      </c>
      <c r="F241" s="63">
        <v>12</v>
      </c>
      <c r="G241" s="164"/>
      <c r="H241" s="62"/>
      <c r="I241" s="62"/>
      <c r="J241" s="71"/>
      <c r="K241" s="72">
        <f t="shared" si="9"/>
        <v>36</v>
      </c>
    </row>
    <row r="242" s="1" customFormat="1" ht="21" customHeight="1" spans="1:11">
      <c r="A242" s="20"/>
      <c r="B242" s="73"/>
      <c r="C242" s="73"/>
      <c r="D242" s="74"/>
      <c r="E242" s="74"/>
      <c r="F242" s="74"/>
      <c r="G242" s="73"/>
      <c r="H242" s="73"/>
      <c r="I242" s="73"/>
      <c r="J242" s="73"/>
      <c r="K242" s="75">
        <f>SUM(K221:K241)</f>
        <v>1869</v>
      </c>
    </row>
    <row r="245" s="138" customFormat="1" ht="23.25" customHeight="1" spans="1:11">
      <c r="A245" s="99" t="s">
        <v>140</v>
      </c>
      <c r="B245" s="99"/>
      <c r="C245" s="99"/>
      <c r="D245" s="99"/>
      <c r="E245" s="99"/>
      <c r="F245" s="99"/>
      <c r="G245" s="99"/>
      <c r="H245" s="99"/>
      <c r="I245" s="99"/>
      <c r="J245" s="99"/>
      <c r="K245" s="99"/>
    </row>
    <row r="246" s="138" customFormat="1" ht="23.25" customHeight="1" spans="1:11">
      <c r="A246" s="165" t="s">
        <v>147</v>
      </c>
      <c r="B246" s="165"/>
      <c r="C246" s="165"/>
      <c r="D246" s="166" t="s">
        <v>149</v>
      </c>
      <c r="E246" s="167"/>
      <c r="F246" s="165"/>
      <c r="G246" s="167"/>
      <c r="H246" s="165"/>
      <c r="I246" s="165"/>
      <c r="J246" s="165"/>
      <c r="K246" s="165"/>
    </row>
    <row r="247" s="138" customFormat="1" ht="23.25" customHeight="1" spans="1:11">
      <c r="A247" s="167" t="s">
        <v>83</v>
      </c>
      <c r="B247" s="167" t="s">
        <v>84</v>
      </c>
      <c r="C247" s="168" t="s">
        <v>120</v>
      </c>
      <c r="D247" s="169" t="s">
        <v>6</v>
      </c>
      <c r="E247" s="169" t="s">
        <v>6</v>
      </c>
      <c r="F247" s="167" t="s">
        <v>6</v>
      </c>
      <c r="G247" s="167" t="s">
        <v>6</v>
      </c>
      <c r="H247" s="167" t="s">
        <v>6</v>
      </c>
      <c r="I247" s="167" t="s">
        <v>6</v>
      </c>
      <c r="J247" s="167" t="s">
        <v>121</v>
      </c>
      <c r="K247" s="167" t="s">
        <v>87</v>
      </c>
    </row>
    <row r="248" s="138" customFormat="1" ht="23.25" customHeight="1" spans="1:11">
      <c r="A248" s="28" t="s">
        <v>122</v>
      </c>
      <c r="B248" s="28">
        <v>12</v>
      </c>
      <c r="C248" s="170" t="s">
        <v>123</v>
      </c>
      <c r="D248" s="134">
        <v>12</v>
      </c>
      <c r="E248" s="134">
        <v>10</v>
      </c>
      <c r="F248" s="134"/>
      <c r="G248" s="134"/>
      <c r="H248" s="134"/>
      <c r="I248" s="135"/>
      <c r="J248" s="135"/>
      <c r="K248" s="135">
        <f t="shared" ref="K248:K268" si="10">SUM(D248:J248)</f>
        <v>22</v>
      </c>
    </row>
    <row r="249" s="138" customFormat="1" ht="23.25" customHeight="1" spans="1:11">
      <c r="A249" s="40" t="s">
        <v>90</v>
      </c>
      <c r="B249" s="28">
        <v>11.5</v>
      </c>
      <c r="C249" s="41" t="s">
        <v>124</v>
      </c>
      <c r="D249" s="134">
        <v>17.5</v>
      </c>
      <c r="E249" s="134">
        <v>15</v>
      </c>
      <c r="F249" s="134"/>
      <c r="G249" s="134"/>
      <c r="H249" s="134"/>
      <c r="I249" s="135"/>
      <c r="J249" s="135"/>
      <c r="K249" s="135">
        <f t="shared" si="10"/>
        <v>32.5</v>
      </c>
    </row>
    <row r="250" s="138" customFormat="1" ht="23.25" customHeight="1" spans="1:11">
      <c r="A250" s="40"/>
      <c r="B250" s="28"/>
      <c r="C250" s="41" t="s">
        <v>92</v>
      </c>
      <c r="D250" s="134">
        <v>17.5</v>
      </c>
      <c r="E250" s="134">
        <v>15</v>
      </c>
      <c r="F250" s="134"/>
      <c r="G250" s="134"/>
      <c r="H250" s="134"/>
      <c r="I250" s="135"/>
      <c r="J250" s="135"/>
      <c r="K250" s="135">
        <f t="shared" si="10"/>
        <v>32.5</v>
      </c>
    </row>
    <row r="251" s="138" customFormat="1" ht="23.25" customHeight="1" spans="1:11">
      <c r="A251" s="42" t="s">
        <v>125</v>
      </c>
      <c r="B251" s="31">
        <v>11.5</v>
      </c>
      <c r="C251" s="43" t="s">
        <v>94</v>
      </c>
      <c r="D251" s="135">
        <v>0</v>
      </c>
      <c r="E251" s="135">
        <v>10</v>
      </c>
      <c r="F251" s="135"/>
      <c r="G251" s="135"/>
      <c r="H251" s="135"/>
      <c r="I251" s="135"/>
      <c r="J251" s="135"/>
      <c r="K251" s="135">
        <f t="shared" si="10"/>
        <v>10</v>
      </c>
    </row>
    <row r="252" s="138" customFormat="1" ht="23.25" customHeight="1" spans="1:11">
      <c r="A252" s="44"/>
      <c r="B252" s="31"/>
      <c r="C252" s="2" t="s">
        <v>98</v>
      </c>
      <c r="D252" s="135">
        <v>0</v>
      </c>
      <c r="E252" s="135">
        <v>10</v>
      </c>
      <c r="F252" s="135"/>
      <c r="G252" s="135"/>
      <c r="H252" s="135"/>
      <c r="I252" s="135"/>
      <c r="J252" s="135"/>
      <c r="K252" s="135">
        <f t="shared" si="10"/>
        <v>10</v>
      </c>
    </row>
    <row r="253" s="138" customFormat="1" ht="23.25" customHeight="1" spans="1:11">
      <c r="A253" s="45" t="s">
        <v>126</v>
      </c>
      <c r="B253" s="31"/>
      <c r="C253" s="43" t="s">
        <v>95</v>
      </c>
      <c r="D253" s="135">
        <v>0</v>
      </c>
      <c r="E253" s="135">
        <v>10</v>
      </c>
      <c r="F253" s="135"/>
      <c r="G253" s="135"/>
      <c r="H253" s="135"/>
      <c r="I253" s="135"/>
      <c r="J253" s="135"/>
      <c r="K253" s="135">
        <f t="shared" si="10"/>
        <v>10</v>
      </c>
    </row>
    <row r="254" s="138" customFormat="1" ht="23.25" customHeight="1" spans="1:11">
      <c r="A254" s="46"/>
      <c r="B254" s="31"/>
      <c r="C254" s="43" t="s">
        <v>97</v>
      </c>
      <c r="D254" s="135">
        <v>0</v>
      </c>
      <c r="E254" s="135">
        <v>10</v>
      </c>
      <c r="F254" s="135"/>
      <c r="G254" s="135"/>
      <c r="H254" s="135"/>
      <c r="I254" s="134"/>
      <c r="J254" s="135"/>
      <c r="K254" s="135">
        <f t="shared" si="10"/>
        <v>10</v>
      </c>
    </row>
    <row r="255" s="138" customFormat="1" ht="23.25" customHeight="1" spans="1:11">
      <c r="A255" s="47" t="s">
        <v>127</v>
      </c>
      <c r="B255" s="31"/>
      <c r="C255" s="31" t="s">
        <v>96</v>
      </c>
      <c r="D255" s="135">
        <v>0</v>
      </c>
      <c r="E255" s="135">
        <v>10</v>
      </c>
      <c r="F255" s="135"/>
      <c r="G255" s="135"/>
      <c r="H255" s="135"/>
      <c r="I255" s="134"/>
      <c r="J255" s="135"/>
      <c r="K255" s="135">
        <f t="shared" si="10"/>
        <v>10</v>
      </c>
    </row>
    <row r="256" s="138" customFormat="1" ht="23.25" customHeight="1" spans="1:11">
      <c r="A256" s="28" t="s">
        <v>128</v>
      </c>
      <c r="B256" s="28">
        <v>10.5</v>
      </c>
      <c r="C256" s="28" t="s">
        <v>129</v>
      </c>
      <c r="D256" s="135">
        <v>0</v>
      </c>
      <c r="E256" s="135">
        <v>10</v>
      </c>
      <c r="F256" s="135"/>
      <c r="G256" s="135"/>
      <c r="H256" s="135"/>
      <c r="I256" s="135"/>
      <c r="J256" s="135"/>
      <c r="K256" s="135">
        <f t="shared" si="10"/>
        <v>10</v>
      </c>
    </row>
    <row r="257" s="138" customFormat="1" ht="23.25" customHeight="1" spans="1:11">
      <c r="A257" s="28"/>
      <c r="B257" s="28"/>
      <c r="C257" s="28" t="s">
        <v>101</v>
      </c>
      <c r="D257" s="135">
        <v>0</v>
      </c>
      <c r="E257" s="135">
        <v>10</v>
      </c>
      <c r="F257" s="135"/>
      <c r="G257" s="135"/>
      <c r="H257" s="135"/>
      <c r="I257" s="135"/>
      <c r="J257" s="135"/>
      <c r="K257" s="135">
        <f t="shared" si="10"/>
        <v>10</v>
      </c>
    </row>
    <row r="258" s="138" customFormat="1" ht="23.25" customHeight="1" spans="1:11">
      <c r="A258" s="28" t="s">
        <v>130</v>
      </c>
      <c r="B258" s="28">
        <v>11.5</v>
      </c>
      <c r="C258" s="41" t="s">
        <v>103</v>
      </c>
      <c r="D258" s="135">
        <v>29</v>
      </c>
      <c r="E258" s="136">
        <v>10</v>
      </c>
      <c r="F258" s="135"/>
      <c r="G258" s="135"/>
      <c r="H258" s="135"/>
      <c r="I258" s="135"/>
      <c r="J258" s="135"/>
      <c r="K258" s="135">
        <f t="shared" si="10"/>
        <v>39</v>
      </c>
    </row>
    <row r="259" s="138" customFormat="1" ht="23.25" customHeight="1" spans="1:11">
      <c r="A259" s="28"/>
      <c r="B259" s="28"/>
      <c r="C259" s="41" t="s">
        <v>104</v>
      </c>
      <c r="D259" s="136">
        <v>8</v>
      </c>
      <c r="E259" s="136">
        <v>10</v>
      </c>
      <c r="F259" s="136"/>
      <c r="G259" s="136"/>
      <c r="H259" s="136"/>
      <c r="I259" s="135"/>
      <c r="J259" s="135"/>
      <c r="K259" s="135">
        <f t="shared" si="10"/>
        <v>18</v>
      </c>
    </row>
    <row r="260" s="138" customFormat="1" ht="23.25" customHeight="1" spans="1:11">
      <c r="A260" s="28"/>
      <c r="B260" s="28"/>
      <c r="C260" s="41" t="s">
        <v>131</v>
      </c>
      <c r="D260" s="136">
        <v>8</v>
      </c>
      <c r="E260" s="136">
        <v>10</v>
      </c>
      <c r="F260" s="136"/>
      <c r="G260" s="136"/>
      <c r="H260" s="136"/>
      <c r="I260" s="135"/>
      <c r="J260" s="135"/>
      <c r="K260" s="135">
        <f t="shared" si="10"/>
        <v>18</v>
      </c>
    </row>
    <row r="261" s="138" customFormat="1" ht="23.25" customHeight="1" spans="1:11">
      <c r="A261" s="28"/>
      <c r="B261" s="28"/>
      <c r="C261" s="41" t="s">
        <v>106</v>
      </c>
      <c r="D261" s="134">
        <v>82.5</v>
      </c>
      <c r="E261" s="136">
        <v>10</v>
      </c>
      <c r="F261" s="134"/>
      <c r="G261" s="134"/>
      <c r="H261" s="134"/>
      <c r="I261" s="135"/>
      <c r="J261" s="135"/>
      <c r="K261" s="135">
        <f t="shared" si="10"/>
        <v>92.5</v>
      </c>
    </row>
    <row r="262" s="138" customFormat="1" ht="23.25" customHeight="1" spans="1:11">
      <c r="A262" s="48" t="s">
        <v>107</v>
      </c>
      <c r="B262" s="48">
        <v>10.5</v>
      </c>
      <c r="C262" s="28" t="s">
        <v>108</v>
      </c>
      <c r="D262" s="134">
        <v>11</v>
      </c>
      <c r="E262" s="136">
        <v>10</v>
      </c>
      <c r="F262" s="134"/>
      <c r="G262" s="134"/>
      <c r="H262" s="134"/>
      <c r="I262" s="135"/>
      <c r="J262" s="135"/>
      <c r="K262" s="135">
        <f t="shared" si="10"/>
        <v>21</v>
      </c>
    </row>
    <row r="263" s="138" customFormat="1" ht="23.25" customHeight="1" spans="1:11">
      <c r="A263" s="48"/>
      <c r="B263" s="48"/>
      <c r="C263" s="28" t="s">
        <v>132</v>
      </c>
      <c r="D263" s="134">
        <v>11</v>
      </c>
      <c r="E263" s="136">
        <v>10</v>
      </c>
      <c r="F263" s="134"/>
      <c r="G263" s="134"/>
      <c r="H263" s="134"/>
      <c r="I263" s="135"/>
      <c r="J263" s="135"/>
      <c r="K263" s="135">
        <f t="shared" si="10"/>
        <v>21</v>
      </c>
    </row>
    <row r="264" s="138" customFormat="1" ht="23.25" customHeight="1" spans="1:11">
      <c r="A264" s="48"/>
      <c r="B264" s="48"/>
      <c r="C264" s="28" t="s">
        <v>111</v>
      </c>
      <c r="D264" s="134">
        <v>11</v>
      </c>
      <c r="E264" s="136">
        <v>10</v>
      </c>
      <c r="F264" s="134"/>
      <c r="G264" s="134"/>
      <c r="H264" s="134"/>
      <c r="I264" s="135"/>
      <c r="J264" s="171"/>
      <c r="K264" s="135">
        <f t="shared" si="10"/>
        <v>21</v>
      </c>
    </row>
    <row r="265" s="138" customFormat="1" ht="23.25" customHeight="1" spans="1:11">
      <c r="A265" s="48"/>
      <c r="B265" s="48"/>
      <c r="C265" s="28" t="s">
        <v>112</v>
      </c>
      <c r="D265" s="134">
        <v>11</v>
      </c>
      <c r="E265" s="136">
        <v>10</v>
      </c>
      <c r="F265" s="134"/>
      <c r="G265" s="134"/>
      <c r="H265" s="134"/>
      <c r="I265" s="135"/>
      <c r="J265" s="171"/>
      <c r="K265" s="135">
        <f t="shared" si="10"/>
        <v>21</v>
      </c>
    </row>
    <row r="266" s="138" customFormat="1" ht="23.25" customHeight="1" spans="1:11">
      <c r="A266" s="48"/>
      <c r="B266" s="48"/>
      <c r="C266" s="28" t="s">
        <v>113</v>
      </c>
      <c r="D266" s="134">
        <v>8</v>
      </c>
      <c r="E266" s="136">
        <v>10</v>
      </c>
      <c r="F266" s="135"/>
      <c r="G266" s="134"/>
      <c r="H266" s="134"/>
      <c r="I266" s="135"/>
      <c r="J266" s="171"/>
      <c r="K266" s="135">
        <f t="shared" si="10"/>
        <v>18</v>
      </c>
    </row>
    <row r="267" s="138" customFormat="1" ht="23.25" customHeight="1" spans="1:11">
      <c r="A267" s="15" t="s">
        <v>133</v>
      </c>
      <c r="B267" s="15">
        <v>10.5</v>
      </c>
      <c r="C267" s="15" t="s">
        <v>115</v>
      </c>
      <c r="D267" s="135">
        <v>10.5</v>
      </c>
      <c r="E267" s="136">
        <v>10.5</v>
      </c>
      <c r="G267" s="135"/>
      <c r="H267" s="135"/>
      <c r="I267" s="135"/>
      <c r="J267" s="171"/>
      <c r="K267" s="135">
        <f t="shared" si="10"/>
        <v>21</v>
      </c>
    </row>
    <row r="268" s="138" customFormat="1" ht="23.25" customHeight="1" spans="1:11">
      <c r="A268" s="31" t="s">
        <v>116</v>
      </c>
      <c r="B268" s="31">
        <v>12</v>
      </c>
      <c r="C268" s="31" t="s">
        <v>134</v>
      </c>
      <c r="D268" s="135">
        <v>12</v>
      </c>
      <c r="E268" s="135">
        <v>0</v>
      </c>
      <c r="F268" s="135"/>
      <c r="G268" s="135"/>
      <c r="H268" s="135"/>
      <c r="I268" s="135"/>
      <c r="J268" s="171"/>
      <c r="K268" s="135">
        <f t="shared" si="10"/>
        <v>12</v>
      </c>
    </row>
    <row r="269" s="138" customFormat="1" ht="23.25" customHeight="1" spans="1:11">
      <c r="A269" s="172"/>
      <c r="B269" s="173"/>
      <c r="C269" s="173"/>
      <c r="D269" s="173"/>
      <c r="E269" s="173"/>
      <c r="F269" s="173"/>
      <c r="G269" s="173"/>
      <c r="H269" s="173"/>
      <c r="I269" s="173"/>
      <c r="J269" s="173"/>
      <c r="K269" s="135">
        <f>SUM(K248:K268)</f>
        <v>459.5</v>
      </c>
    </row>
    <row r="272" s="138" customFormat="1" ht="23.25" customHeight="1" spans="1:11">
      <c r="A272" s="99" t="s">
        <v>140</v>
      </c>
      <c r="B272" s="99"/>
      <c r="C272" s="99"/>
      <c r="D272" s="99"/>
      <c r="E272" s="99"/>
      <c r="F272" s="99"/>
      <c r="G272" s="99"/>
      <c r="H272" s="99"/>
      <c r="I272" s="99"/>
      <c r="J272" s="99"/>
      <c r="K272" s="99"/>
    </row>
    <row r="273" s="138" customFormat="1" ht="23.25" customHeight="1" spans="1:11">
      <c r="A273" s="165" t="s">
        <v>147</v>
      </c>
      <c r="B273" s="165"/>
      <c r="C273" s="165"/>
      <c r="D273" s="166" t="s">
        <v>150</v>
      </c>
      <c r="E273" s="167"/>
      <c r="F273" s="165"/>
      <c r="G273" s="167"/>
      <c r="H273" s="165"/>
      <c r="I273" s="165"/>
      <c r="J273" s="165"/>
      <c r="K273" s="165"/>
    </row>
    <row r="274" s="138" customFormat="1" ht="23.25" customHeight="1" spans="1:11">
      <c r="A274" s="167" t="s">
        <v>83</v>
      </c>
      <c r="B274" s="167" t="s">
        <v>84</v>
      </c>
      <c r="C274" s="168" t="s">
        <v>120</v>
      </c>
      <c r="D274" s="169" t="s">
        <v>6</v>
      </c>
      <c r="E274" s="169" t="s">
        <v>6</v>
      </c>
      <c r="F274" s="167" t="s">
        <v>6</v>
      </c>
      <c r="G274" s="167" t="s">
        <v>6</v>
      </c>
      <c r="H274" s="167" t="s">
        <v>6</v>
      </c>
      <c r="I274" s="167" t="s">
        <v>6</v>
      </c>
      <c r="J274" s="167" t="s">
        <v>121</v>
      </c>
      <c r="K274" s="167" t="s">
        <v>87</v>
      </c>
    </row>
    <row r="275" s="138" customFormat="1" ht="23.25" customHeight="1" spans="1:11">
      <c r="A275" s="135" t="s">
        <v>122</v>
      </c>
      <c r="B275" s="135">
        <v>12</v>
      </c>
      <c r="C275" s="174" t="s">
        <v>123</v>
      </c>
      <c r="D275" s="134">
        <v>12</v>
      </c>
      <c r="E275" s="134"/>
      <c r="F275" s="134"/>
      <c r="G275" s="134"/>
      <c r="H275" s="134"/>
      <c r="I275" s="135"/>
      <c r="J275" s="135"/>
      <c r="K275" s="135">
        <f t="shared" ref="K275:K295" si="11">SUM(D275:J275)</f>
        <v>12</v>
      </c>
    </row>
    <row r="276" s="138" customFormat="1" ht="23.25" customHeight="1" spans="1:11">
      <c r="A276" s="175" t="s">
        <v>90</v>
      </c>
      <c r="B276" s="135">
        <v>11.5</v>
      </c>
      <c r="C276" s="176" t="s">
        <v>124</v>
      </c>
      <c r="D276" s="134">
        <v>20</v>
      </c>
      <c r="E276" s="134"/>
      <c r="F276" s="134"/>
      <c r="G276" s="134"/>
      <c r="H276" s="134"/>
      <c r="I276" s="135"/>
      <c r="J276" s="135"/>
      <c r="K276" s="135">
        <f t="shared" si="11"/>
        <v>20</v>
      </c>
    </row>
    <row r="277" s="138" customFormat="1" ht="23.25" customHeight="1" spans="1:11">
      <c r="A277" s="175"/>
      <c r="B277" s="135"/>
      <c r="C277" s="176" t="s">
        <v>92</v>
      </c>
      <c r="D277" s="134">
        <v>11.5</v>
      </c>
      <c r="E277" s="134">
        <v>10</v>
      </c>
      <c r="F277" s="134"/>
      <c r="G277" s="134"/>
      <c r="H277" s="134"/>
      <c r="I277" s="135"/>
      <c r="J277" s="135"/>
      <c r="K277" s="135">
        <f t="shared" si="11"/>
        <v>21.5</v>
      </c>
    </row>
    <row r="278" s="138" customFormat="1" ht="23.25" customHeight="1" spans="1:11">
      <c r="A278" s="175" t="s">
        <v>93</v>
      </c>
      <c r="B278" s="135">
        <v>11.5</v>
      </c>
      <c r="C278" s="176" t="s">
        <v>94</v>
      </c>
      <c r="D278" s="134">
        <v>10</v>
      </c>
      <c r="E278" s="135">
        <v>11.5</v>
      </c>
      <c r="F278" s="135"/>
      <c r="G278" s="135"/>
      <c r="H278" s="135"/>
      <c r="I278" s="135"/>
      <c r="J278" s="135"/>
      <c r="K278" s="135">
        <f t="shared" si="11"/>
        <v>21.5</v>
      </c>
    </row>
    <row r="279" s="138" customFormat="1" ht="23.25" customHeight="1" spans="1:11">
      <c r="A279" s="175"/>
      <c r="B279" s="135"/>
      <c r="C279" s="176" t="s">
        <v>95</v>
      </c>
      <c r="D279" s="134">
        <v>20</v>
      </c>
      <c r="E279" s="135">
        <v>11.5</v>
      </c>
      <c r="F279" s="135"/>
      <c r="G279" s="135"/>
      <c r="H279" s="135"/>
      <c r="I279" s="135"/>
      <c r="J279" s="135"/>
      <c r="K279" s="135">
        <f t="shared" si="11"/>
        <v>31.5</v>
      </c>
    </row>
    <row r="280" s="138" customFormat="1" ht="23.25" customHeight="1" spans="1:11">
      <c r="A280" s="175"/>
      <c r="B280" s="135"/>
      <c r="C280" s="135" t="s">
        <v>96</v>
      </c>
      <c r="D280" s="134">
        <v>10</v>
      </c>
      <c r="E280" s="135">
        <v>11.5</v>
      </c>
      <c r="F280" s="135"/>
      <c r="G280" s="135"/>
      <c r="H280" s="135"/>
      <c r="I280" s="135"/>
      <c r="J280" s="135"/>
      <c r="K280" s="135">
        <f t="shared" si="11"/>
        <v>21.5</v>
      </c>
    </row>
    <row r="281" s="138" customFormat="1" ht="23.25" customHeight="1" spans="1:11">
      <c r="A281" s="175"/>
      <c r="B281" s="135"/>
      <c r="C281" s="176" t="s">
        <v>98</v>
      </c>
      <c r="D281" s="134">
        <v>10</v>
      </c>
      <c r="E281" s="135">
        <v>11.5</v>
      </c>
      <c r="F281" s="135"/>
      <c r="G281" s="135"/>
      <c r="H281" s="135"/>
      <c r="I281" s="134"/>
      <c r="J281" s="135"/>
      <c r="K281" s="135">
        <f t="shared" si="11"/>
        <v>21.5</v>
      </c>
    </row>
    <row r="282" s="138" customFormat="1" ht="23.25" customHeight="1" spans="1:11">
      <c r="A282" s="175"/>
      <c r="B282" s="135"/>
      <c r="C282" s="176" t="s">
        <v>97</v>
      </c>
      <c r="D282" s="134">
        <v>10</v>
      </c>
      <c r="E282" s="135">
        <v>10</v>
      </c>
      <c r="F282" s="135"/>
      <c r="G282" s="135"/>
      <c r="H282" s="135"/>
      <c r="I282" s="134"/>
      <c r="J282" s="135"/>
      <c r="K282" s="135">
        <f t="shared" si="11"/>
        <v>20</v>
      </c>
    </row>
    <row r="283" s="138" customFormat="1" ht="23.25" customHeight="1" spans="1:11">
      <c r="A283" s="135" t="s">
        <v>128</v>
      </c>
      <c r="B283" s="135">
        <v>10.5</v>
      </c>
      <c r="C283" s="135" t="s">
        <v>129</v>
      </c>
      <c r="D283" s="134">
        <v>10</v>
      </c>
      <c r="E283" s="135"/>
      <c r="F283" s="135"/>
      <c r="G283" s="135"/>
      <c r="H283" s="135"/>
      <c r="I283" s="135"/>
      <c r="J283" s="135"/>
      <c r="K283" s="135">
        <f t="shared" si="11"/>
        <v>10</v>
      </c>
    </row>
    <row r="284" s="138" customFormat="1" ht="23.25" customHeight="1" spans="1:11">
      <c r="A284" s="135"/>
      <c r="B284" s="135"/>
      <c r="C284" s="135" t="s">
        <v>101</v>
      </c>
      <c r="D284" s="135">
        <v>7.5</v>
      </c>
      <c r="E284" s="135"/>
      <c r="F284" s="135"/>
      <c r="G284" s="135"/>
      <c r="H284" s="135"/>
      <c r="I284" s="135"/>
      <c r="J284" s="135"/>
      <c r="K284" s="135">
        <f t="shared" si="11"/>
        <v>7.5</v>
      </c>
    </row>
    <row r="285" s="138" customFormat="1" ht="23.25" customHeight="1" spans="1:11">
      <c r="A285" s="135" t="s">
        <v>130</v>
      </c>
      <c r="B285" s="135">
        <v>11.5</v>
      </c>
      <c r="C285" s="176" t="s">
        <v>103</v>
      </c>
      <c r="D285" s="135">
        <v>24</v>
      </c>
      <c r="E285" s="177"/>
      <c r="F285" s="135"/>
      <c r="G285" s="135"/>
      <c r="H285" s="135"/>
      <c r="I285" s="135"/>
      <c r="J285" s="135"/>
      <c r="K285" s="135">
        <f t="shared" si="11"/>
        <v>24</v>
      </c>
    </row>
    <row r="286" s="138" customFormat="1" ht="23.25" customHeight="1" spans="1:11">
      <c r="A286" s="135"/>
      <c r="B286" s="135"/>
      <c r="C286" s="176" t="s">
        <v>104</v>
      </c>
      <c r="D286" s="136">
        <v>11.5</v>
      </c>
      <c r="E286" s="136"/>
      <c r="F286" s="136"/>
      <c r="G286" s="136"/>
      <c r="H286" s="136"/>
      <c r="I286" s="135"/>
      <c r="J286" s="135"/>
      <c r="K286" s="135">
        <f t="shared" si="11"/>
        <v>11.5</v>
      </c>
    </row>
    <row r="287" s="138" customFormat="1" ht="23.25" customHeight="1" spans="1:11">
      <c r="A287" s="135"/>
      <c r="B287" s="135"/>
      <c r="C287" s="176" t="s">
        <v>131</v>
      </c>
      <c r="D287" s="136">
        <v>17</v>
      </c>
      <c r="E287" s="136"/>
      <c r="F287" s="136"/>
      <c r="G287" s="136"/>
      <c r="H287" s="136"/>
      <c r="I287" s="135"/>
      <c r="J287" s="135"/>
      <c r="K287" s="135">
        <f t="shared" si="11"/>
        <v>17</v>
      </c>
    </row>
    <row r="288" s="138" customFormat="1" ht="23.25" customHeight="1" spans="1:11">
      <c r="A288" s="135"/>
      <c r="B288" s="135"/>
      <c r="C288" s="176" t="s">
        <v>106</v>
      </c>
      <c r="D288" s="134">
        <v>136</v>
      </c>
      <c r="E288" s="135"/>
      <c r="F288" s="135"/>
      <c r="G288" s="134"/>
      <c r="H288" s="134"/>
      <c r="I288" s="135"/>
      <c r="J288" s="135"/>
      <c r="K288" s="135">
        <f t="shared" si="11"/>
        <v>136</v>
      </c>
    </row>
    <row r="289" s="138" customFormat="1" ht="23.25" customHeight="1" spans="1:11">
      <c r="A289" s="178"/>
      <c r="B289" s="178"/>
      <c r="C289" s="135" t="s">
        <v>132</v>
      </c>
      <c r="D289" s="134">
        <v>12</v>
      </c>
      <c r="E289" s="135"/>
      <c r="F289" s="135"/>
      <c r="G289" s="134"/>
      <c r="H289" s="134"/>
      <c r="I289" s="135"/>
      <c r="J289" s="135"/>
      <c r="K289" s="135">
        <f t="shared" si="11"/>
        <v>12</v>
      </c>
    </row>
    <row r="290" s="138" customFormat="1" ht="23.25" customHeight="1" spans="1:11">
      <c r="A290" s="178"/>
      <c r="B290" s="178"/>
      <c r="C290" s="135" t="s">
        <v>108</v>
      </c>
      <c r="D290" s="134">
        <v>12</v>
      </c>
      <c r="E290" s="135"/>
      <c r="F290" s="135"/>
      <c r="G290" s="134"/>
      <c r="H290" s="134"/>
      <c r="I290" s="135"/>
      <c r="J290" s="135"/>
      <c r="K290" s="135">
        <f t="shared" si="11"/>
        <v>12</v>
      </c>
    </row>
    <row r="291" s="138" customFormat="1" ht="23.25" customHeight="1" spans="1:11">
      <c r="A291" s="178"/>
      <c r="B291" s="178"/>
      <c r="C291" s="135" t="s">
        <v>111</v>
      </c>
      <c r="D291" s="134">
        <v>13</v>
      </c>
      <c r="E291" s="135"/>
      <c r="F291" s="135"/>
      <c r="G291" s="134"/>
      <c r="H291" s="134"/>
      <c r="I291" s="135"/>
      <c r="J291" s="171"/>
      <c r="K291" s="135">
        <f t="shared" si="11"/>
        <v>13</v>
      </c>
    </row>
    <row r="292" s="138" customFormat="1" ht="23.25" customHeight="1" spans="1:11">
      <c r="A292" s="178"/>
      <c r="B292" s="178"/>
      <c r="C292" s="135" t="s">
        <v>113</v>
      </c>
      <c r="D292" s="134">
        <v>17</v>
      </c>
      <c r="E292" s="135"/>
      <c r="F292" s="135"/>
      <c r="G292" s="134"/>
      <c r="H292" s="134"/>
      <c r="I292" s="135"/>
      <c r="J292" s="171"/>
      <c r="K292" s="135">
        <f t="shared" si="11"/>
        <v>17</v>
      </c>
    </row>
    <row r="293" s="138" customFormat="1" ht="23.25" customHeight="1" spans="1:11">
      <c r="A293" s="178"/>
      <c r="B293" s="178"/>
      <c r="C293" s="135" t="s">
        <v>112</v>
      </c>
      <c r="D293" s="134">
        <v>17</v>
      </c>
      <c r="E293" s="135"/>
      <c r="F293" s="135"/>
      <c r="G293" s="134"/>
      <c r="H293" s="134"/>
      <c r="I293" s="135"/>
      <c r="J293" s="171"/>
      <c r="K293" s="135">
        <f t="shared" si="11"/>
        <v>17</v>
      </c>
    </row>
    <row r="294" s="138" customFormat="1" ht="23.25" customHeight="1" spans="1:11">
      <c r="A294" s="134" t="s">
        <v>133</v>
      </c>
      <c r="B294" s="134">
        <v>10.5</v>
      </c>
      <c r="C294" s="135" t="s">
        <v>115</v>
      </c>
      <c r="D294" s="135">
        <v>10.5</v>
      </c>
      <c r="E294" s="177"/>
      <c r="F294" s="135"/>
      <c r="G294" s="135"/>
      <c r="H294" s="135"/>
      <c r="I294" s="135"/>
      <c r="J294" s="171"/>
      <c r="K294" s="135">
        <f t="shared" si="11"/>
        <v>10.5</v>
      </c>
    </row>
    <row r="295" s="138" customFormat="1" ht="23.25" customHeight="1" spans="1:11">
      <c r="A295" s="135" t="s">
        <v>116</v>
      </c>
      <c r="B295" s="135">
        <v>12</v>
      </c>
      <c r="C295" s="135" t="s">
        <v>134</v>
      </c>
      <c r="D295" s="135">
        <v>12</v>
      </c>
      <c r="E295" s="135"/>
      <c r="F295" s="135"/>
      <c r="G295" s="135"/>
      <c r="H295" s="135"/>
      <c r="I295" s="135"/>
      <c r="J295" s="171"/>
      <c r="K295" s="135">
        <f t="shared" si="11"/>
        <v>12</v>
      </c>
    </row>
    <row r="296" s="3" customFormat="1" ht="16.5" spans="1:11">
      <c r="A296" s="179"/>
      <c r="B296" s="180"/>
      <c r="C296" s="180"/>
      <c r="D296" s="180"/>
      <c r="E296" s="180"/>
      <c r="F296" s="180"/>
      <c r="G296" s="180"/>
      <c r="H296" s="180"/>
      <c r="I296" s="180"/>
      <c r="J296" s="181"/>
      <c r="K296" s="182">
        <f>SUM(K275:K295)</f>
        <v>469</v>
      </c>
    </row>
    <row r="299" ht="26" customHeight="1" spans="1:11">
      <c r="A299" s="76" t="s">
        <v>80</v>
      </c>
      <c r="B299" s="76"/>
      <c r="C299" s="76"/>
      <c r="D299" s="76"/>
      <c r="E299" s="76"/>
      <c r="F299" s="76"/>
      <c r="G299" s="76"/>
      <c r="H299" s="76"/>
      <c r="I299" s="76"/>
      <c r="J299" s="76"/>
      <c r="K299" s="76"/>
    </row>
    <row r="300" ht="26" customHeight="1" spans="1:11">
      <c r="A300" s="113" t="s">
        <v>151</v>
      </c>
      <c r="B300" s="11"/>
      <c r="C300" s="11"/>
      <c r="D300" s="10" t="s">
        <v>152</v>
      </c>
      <c r="E300" s="9"/>
      <c r="F300" s="9"/>
      <c r="G300" s="9"/>
      <c r="H300" s="9"/>
      <c r="I300" s="9"/>
      <c r="J300" s="9"/>
      <c r="K300" s="9"/>
    </row>
    <row r="301" ht="26" customHeight="1" spans="1:11">
      <c r="A301" s="11" t="s">
        <v>83</v>
      </c>
      <c r="B301" s="11" t="s">
        <v>84</v>
      </c>
      <c r="C301" s="12" t="s">
        <v>120</v>
      </c>
      <c r="D301" s="13" t="s">
        <v>6</v>
      </c>
      <c r="E301" s="13" t="s">
        <v>6</v>
      </c>
      <c r="F301" s="11" t="s">
        <v>6</v>
      </c>
      <c r="G301" s="11" t="s">
        <v>6</v>
      </c>
      <c r="H301" s="11" t="s">
        <v>6</v>
      </c>
      <c r="I301" s="11" t="s">
        <v>6</v>
      </c>
      <c r="J301" s="11" t="s">
        <v>121</v>
      </c>
      <c r="K301" s="11" t="s">
        <v>87</v>
      </c>
    </row>
    <row r="302" ht="26" customHeight="1" spans="1:11">
      <c r="A302" s="11" t="s">
        <v>122</v>
      </c>
      <c r="B302" s="11">
        <v>12</v>
      </c>
      <c r="C302" s="12" t="s">
        <v>123</v>
      </c>
      <c r="D302" s="13">
        <v>24</v>
      </c>
      <c r="E302" s="13">
        <v>24</v>
      </c>
      <c r="F302" s="13">
        <v>20</v>
      </c>
      <c r="G302" s="13"/>
      <c r="H302" s="13"/>
      <c r="I302" s="13"/>
      <c r="J302" s="13"/>
      <c r="K302" s="11">
        <f t="shared" ref="K302:K322" si="12">SUM(D302:J302)</f>
        <v>68</v>
      </c>
    </row>
    <row r="303" ht="26" customHeight="1" spans="1:11">
      <c r="A303" s="18" t="s">
        <v>90</v>
      </c>
      <c r="B303" s="11">
        <v>11.5</v>
      </c>
      <c r="C303" s="12" t="s">
        <v>124</v>
      </c>
      <c r="D303" s="13">
        <v>35</v>
      </c>
      <c r="E303" s="13">
        <v>35</v>
      </c>
      <c r="F303" s="13">
        <v>20</v>
      </c>
      <c r="G303" s="13"/>
      <c r="H303" s="13"/>
      <c r="I303" s="13"/>
      <c r="J303" s="13"/>
      <c r="K303" s="11">
        <f t="shared" si="12"/>
        <v>90</v>
      </c>
    </row>
    <row r="304" ht="26" customHeight="1" spans="1:11">
      <c r="A304" s="18"/>
      <c r="B304" s="11"/>
      <c r="C304" s="12" t="s">
        <v>92</v>
      </c>
      <c r="D304" s="13">
        <v>35</v>
      </c>
      <c r="E304" s="13">
        <v>35</v>
      </c>
      <c r="F304" s="13">
        <v>20</v>
      </c>
      <c r="G304" s="13"/>
      <c r="H304" s="13"/>
      <c r="I304" s="13"/>
      <c r="J304" s="13"/>
      <c r="K304" s="11">
        <f t="shared" si="12"/>
        <v>90</v>
      </c>
    </row>
    <row r="305" ht="26" customHeight="1" spans="1:11">
      <c r="A305" s="19" t="s">
        <v>125</v>
      </c>
      <c r="B305" s="14">
        <v>11.5</v>
      </c>
      <c r="C305" s="20" t="s">
        <v>94</v>
      </c>
      <c r="D305" s="11">
        <v>20</v>
      </c>
      <c r="E305" s="11">
        <v>20</v>
      </c>
      <c r="F305" s="13">
        <v>20</v>
      </c>
      <c r="G305" s="11"/>
      <c r="H305" s="11"/>
      <c r="I305" s="11"/>
      <c r="J305" s="13"/>
      <c r="K305" s="11">
        <f t="shared" si="12"/>
        <v>60</v>
      </c>
    </row>
    <row r="306" ht="26" customHeight="1" spans="1:11">
      <c r="A306" s="22"/>
      <c r="B306" s="14"/>
      <c r="C306" s="1" t="s">
        <v>98</v>
      </c>
      <c r="D306" s="11">
        <v>23</v>
      </c>
      <c r="E306" s="11">
        <v>23</v>
      </c>
      <c r="F306" s="13">
        <v>0</v>
      </c>
      <c r="G306" s="13"/>
      <c r="H306" s="13"/>
      <c r="I306" s="13"/>
      <c r="J306" s="13"/>
      <c r="K306" s="11">
        <f t="shared" si="12"/>
        <v>46</v>
      </c>
    </row>
    <row r="307" ht="26" customHeight="1" spans="1:11">
      <c r="A307" s="25" t="s">
        <v>126</v>
      </c>
      <c r="B307" s="14"/>
      <c r="C307" s="20" t="s">
        <v>95</v>
      </c>
      <c r="D307" s="11">
        <v>20</v>
      </c>
      <c r="E307" s="11">
        <v>20</v>
      </c>
      <c r="F307" s="13">
        <v>20</v>
      </c>
      <c r="G307" s="11"/>
      <c r="H307" s="11"/>
      <c r="I307" s="11"/>
      <c r="J307" s="13"/>
      <c r="K307" s="11">
        <f t="shared" si="12"/>
        <v>60</v>
      </c>
    </row>
    <row r="308" ht="26" customHeight="1" spans="1:11">
      <c r="A308" s="27"/>
      <c r="B308" s="14"/>
      <c r="C308" s="20" t="s">
        <v>97</v>
      </c>
      <c r="D308" s="11">
        <v>20</v>
      </c>
      <c r="E308" s="11">
        <v>20</v>
      </c>
      <c r="F308" s="13">
        <v>0</v>
      </c>
      <c r="G308" s="11"/>
      <c r="H308" s="11"/>
      <c r="I308" s="11"/>
      <c r="J308" s="13"/>
      <c r="K308" s="11">
        <f t="shared" si="12"/>
        <v>40</v>
      </c>
    </row>
    <row r="309" ht="26" customHeight="1" spans="1:11">
      <c r="A309" s="18" t="s">
        <v>127</v>
      </c>
      <c r="B309" s="14"/>
      <c r="C309" s="14" t="s">
        <v>96</v>
      </c>
      <c r="D309" s="11">
        <v>23</v>
      </c>
      <c r="E309" s="11">
        <v>23</v>
      </c>
      <c r="F309" s="13">
        <v>0</v>
      </c>
      <c r="G309" s="13"/>
      <c r="H309" s="13"/>
      <c r="I309" s="13"/>
      <c r="J309" s="13"/>
      <c r="K309" s="11">
        <f t="shared" si="12"/>
        <v>46</v>
      </c>
    </row>
    <row r="310" ht="26" customHeight="1" spans="1:11">
      <c r="A310" s="11" t="s">
        <v>128</v>
      </c>
      <c r="B310" s="11">
        <v>10.5</v>
      </c>
      <c r="C310" s="11" t="s">
        <v>129</v>
      </c>
      <c r="D310" s="11">
        <v>20</v>
      </c>
      <c r="E310" s="11">
        <v>20</v>
      </c>
      <c r="F310" s="13">
        <v>0</v>
      </c>
      <c r="G310" s="11"/>
      <c r="H310" s="11"/>
      <c r="I310" s="11"/>
      <c r="J310" s="13"/>
      <c r="K310" s="11">
        <f t="shared" si="12"/>
        <v>40</v>
      </c>
    </row>
    <row r="311" ht="26" customHeight="1" spans="1:11">
      <c r="A311" s="11"/>
      <c r="B311" s="11"/>
      <c r="C311" s="11" t="s">
        <v>101</v>
      </c>
      <c r="D311" s="11">
        <v>20</v>
      </c>
      <c r="E311" s="11">
        <v>20</v>
      </c>
      <c r="F311" s="13">
        <v>0</v>
      </c>
      <c r="G311" s="11"/>
      <c r="H311" s="11"/>
      <c r="I311" s="11"/>
      <c r="J311" s="13"/>
      <c r="K311" s="11">
        <f t="shared" si="12"/>
        <v>40</v>
      </c>
    </row>
    <row r="312" ht="26" customHeight="1" spans="1:11">
      <c r="A312" s="11" t="s">
        <v>130</v>
      </c>
      <c r="B312" s="11">
        <v>11.5</v>
      </c>
      <c r="C312" s="12" t="s">
        <v>103</v>
      </c>
      <c r="D312" s="13">
        <v>58</v>
      </c>
      <c r="E312" s="13">
        <v>58</v>
      </c>
      <c r="F312" s="13">
        <v>10</v>
      </c>
      <c r="G312" s="13"/>
      <c r="H312" s="13"/>
      <c r="I312" s="13"/>
      <c r="J312" s="13"/>
      <c r="K312" s="11">
        <f t="shared" si="12"/>
        <v>126</v>
      </c>
    </row>
    <row r="313" ht="26" customHeight="1" spans="1:11">
      <c r="A313" s="11"/>
      <c r="B313" s="11"/>
      <c r="C313" s="12" t="s">
        <v>104</v>
      </c>
      <c r="D313" s="13">
        <v>20</v>
      </c>
      <c r="E313" s="13">
        <v>20</v>
      </c>
      <c r="F313" s="13">
        <v>10</v>
      </c>
      <c r="G313" s="13"/>
      <c r="H313" s="13"/>
      <c r="I313" s="13"/>
      <c r="J313" s="13"/>
      <c r="K313" s="11">
        <f t="shared" si="12"/>
        <v>50</v>
      </c>
    </row>
    <row r="314" ht="26" customHeight="1" spans="1:11">
      <c r="A314" s="11"/>
      <c r="B314" s="11"/>
      <c r="C314" s="12" t="s">
        <v>131</v>
      </c>
      <c r="D314" s="13">
        <v>44</v>
      </c>
      <c r="E314" s="13">
        <v>44</v>
      </c>
      <c r="F314" s="13">
        <v>0</v>
      </c>
      <c r="G314" s="13"/>
      <c r="H314" s="13"/>
      <c r="I314" s="13"/>
      <c r="J314" s="13"/>
      <c r="K314" s="11">
        <f t="shared" si="12"/>
        <v>88</v>
      </c>
    </row>
    <row r="315" ht="26" customHeight="1" spans="1:11">
      <c r="A315" s="11"/>
      <c r="B315" s="11"/>
      <c r="C315" s="12" t="s">
        <v>106</v>
      </c>
      <c r="D315" s="13">
        <v>20</v>
      </c>
      <c r="E315" s="13">
        <v>20</v>
      </c>
      <c r="F315" s="13">
        <v>0</v>
      </c>
      <c r="G315" s="13"/>
      <c r="H315" s="13"/>
      <c r="I315" s="13"/>
      <c r="J315" s="13"/>
      <c r="K315" s="11">
        <f t="shared" si="12"/>
        <v>40</v>
      </c>
    </row>
    <row r="316" ht="26" customHeight="1" spans="1:11">
      <c r="A316" s="21" t="s">
        <v>107</v>
      </c>
      <c r="B316" s="21">
        <v>10.5</v>
      </c>
      <c r="C316" s="11" t="s">
        <v>108</v>
      </c>
      <c r="D316" s="13">
        <v>24</v>
      </c>
      <c r="E316" s="13">
        <v>24</v>
      </c>
      <c r="F316" s="13">
        <v>20</v>
      </c>
      <c r="G316" s="13"/>
      <c r="H316" s="13"/>
      <c r="I316" s="13"/>
      <c r="J316" s="13"/>
      <c r="K316" s="11">
        <f t="shared" si="12"/>
        <v>68</v>
      </c>
    </row>
    <row r="317" ht="26" customHeight="1" spans="1:11">
      <c r="A317" s="21"/>
      <c r="B317" s="21"/>
      <c r="C317" s="11" t="s">
        <v>132</v>
      </c>
      <c r="D317" s="13">
        <v>20</v>
      </c>
      <c r="E317" s="13">
        <v>20</v>
      </c>
      <c r="F317" s="13">
        <v>0</v>
      </c>
      <c r="G317" s="13"/>
      <c r="H317" s="13"/>
      <c r="I317" s="13"/>
      <c r="J317" s="13"/>
      <c r="K317" s="11">
        <f t="shared" si="12"/>
        <v>40</v>
      </c>
    </row>
    <row r="318" ht="26" customHeight="1" spans="1:11">
      <c r="A318" s="21"/>
      <c r="B318" s="21"/>
      <c r="C318" s="11" t="s">
        <v>153</v>
      </c>
      <c r="D318" s="13">
        <v>10</v>
      </c>
      <c r="E318" s="13">
        <v>10</v>
      </c>
      <c r="F318" s="13">
        <v>0</v>
      </c>
      <c r="G318" s="13"/>
      <c r="H318" s="13"/>
      <c r="I318" s="13"/>
      <c r="J318" s="13"/>
      <c r="K318" s="11">
        <f t="shared" si="12"/>
        <v>20</v>
      </c>
    </row>
    <row r="319" ht="26" customHeight="1" spans="1:11">
      <c r="A319" s="21"/>
      <c r="B319" s="21"/>
      <c r="C319" s="11" t="s">
        <v>112</v>
      </c>
      <c r="D319" s="13">
        <v>16</v>
      </c>
      <c r="E319" s="13">
        <v>16</v>
      </c>
      <c r="F319" s="13">
        <v>10</v>
      </c>
      <c r="G319" s="13"/>
      <c r="H319" s="13"/>
      <c r="I319" s="13"/>
      <c r="J319" s="13"/>
      <c r="K319" s="11">
        <f t="shared" si="12"/>
        <v>42</v>
      </c>
    </row>
    <row r="320" ht="26" customHeight="1" spans="1:11">
      <c r="A320" s="21"/>
      <c r="B320" s="21"/>
      <c r="C320" s="11" t="s">
        <v>113</v>
      </c>
      <c r="D320" s="13">
        <v>16</v>
      </c>
      <c r="E320" s="13">
        <v>16</v>
      </c>
      <c r="F320" s="13">
        <v>10</v>
      </c>
      <c r="G320" s="13"/>
      <c r="H320" s="13"/>
      <c r="I320" s="13"/>
      <c r="J320" s="13"/>
      <c r="K320" s="11">
        <f t="shared" si="12"/>
        <v>42</v>
      </c>
    </row>
    <row r="321" ht="26" customHeight="1" spans="1:11">
      <c r="A321" s="13" t="s">
        <v>133</v>
      </c>
      <c r="B321" s="13">
        <v>10.5</v>
      </c>
      <c r="C321" s="11" t="s">
        <v>115</v>
      </c>
      <c r="D321" s="11">
        <v>10.5</v>
      </c>
      <c r="E321" s="11">
        <v>10.5</v>
      </c>
      <c r="F321" s="11">
        <v>10.5</v>
      </c>
      <c r="G321" s="13"/>
      <c r="H321" s="13"/>
      <c r="I321" s="13"/>
      <c r="J321" s="11"/>
      <c r="K321" s="11">
        <f t="shared" si="12"/>
        <v>31.5</v>
      </c>
    </row>
    <row r="322" ht="26" customHeight="1" spans="1:11">
      <c r="A322" s="11" t="s">
        <v>116</v>
      </c>
      <c r="B322" s="11">
        <v>12</v>
      </c>
      <c r="C322" s="11" t="s">
        <v>134</v>
      </c>
      <c r="D322" s="11">
        <v>12</v>
      </c>
      <c r="E322" s="11">
        <v>12</v>
      </c>
      <c r="F322" s="11">
        <v>12</v>
      </c>
      <c r="G322" s="11"/>
      <c r="H322" s="11"/>
      <c r="I322" s="11"/>
      <c r="J322" s="11"/>
      <c r="K322" s="11">
        <f t="shared" si="12"/>
        <v>36</v>
      </c>
    </row>
    <row r="323" ht="26" customHeight="1" spans="1:11">
      <c r="A323" s="12"/>
      <c r="B323" s="81"/>
      <c r="C323" s="81"/>
      <c r="D323" s="81"/>
      <c r="E323" s="81"/>
      <c r="F323" s="81"/>
      <c r="G323" s="81"/>
      <c r="H323" s="81"/>
      <c r="I323" s="81"/>
      <c r="J323" s="30"/>
      <c r="K323" s="11">
        <f>SUM(K302:K322)</f>
        <v>1163.5</v>
      </c>
    </row>
    <row r="327" s="2" customFormat="1" ht="21" customHeight="1" spans="1:11">
      <c r="A327" s="83" t="s">
        <v>140</v>
      </c>
      <c r="B327" s="83"/>
      <c r="C327" s="83"/>
      <c r="D327" s="83"/>
      <c r="E327" s="83"/>
      <c r="F327" s="83"/>
      <c r="G327" s="83"/>
      <c r="H327" s="83"/>
      <c r="I327" s="83"/>
      <c r="J327" s="83"/>
      <c r="K327" s="83"/>
    </row>
    <row r="328" s="2" customFormat="1" ht="21" customHeight="1" spans="1:11">
      <c r="A328" s="84" t="s">
        <v>154</v>
      </c>
      <c r="B328" s="84"/>
      <c r="C328" s="84"/>
      <c r="D328" s="85" t="s">
        <v>155</v>
      </c>
      <c r="E328" s="84"/>
      <c r="F328" s="84"/>
      <c r="G328" s="84"/>
      <c r="H328" s="84"/>
      <c r="I328" s="84"/>
      <c r="J328" s="84"/>
      <c r="K328" s="84"/>
    </row>
    <row r="329" s="2" customFormat="1" ht="21" customHeight="1" spans="1:11">
      <c r="A329" s="86" t="s">
        <v>83</v>
      </c>
      <c r="B329" s="86" t="s">
        <v>84</v>
      </c>
      <c r="C329" s="87" t="s">
        <v>120</v>
      </c>
      <c r="D329" s="88" t="s">
        <v>6</v>
      </c>
      <c r="E329" s="88" t="s">
        <v>6</v>
      </c>
      <c r="F329" s="86" t="s">
        <v>6</v>
      </c>
      <c r="G329" s="86" t="s">
        <v>6</v>
      </c>
      <c r="H329" s="86" t="s">
        <v>6</v>
      </c>
      <c r="I329" s="86" t="s">
        <v>6</v>
      </c>
      <c r="J329" s="86" t="s">
        <v>121</v>
      </c>
      <c r="K329" s="86" t="s">
        <v>87</v>
      </c>
    </row>
    <row r="330" s="2" customFormat="1" ht="21" customHeight="1" spans="1:11">
      <c r="A330" s="31" t="s">
        <v>122</v>
      </c>
      <c r="B330" s="31">
        <v>12</v>
      </c>
      <c r="C330" s="98" t="s">
        <v>123</v>
      </c>
      <c r="D330" s="89">
        <v>12</v>
      </c>
      <c r="E330" s="90">
        <v>10</v>
      </c>
      <c r="F330" s="90"/>
      <c r="G330" s="91"/>
      <c r="H330" s="91"/>
      <c r="I330" s="92"/>
      <c r="J330" s="82"/>
      <c r="K330" s="31">
        <f t="shared" ref="K330:K350" si="13">SUM(D330:J330)</f>
        <v>22</v>
      </c>
    </row>
    <row r="331" s="2" customFormat="1" ht="21" customHeight="1" spans="1:11">
      <c r="A331" s="93" t="s">
        <v>90</v>
      </c>
      <c r="B331" s="31">
        <v>11.5</v>
      </c>
      <c r="C331" s="43" t="s">
        <v>124</v>
      </c>
      <c r="D331" s="89">
        <v>17.5</v>
      </c>
      <c r="E331" s="90">
        <v>15</v>
      </c>
      <c r="F331" s="90"/>
      <c r="G331" s="91"/>
      <c r="H331" s="91"/>
      <c r="I331" s="92"/>
      <c r="J331" s="82"/>
      <c r="K331" s="31">
        <f t="shared" si="13"/>
        <v>32.5</v>
      </c>
    </row>
    <row r="332" s="2" customFormat="1" ht="21" customHeight="1" spans="1:11">
      <c r="A332" s="93"/>
      <c r="B332" s="31"/>
      <c r="C332" s="43" t="s">
        <v>92</v>
      </c>
      <c r="D332" s="89">
        <v>17.5</v>
      </c>
      <c r="E332" s="90">
        <v>15</v>
      </c>
      <c r="F332" s="90"/>
      <c r="G332" s="91"/>
      <c r="H332" s="91"/>
      <c r="I332" s="92"/>
      <c r="J332" s="82"/>
      <c r="K332" s="31">
        <f t="shared" si="13"/>
        <v>32.5</v>
      </c>
    </row>
    <row r="333" s="2" customFormat="1" ht="21" customHeight="1" spans="1:11">
      <c r="A333" s="42" t="s">
        <v>125</v>
      </c>
      <c r="B333" s="31">
        <v>11.5</v>
      </c>
      <c r="C333" s="43" t="s">
        <v>94</v>
      </c>
      <c r="D333" s="89">
        <v>30</v>
      </c>
      <c r="E333" s="90">
        <v>11</v>
      </c>
      <c r="F333" s="90"/>
      <c r="G333" s="91"/>
      <c r="H333" s="91"/>
      <c r="I333" s="92"/>
      <c r="J333" s="82"/>
      <c r="K333" s="31">
        <f t="shared" si="13"/>
        <v>41</v>
      </c>
    </row>
    <row r="334" s="2" customFormat="1" ht="21" customHeight="1" spans="1:11">
      <c r="A334" s="44"/>
      <c r="B334" s="31"/>
      <c r="C334" s="2" t="s">
        <v>98</v>
      </c>
      <c r="D334" s="89">
        <v>45.5</v>
      </c>
      <c r="E334" s="90">
        <v>0</v>
      </c>
      <c r="F334" s="90"/>
      <c r="G334" s="91"/>
      <c r="H334" s="91"/>
      <c r="I334" s="92"/>
      <c r="J334" s="82"/>
      <c r="K334" s="31">
        <f t="shared" si="13"/>
        <v>45.5</v>
      </c>
    </row>
    <row r="335" s="2" customFormat="1" ht="21" customHeight="1" spans="1:11">
      <c r="A335" s="45" t="s">
        <v>126</v>
      </c>
      <c r="B335" s="31"/>
      <c r="C335" s="43" t="s">
        <v>95</v>
      </c>
      <c r="D335" s="89">
        <v>45.5</v>
      </c>
      <c r="E335" s="90">
        <v>0</v>
      </c>
      <c r="F335" s="90"/>
      <c r="G335" s="91"/>
      <c r="H335" s="91"/>
      <c r="I335" s="92"/>
      <c r="J335" s="82"/>
      <c r="K335" s="31">
        <f t="shared" si="13"/>
        <v>45.5</v>
      </c>
    </row>
    <row r="336" s="2" customFormat="1" ht="21" customHeight="1" spans="1:11">
      <c r="A336" s="46"/>
      <c r="B336" s="31"/>
      <c r="C336" s="43" t="s">
        <v>97</v>
      </c>
      <c r="D336" s="89">
        <v>45.5</v>
      </c>
      <c r="E336" s="90">
        <v>0</v>
      </c>
      <c r="F336" s="90"/>
      <c r="G336" s="91"/>
      <c r="H336" s="91"/>
      <c r="I336" s="94"/>
      <c r="J336" s="82"/>
      <c r="K336" s="31">
        <f t="shared" si="13"/>
        <v>45.5</v>
      </c>
    </row>
    <row r="337" s="2" customFormat="1" ht="21" customHeight="1" spans="1:11">
      <c r="A337" s="47" t="s">
        <v>127</v>
      </c>
      <c r="B337" s="31"/>
      <c r="C337" s="31" t="s">
        <v>96</v>
      </c>
      <c r="D337" s="89">
        <v>19</v>
      </c>
      <c r="E337" s="90">
        <v>11</v>
      </c>
      <c r="F337" s="90"/>
      <c r="G337" s="91"/>
      <c r="H337" s="91"/>
      <c r="I337" s="94"/>
      <c r="J337" s="82"/>
      <c r="K337" s="31">
        <f t="shared" si="13"/>
        <v>30</v>
      </c>
    </row>
    <row r="338" s="2" customFormat="1" ht="21" customHeight="1" spans="1:11">
      <c r="A338" s="31" t="s">
        <v>128</v>
      </c>
      <c r="B338" s="31">
        <v>10.5</v>
      </c>
      <c r="C338" s="31" t="s">
        <v>129</v>
      </c>
      <c r="D338" s="82">
        <v>31.8</v>
      </c>
      <c r="E338" s="90">
        <v>11</v>
      </c>
      <c r="F338" s="90"/>
      <c r="G338" s="91"/>
      <c r="H338" s="91"/>
      <c r="I338" s="92"/>
      <c r="J338" s="82"/>
      <c r="K338" s="31">
        <f t="shared" si="13"/>
        <v>42.8</v>
      </c>
    </row>
    <row r="339" s="2" customFormat="1" ht="21" customHeight="1" spans="1:11">
      <c r="A339" s="31"/>
      <c r="B339" s="31"/>
      <c r="C339" s="31" t="s">
        <v>101</v>
      </c>
      <c r="D339" s="89">
        <v>45.5</v>
      </c>
      <c r="E339" s="90">
        <v>0</v>
      </c>
      <c r="F339" s="90"/>
      <c r="G339" s="91"/>
      <c r="H339" s="91"/>
      <c r="I339" s="92"/>
      <c r="J339" s="82"/>
      <c r="K339" s="31">
        <f t="shared" si="13"/>
        <v>45.5</v>
      </c>
    </row>
    <row r="340" s="2" customFormat="1" ht="21" customHeight="1" spans="1:11">
      <c r="A340" s="31" t="s">
        <v>130</v>
      </c>
      <c r="B340" s="31">
        <v>11.5</v>
      </c>
      <c r="C340" s="43" t="s">
        <v>103</v>
      </c>
      <c r="D340" s="89">
        <v>36</v>
      </c>
      <c r="E340" s="90">
        <v>5</v>
      </c>
      <c r="F340" s="90"/>
      <c r="G340" s="91"/>
      <c r="H340" s="91"/>
      <c r="I340" s="92"/>
      <c r="J340" s="82"/>
      <c r="K340" s="31">
        <f t="shared" si="13"/>
        <v>41</v>
      </c>
    </row>
    <row r="341" s="2" customFormat="1" ht="21" customHeight="1" spans="1:11">
      <c r="A341" s="31"/>
      <c r="B341" s="31"/>
      <c r="C341" s="43" t="s">
        <v>104</v>
      </c>
      <c r="D341" s="82">
        <v>34.6</v>
      </c>
      <c r="E341" s="90">
        <v>5</v>
      </c>
      <c r="F341" s="90"/>
      <c r="G341" s="91"/>
      <c r="H341" s="91"/>
      <c r="I341" s="92"/>
      <c r="J341" s="82"/>
      <c r="K341" s="31">
        <f t="shared" si="13"/>
        <v>39.6</v>
      </c>
    </row>
    <row r="342" s="2" customFormat="1" ht="21" customHeight="1" spans="1:11">
      <c r="A342" s="31"/>
      <c r="B342" s="31"/>
      <c r="C342" s="43" t="s">
        <v>131</v>
      </c>
      <c r="D342" s="89">
        <v>34.6</v>
      </c>
      <c r="E342" s="90">
        <v>0</v>
      </c>
      <c r="F342" s="90"/>
      <c r="G342" s="91"/>
      <c r="H342" s="91"/>
      <c r="I342" s="92"/>
      <c r="J342" s="82"/>
      <c r="K342" s="31">
        <f t="shared" si="13"/>
        <v>34.6</v>
      </c>
    </row>
    <row r="343" s="2" customFormat="1" ht="21" customHeight="1" spans="1:11">
      <c r="A343" s="31"/>
      <c r="B343" s="31"/>
      <c r="C343" s="43" t="s">
        <v>106</v>
      </c>
      <c r="D343" s="82">
        <v>24.5</v>
      </c>
      <c r="E343" s="90">
        <v>5</v>
      </c>
      <c r="F343" s="90"/>
      <c r="G343" s="91"/>
      <c r="H343" s="91"/>
      <c r="I343" s="92"/>
      <c r="J343" s="82"/>
      <c r="K343" s="31">
        <f t="shared" si="13"/>
        <v>29.5</v>
      </c>
    </row>
    <row r="344" s="2" customFormat="1" ht="21" customHeight="1" spans="1:11">
      <c r="A344" s="95" t="s">
        <v>107</v>
      </c>
      <c r="B344" s="95">
        <v>10.5</v>
      </c>
      <c r="C344" s="31" t="s">
        <v>108</v>
      </c>
      <c r="D344" s="89">
        <v>56</v>
      </c>
      <c r="E344" s="90">
        <v>10</v>
      </c>
      <c r="F344" s="90"/>
      <c r="G344" s="91"/>
      <c r="H344" s="91"/>
      <c r="I344" s="92"/>
      <c r="J344" s="82"/>
      <c r="K344" s="31">
        <f t="shared" si="13"/>
        <v>66</v>
      </c>
    </row>
    <row r="345" s="2" customFormat="1" ht="21" customHeight="1" spans="1:11">
      <c r="A345" s="95"/>
      <c r="B345" s="95"/>
      <c r="C345" s="31" t="s">
        <v>132</v>
      </c>
      <c r="D345" s="89">
        <v>42.1</v>
      </c>
      <c r="E345" s="90">
        <v>10</v>
      </c>
      <c r="F345" s="90"/>
      <c r="G345" s="91"/>
      <c r="H345" s="91"/>
      <c r="I345" s="92"/>
      <c r="J345" s="82"/>
      <c r="K345" s="31">
        <f t="shared" si="13"/>
        <v>52.1</v>
      </c>
    </row>
    <row r="346" s="2" customFormat="1" ht="21" customHeight="1" spans="1:11">
      <c r="A346" s="95"/>
      <c r="B346" s="95"/>
      <c r="C346" s="43" t="s">
        <v>111</v>
      </c>
      <c r="D346" s="89">
        <v>42.1</v>
      </c>
      <c r="E346" s="90">
        <v>0</v>
      </c>
      <c r="F346" s="90"/>
      <c r="G346" s="91"/>
      <c r="H346" s="91"/>
      <c r="I346" s="92"/>
      <c r="J346" s="82"/>
      <c r="K346" s="31">
        <f t="shared" si="13"/>
        <v>42.1</v>
      </c>
    </row>
    <row r="347" s="2" customFormat="1" ht="21" customHeight="1" spans="1:11">
      <c r="A347" s="95"/>
      <c r="B347" s="95"/>
      <c r="C347" s="43" t="s">
        <v>113</v>
      </c>
      <c r="D347" s="96">
        <v>42.1</v>
      </c>
      <c r="E347" s="90">
        <v>5</v>
      </c>
      <c r="F347" s="90"/>
      <c r="G347" s="91"/>
      <c r="H347" s="91"/>
      <c r="I347" s="92"/>
      <c r="J347" s="92"/>
      <c r="K347" s="31">
        <f t="shared" si="13"/>
        <v>47.1</v>
      </c>
    </row>
    <row r="348" s="2" customFormat="1" ht="21" customHeight="1" spans="1:11">
      <c r="A348" s="95"/>
      <c r="B348" s="95"/>
      <c r="C348" s="31" t="s">
        <v>112</v>
      </c>
      <c r="D348" s="97">
        <v>42.1</v>
      </c>
      <c r="E348" s="90">
        <v>5</v>
      </c>
      <c r="F348" s="90"/>
      <c r="G348" s="91"/>
      <c r="H348" s="91"/>
      <c r="I348" s="92"/>
      <c r="J348" s="92"/>
      <c r="K348" s="31">
        <f t="shared" si="13"/>
        <v>47.1</v>
      </c>
    </row>
    <row r="349" s="2" customFormat="1" ht="21" customHeight="1" spans="1:11">
      <c r="A349" s="50" t="s">
        <v>133</v>
      </c>
      <c r="B349" s="50">
        <v>10.5</v>
      </c>
      <c r="C349" s="31" t="s">
        <v>115</v>
      </c>
      <c r="D349" s="89">
        <v>10.5</v>
      </c>
      <c r="E349" s="90">
        <v>10.5</v>
      </c>
      <c r="F349" s="90"/>
      <c r="G349" s="91"/>
      <c r="H349" s="91"/>
      <c r="I349" s="92"/>
      <c r="J349" s="92"/>
      <c r="K349" s="31">
        <f t="shared" si="13"/>
        <v>21</v>
      </c>
    </row>
    <row r="350" s="2" customFormat="1" ht="21" customHeight="1" spans="1:11">
      <c r="A350" s="31" t="s">
        <v>116</v>
      </c>
      <c r="B350" s="31">
        <v>12</v>
      </c>
      <c r="C350" s="31" t="s">
        <v>134</v>
      </c>
      <c r="D350" s="82">
        <v>12</v>
      </c>
      <c r="E350" s="98">
        <v>12</v>
      </c>
      <c r="F350" s="98"/>
      <c r="G350" s="91"/>
      <c r="H350" s="91"/>
      <c r="I350" s="92"/>
      <c r="J350" s="92"/>
      <c r="K350" s="31">
        <f t="shared" si="13"/>
        <v>24</v>
      </c>
    </row>
    <row r="351" s="2" customFormat="1" ht="21" customHeight="1" spans="1:1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82">
        <f>SUM(K330:K350)</f>
        <v>826.9</v>
      </c>
    </row>
    <row r="354" s="4" customFormat="1" ht="21.75" customHeight="1" spans="1:11">
      <c r="A354" s="99" t="s">
        <v>80</v>
      </c>
      <c r="B354" s="99"/>
      <c r="C354" s="99"/>
      <c r="D354" s="99"/>
      <c r="E354" s="99"/>
      <c r="F354" s="99"/>
      <c r="G354" s="99"/>
      <c r="H354" s="99"/>
      <c r="I354" s="99"/>
      <c r="J354" s="99"/>
      <c r="K354" s="99"/>
    </row>
    <row r="355" s="4" customFormat="1" ht="21.75" customHeight="1" spans="1:11">
      <c r="A355" s="100" t="s">
        <v>156</v>
      </c>
      <c r="B355" s="100"/>
      <c r="C355" s="100"/>
      <c r="D355" s="101" t="s">
        <v>157</v>
      </c>
      <c r="E355" s="100"/>
      <c r="F355" s="100"/>
      <c r="G355" s="100"/>
      <c r="H355" s="100"/>
      <c r="I355" s="100"/>
      <c r="J355" s="100"/>
      <c r="K355" s="100"/>
    </row>
    <row r="356" s="4" customFormat="1" ht="21.75" customHeight="1" spans="1:11">
      <c r="A356" s="102" t="s">
        <v>83</v>
      </c>
      <c r="B356" s="102" t="s">
        <v>84</v>
      </c>
      <c r="C356" s="103" t="s">
        <v>120</v>
      </c>
      <c r="D356" s="104" t="s">
        <v>6</v>
      </c>
      <c r="E356" s="104" t="s">
        <v>6</v>
      </c>
      <c r="F356" s="102" t="s">
        <v>6</v>
      </c>
      <c r="G356" s="102" t="s">
        <v>6</v>
      </c>
      <c r="H356" s="102" t="s">
        <v>6</v>
      </c>
      <c r="I356" s="102" t="s">
        <v>6</v>
      </c>
      <c r="J356" s="102" t="s">
        <v>121</v>
      </c>
      <c r="K356" s="102" t="s">
        <v>87</v>
      </c>
    </row>
    <row r="357" s="4" customFormat="1" ht="21.75" customHeight="1" spans="1:11">
      <c r="A357" s="14" t="s">
        <v>122</v>
      </c>
      <c r="B357" s="14">
        <v>12</v>
      </c>
      <c r="C357" s="12" t="s">
        <v>123</v>
      </c>
      <c r="D357" s="72">
        <v>15</v>
      </c>
      <c r="E357" s="72">
        <v>15</v>
      </c>
      <c r="F357" s="14">
        <v>10</v>
      </c>
      <c r="G357" s="14"/>
      <c r="H357" s="14"/>
      <c r="I357" s="105"/>
      <c r="J357" s="106"/>
      <c r="K357" s="14">
        <f>SUM(D357:J357)</f>
        <v>40</v>
      </c>
    </row>
    <row r="358" s="4" customFormat="1" ht="21.75" customHeight="1" spans="1:11">
      <c r="A358" s="107" t="s">
        <v>90</v>
      </c>
      <c r="B358" s="14">
        <v>11.5</v>
      </c>
      <c r="C358" s="20" t="s">
        <v>124</v>
      </c>
      <c r="D358" s="108">
        <v>21.5</v>
      </c>
      <c r="E358" s="108">
        <v>21.5</v>
      </c>
      <c r="F358" s="14">
        <v>0</v>
      </c>
      <c r="G358" s="14"/>
      <c r="H358" s="14"/>
      <c r="I358" s="105"/>
      <c r="J358" s="106"/>
      <c r="K358" s="14">
        <f t="shared" ref="K357:K377" si="14">SUM(D358:J358)</f>
        <v>43</v>
      </c>
    </row>
    <row r="359" s="4" customFormat="1" ht="21.75" customHeight="1" spans="1:11">
      <c r="A359" s="107"/>
      <c r="B359" s="14"/>
      <c r="C359" s="20" t="s">
        <v>92</v>
      </c>
      <c r="D359" s="108">
        <v>21.5</v>
      </c>
      <c r="E359" s="108">
        <v>21.5</v>
      </c>
      <c r="F359" s="14">
        <v>10</v>
      </c>
      <c r="G359" s="14"/>
      <c r="H359" s="14"/>
      <c r="I359" s="105"/>
      <c r="J359" s="106"/>
      <c r="K359" s="14">
        <f t="shared" si="14"/>
        <v>53</v>
      </c>
    </row>
    <row r="360" s="4" customFormat="1" ht="21.75" customHeight="1" spans="1:11">
      <c r="A360" s="25" t="s">
        <v>93</v>
      </c>
      <c r="B360" s="72">
        <v>11.5</v>
      </c>
      <c r="C360" s="20" t="s">
        <v>94</v>
      </c>
      <c r="D360" s="108">
        <v>14.3</v>
      </c>
      <c r="E360" s="108">
        <v>14.3</v>
      </c>
      <c r="F360" s="14">
        <v>11.5</v>
      </c>
      <c r="G360" s="14"/>
      <c r="H360" s="14"/>
      <c r="I360" s="105"/>
      <c r="J360" s="106"/>
      <c r="K360" s="14">
        <f t="shared" si="14"/>
        <v>40.1</v>
      </c>
    </row>
    <row r="361" s="4" customFormat="1" ht="21.75" customHeight="1" spans="1:11">
      <c r="A361" s="109"/>
      <c r="B361" s="110"/>
      <c r="C361" s="20" t="s">
        <v>95</v>
      </c>
      <c r="D361" s="108">
        <v>14.3</v>
      </c>
      <c r="E361" s="108">
        <v>14.3</v>
      </c>
      <c r="F361" s="14">
        <v>11.5</v>
      </c>
      <c r="G361" s="14"/>
      <c r="H361" s="14"/>
      <c r="I361" s="105"/>
      <c r="J361" s="106"/>
      <c r="K361" s="14">
        <f t="shared" si="14"/>
        <v>40.1</v>
      </c>
    </row>
    <row r="362" s="4" customFormat="1" ht="21.75" customHeight="1" spans="1:11">
      <c r="A362" s="109"/>
      <c r="B362" s="110"/>
      <c r="C362" s="14" t="s">
        <v>96</v>
      </c>
      <c r="D362" s="111">
        <v>14.3</v>
      </c>
      <c r="E362" s="111">
        <v>14.3</v>
      </c>
      <c r="F362" s="14">
        <v>11.5</v>
      </c>
      <c r="G362" s="14"/>
      <c r="H362" s="14"/>
      <c r="I362" s="105"/>
      <c r="J362" s="106"/>
      <c r="K362" s="14">
        <f t="shared" si="14"/>
        <v>40.1</v>
      </c>
    </row>
    <row r="363" s="4" customFormat="1" ht="21.75" customHeight="1" spans="1:11">
      <c r="A363" s="109"/>
      <c r="B363" s="110"/>
      <c r="C363" s="20" t="s">
        <v>97</v>
      </c>
      <c r="D363" s="108">
        <v>0</v>
      </c>
      <c r="E363" s="108">
        <v>0</v>
      </c>
      <c r="F363" s="14">
        <v>0</v>
      </c>
      <c r="G363" s="14"/>
      <c r="H363" s="14"/>
      <c r="I363" s="105"/>
      <c r="J363" s="106"/>
      <c r="K363" s="14">
        <f t="shared" si="14"/>
        <v>0</v>
      </c>
    </row>
    <row r="364" s="4" customFormat="1" ht="21.75" customHeight="1" spans="1:11">
      <c r="A364" s="27"/>
      <c r="B364" s="112"/>
      <c r="C364" s="20" t="s">
        <v>98</v>
      </c>
      <c r="D364" s="108">
        <v>14.3</v>
      </c>
      <c r="E364" s="108">
        <v>14.3</v>
      </c>
      <c r="F364" s="14">
        <v>11.5</v>
      </c>
      <c r="G364" s="14"/>
      <c r="H364" s="14"/>
      <c r="I364" s="105"/>
      <c r="J364" s="106"/>
      <c r="K364" s="14">
        <f t="shared" si="14"/>
        <v>40.1</v>
      </c>
    </row>
    <row r="365" s="4" customFormat="1" ht="21.75" customHeight="1" spans="1:11">
      <c r="A365" s="14" t="s">
        <v>128</v>
      </c>
      <c r="B365" s="14">
        <v>10.5</v>
      </c>
      <c r="C365" s="14" t="s">
        <v>129</v>
      </c>
      <c r="D365" s="108">
        <v>16.7</v>
      </c>
      <c r="E365" s="108">
        <v>16.7</v>
      </c>
      <c r="F365" s="14">
        <v>10</v>
      </c>
      <c r="G365" s="14"/>
      <c r="H365" s="14"/>
      <c r="I365" s="105"/>
      <c r="J365" s="106"/>
      <c r="K365" s="14">
        <f t="shared" si="14"/>
        <v>43.4</v>
      </c>
    </row>
    <row r="366" s="4" customFormat="1" ht="21.75" customHeight="1" spans="1:11">
      <c r="A366" s="14"/>
      <c r="B366" s="14"/>
      <c r="C366" s="14" t="s">
        <v>101</v>
      </c>
      <c r="D366" s="72">
        <v>16.7</v>
      </c>
      <c r="E366" s="72">
        <v>16.7</v>
      </c>
      <c r="F366" s="14">
        <v>10</v>
      </c>
      <c r="G366" s="14"/>
      <c r="H366" s="14"/>
      <c r="I366" s="105"/>
      <c r="J366" s="106"/>
      <c r="K366" s="14">
        <f t="shared" si="14"/>
        <v>43.4</v>
      </c>
    </row>
    <row r="367" s="4" customFormat="1" ht="21.75" customHeight="1" spans="1:11">
      <c r="A367" s="14" t="s">
        <v>130</v>
      </c>
      <c r="B367" s="14">
        <v>11.5</v>
      </c>
      <c r="C367" s="20" t="s">
        <v>103</v>
      </c>
      <c r="D367" s="72">
        <v>0</v>
      </c>
      <c r="E367" s="72">
        <v>0</v>
      </c>
      <c r="F367" s="14">
        <v>0</v>
      </c>
      <c r="G367" s="14"/>
      <c r="H367" s="14"/>
      <c r="I367" s="105"/>
      <c r="J367" s="106"/>
      <c r="K367" s="14">
        <f t="shared" si="14"/>
        <v>0</v>
      </c>
    </row>
    <row r="368" s="4" customFormat="1" ht="21.75" customHeight="1" spans="1:11">
      <c r="A368" s="14"/>
      <c r="B368" s="14"/>
      <c r="C368" s="20" t="s">
        <v>104</v>
      </c>
      <c r="D368" s="72">
        <v>16.7</v>
      </c>
      <c r="E368" s="72">
        <v>16.7</v>
      </c>
      <c r="F368" s="14">
        <v>10</v>
      </c>
      <c r="G368" s="14"/>
      <c r="H368" s="14"/>
      <c r="I368" s="105"/>
      <c r="J368" s="106"/>
      <c r="K368" s="14">
        <f t="shared" si="14"/>
        <v>43.4</v>
      </c>
    </row>
    <row r="369" s="4" customFormat="1" ht="21.75" customHeight="1" spans="1:11">
      <c r="A369" s="14"/>
      <c r="B369" s="14"/>
      <c r="C369" s="20" t="s">
        <v>131</v>
      </c>
      <c r="D369" s="72">
        <v>16.7</v>
      </c>
      <c r="E369" s="72">
        <v>16.7</v>
      </c>
      <c r="F369" s="14">
        <v>5</v>
      </c>
      <c r="G369" s="14"/>
      <c r="H369" s="14"/>
      <c r="I369" s="105"/>
      <c r="J369" s="106"/>
      <c r="K369" s="14">
        <f t="shared" si="14"/>
        <v>38.4</v>
      </c>
    </row>
    <row r="370" s="4" customFormat="1" ht="21.75" customHeight="1" spans="1:11">
      <c r="A370" s="14"/>
      <c r="B370" s="14"/>
      <c r="C370" s="20" t="s">
        <v>106</v>
      </c>
      <c r="D370" s="72">
        <v>0</v>
      </c>
      <c r="E370" s="72">
        <v>0</v>
      </c>
      <c r="F370" s="14">
        <v>0</v>
      </c>
      <c r="G370" s="14"/>
      <c r="H370" s="14"/>
      <c r="I370" s="105"/>
      <c r="J370" s="106"/>
      <c r="K370" s="14">
        <f t="shared" si="14"/>
        <v>0</v>
      </c>
    </row>
    <row r="371" s="4" customFormat="1" ht="21.75" customHeight="1" spans="1:11">
      <c r="A371" s="95" t="s">
        <v>107</v>
      </c>
      <c r="B371" s="95">
        <v>10.5</v>
      </c>
      <c r="C371" s="14" t="s">
        <v>108</v>
      </c>
      <c r="D371" s="72">
        <v>16.7</v>
      </c>
      <c r="E371" s="72">
        <v>16.7</v>
      </c>
      <c r="F371" s="72">
        <v>0</v>
      </c>
      <c r="G371" s="72"/>
      <c r="H371" s="72"/>
      <c r="I371" s="105"/>
      <c r="J371" s="106"/>
      <c r="K371" s="14">
        <f t="shared" si="14"/>
        <v>33.4</v>
      </c>
    </row>
    <row r="372" s="4" customFormat="1" ht="21.75" customHeight="1" spans="1:11">
      <c r="A372" s="95"/>
      <c r="B372" s="95"/>
      <c r="C372" s="14" t="s">
        <v>132</v>
      </c>
      <c r="D372" s="72">
        <v>16.7</v>
      </c>
      <c r="E372" s="72">
        <v>16.7</v>
      </c>
      <c r="F372" s="14">
        <v>10</v>
      </c>
      <c r="G372" s="14"/>
      <c r="H372" s="14"/>
      <c r="I372" s="105"/>
      <c r="J372" s="106"/>
      <c r="K372" s="14">
        <f t="shared" si="14"/>
        <v>43.4</v>
      </c>
    </row>
    <row r="373" s="4" customFormat="1" ht="21.75" customHeight="1" spans="1:11">
      <c r="A373" s="95"/>
      <c r="B373" s="95"/>
      <c r="C373" s="14" t="s">
        <v>111</v>
      </c>
      <c r="D373" s="72">
        <v>0</v>
      </c>
      <c r="E373" s="72">
        <v>0</v>
      </c>
      <c r="F373" s="14">
        <v>5</v>
      </c>
      <c r="G373" s="14"/>
      <c r="H373" s="14"/>
      <c r="I373" s="105"/>
      <c r="J373" s="106"/>
      <c r="K373" s="14">
        <f t="shared" si="14"/>
        <v>5</v>
      </c>
    </row>
    <row r="374" s="4" customFormat="1" ht="21.75" customHeight="1" spans="1:11">
      <c r="A374" s="95"/>
      <c r="B374" s="95"/>
      <c r="C374" s="14" t="s">
        <v>112</v>
      </c>
      <c r="D374" s="72">
        <v>16.7</v>
      </c>
      <c r="E374" s="72">
        <v>16.7</v>
      </c>
      <c r="F374" s="14">
        <v>5</v>
      </c>
      <c r="G374" s="14"/>
      <c r="H374" s="14"/>
      <c r="I374" s="105"/>
      <c r="J374" s="106"/>
      <c r="K374" s="14">
        <f t="shared" si="14"/>
        <v>38.4</v>
      </c>
    </row>
    <row r="375" s="4" customFormat="1" ht="21.75" customHeight="1" spans="1:11">
      <c r="A375" s="95"/>
      <c r="B375" s="95"/>
      <c r="C375" s="14" t="s">
        <v>113</v>
      </c>
      <c r="D375" s="72">
        <v>16.7</v>
      </c>
      <c r="E375" s="72">
        <v>16.7</v>
      </c>
      <c r="F375" s="14">
        <v>5</v>
      </c>
      <c r="G375" s="14"/>
      <c r="H375" s="14"/>
      <c r="I375" s="105"/>
      <c r="J375" s="106"/>
      <c r="K375" s="14">
        <f t="shared" si="14"/>
        <v>38.4</v>
      </c>
    </row>
    <row r="376" s="4" customFormat="1" ht="21.75" customHeight="1" spans="1:11">
      <c r="A376" s="72" t="s">
        <v>133</v>
      </c>
      <c r="B376" s="72">
        <v>10.5</v>
      </c>
      <c r="C376" s="14" t="s">
        <v>115</v>
      </c>
      <c r="D376" s="14">
        <v>10</v>
      </c>
      <c r="E376" s="14">
        <v>10</v>
      </c>
      <c r="F376" s="14">
        <v>10</v>
      </c>
      <c r="G376" s="14"/>
      <c r="H376" s="14"/>
      <c r="I376" s="105"/>
      <c r="J376" s="106"/>
      <c r="K376" s="14">
        <f t="shared" si="14"/>
        <v>30</v>
      </c>
    </row>
    <row r="377" s="4" customFormat="1" ht="21.75" customHeight="1" spans="1:11">
      <c r="A377" s="14" t="s">
        <v>116</v>
      </c>
      <c r="B377" s="14">
        <v>12</v>
      </c>
      <c r="C377" s="14" t="s">
        <v>134</v>
      </c>
      <c r="D377" s="14">
        <v>12</v>
      </c>
      <c r="E377" s="14">
        <v>12</v>
      </c>
      <c r="F377" s="14">
        <v>12</v>
      </c>
      <c r="G377" s="14"/>
      <c r="H377" s="14"/>
      <c r="I377" s="105"/>
      <c r="J377" s="106"/>
      <c r="K377" s="14">
        <f t="shared" si="14"/>
        <v>36</v>
      </c>
    </row>
    <row r="378" s="4" customFormat="1" ht="21.75" customHeight="1" spans="1:11">
      <c r="A378" s="20"/>
      <c r="B378" s="73"/>
      <c r="C378" s="73"/>
      <c r="D378" s="73"/>
      <c r="E378" s="73"/>
      <c r="F378" s="73"/>
      <c r="G378" s="73"/>
      <c r="H378" s="73"/>
      <c r="I378" s="73"/>
      <c r="J378" s="73"/>
      <c r="K378" s="14">
        <f>SUM(K357:K377)</f>
        <v>689.6</v>
      </c>
    </row>
    <row r="384" s="139" customFormat="1"/>
  </sheetData>
  <mergeCells count="192">
    <mergeCell ref="A1:K1"/>
    <mergeCell ref="A2:C2"/>
    <mergeCell ref="D2:K2"/>
    <mergeCell ref="A26:J26"/>
    <mergeCell ref="A29:K29"/>
    <mergeCell ref="A30:C30"/>
    <mergeCell ref="D30:K30"/>
    <mergeCell ref="A56:K56"/>
    <mergeCell ref="A57:C57"/>
    <mergeCell ref="D57:K57"/>
    <mergeCell ref="A83:K83"/>
    <mergeCell ref="A84:C84"/>
    <mergeCell ref="D84:K84"/>
    <mergeCell ref="A110:K110"/>
    <mergeCell ref="A111:C111"/>
    <mergeCell ref="D111:K111"/>
    <mergeCell ref="A137:K137"/>
    <mergeCell ref="A138:C138"/>
    <mergeCell ref="D138:K138"/>
    <mergeCell ref="A164:K164"/>
    <mergeCell ref="A165:C165"/>
    <mergeCell ref="D165:K165"/>
    <mergeCell ref="A191:K191"/>
    <mergeCell ref="A192:C192"/>
    <mergeCell ref="D192:K192"/>
    <mergeCell ref="A218:K218"/>
    <mergeCell ref="A219:C219"/>
    <mergeCell ref="D219:K219"/>
    <mergeCell ref="A245:K245"/>
    <mergeCell ref="A246:C246"/>
    <mergeCell ref="D246:K246"/>
    <mergeCell ref="A272:K272"/>
    <mergeCell ref="A273:C273"/>
    <mergeCell ref="D273:K273"/>
    <mergeCell ref="A299:K299"/>
    <mergeCell ref="A300:C300"/>
    <mergeCell ref="D300:K300"/>
    <mergeCell ref="A327:K327"/>
    <mergeCell ref="A328:C328"/>
    <mergeCell ref="D328:K328"/>
    <mergeCell ref="A351:J351"/>
    <mergeCell ref="A354:K354"/>
    <mergeCell ref="A355:C355"/>
    <mergeCell ref="D355:K355"/>
    <mergeCell ref="A5:A6"/>
    <mergeCell ref="A7:A11"/>
    <mergeCell ref="A12:A13"/>
    <mergeCell ref="A14:A17"/>
    <mergeCell ref="A18:A23"/>
    <mergeCell ref="A33:A34"/>
    <mergeCell ref="A35:A36"/>
    <mergeCell ref="A37:A38"/>
    <mergeCell ref="A40:A41"/>
    <mergeCell ref="A42:A45"/>
    <mergeCell ref="A46:A50"/>
    <mergeCell ref="A60:A61"/>
    <mergeCell ref="A62:A66"/>
    <mergeCell ref="A67:A68"/>
    <mergeCell ref="A69:A72"/>
    <mergeCell ref="A73:A77"/>
    <mergeCell ref="A87:A88"/>
    <mergeCell ref="A89:A90"/>
    <mergeCell ref="A91:A92"/>
    <mergeCell ref="A94:A95"/>
    <mergeCell ref="A96:A99"/>
    <mergeCell ref="A100:A104"/>
    <mergeCell ref="A114:A115"/>
    <mergeCell ref="A116:A117"/>
    <mergeCell ref="A118:A119"/>
    <mergeCell ref="A121:A122"/>
    <mergeCell ref="A123:A126"/>
    <mergeCell ref="A127:A131"/>
    <mergeCell ref="A141:A142"/>
    <mergeCell ref="A143:A147"/>
    <mergeCell ref="A148:A149"/>
    <mergeCell ref="A150:A153"/>
    <mergeCell ref="A154:A158"/>
    <mergeCell ref="A168:A169"/>
    <mergeCell ref="A170:A174"/>
    <mergeCell ref="A175:A176"/>
    <mergeCell ref="A177:A180"/>
    <mergeCell ref="A181:A185"/>
    <mergeCell ref="A195:A196"/>
    <mergeCell ref="A197:A198"/>
    <mergeCell ref="A199:A200"/>
    <mergeCell ref="A202:A203"/>
    <mergeCell ref="A204:A207"/>
    <mergeCell ref="A208:A212"/>
    <mergeCell ref="A222:A223"/>
    <mergeCell ref="A224:A225"/>
    <mergeCell ref="A226:A227"/>
    <mergeCell ref="A229:A230"/>
    <mergeCell ref="A231:A234"/>
    <mergeCell ref="A235:A237"/>
    <mergeCell ref="A249:A250"/>
    <mergeCell ref="A251:A252"/>
    <mergeCell ref="A253:A254"/>
    <mergeCell ref="A256:A257"/>
    <mergeCell ref="A258:A261"/>
    <mergeCell ref="A262:A266"/>
    <mergeCell ref="A276:A277"/>
    <mergeCell ref="A278:A282"/>
    <mergeCell ref="A283:A284"/>
    <mergeCell ref="A285:A288"/>
    <mergeCell ref="A289:A293"/>
    <mergeCell ref="A303:A304"/>
    <mergeCell ref="A305:A306"/>
    <mergeCell ref="A307:A308"/>
    <mergeCell ref="A310:A311"/>
    <mergeCell ref="A312:A315"/>
    <mergeCell ref="A316:A320"/>
    <mergeCell ref="A331:A332"/>
    <mergeCell ref="A333:A334"/>
    <mergeCell ref="A335:A336"/>
    <mergeCell ref="A338:A339"/>
    <mergeCell ref="A340:A343"/>
    <mergeCell ref="A344:A348"/>
    <mergeCell ref="A358:A359"/>
    <mergeCell ref="A360:A364"/>
    <mergeCell ref="A365:A366"/>
    <mergeCell ref="A367:A370"/>
    <mergeCell ref="A371:A375"/>
    <mergeCell ref="B5:B6"/>
    <mergeCell ref="B7:B11"/>
    <mergeCell ref="B12:B13"/>
    <mergeCell ref="B14:B17"/>
    <mergeCell ref="B18:B23"/>
    <mergeCell ref="B33:B34"/>
    <mergeCell ref="B35:B39"/>
    <mergeCell ref="B40:B41"/>
    <mergeCell ref="B42:B45"/>
    <mergeCell ref="B46:B50"/>
    <mergeCell ref="B60:B61"/>
    <mergeCell ref="B62:B66"/>
    <mergeCell ref="B67:B68"/>
    <mergeCell ref="B69:B72"/>
    <mergeCell ref="B73:B77"/>
    <mergeCell ref="B87:B88"/>
    <mergeCell ref="B89:B93"/>
    <mergeCell ref="B94:B95"/>
    <mergeCell ref="B96:B99"/>
    <mergeCell ref="B100:B104"/>
    <mergeCell ref="B114:B115"/>
    <mergeCell ref="B116:B120"/>
    <mergeCell ref="B121:B122"/>
    <mergeCell ref="B123:B126"/>
    <mergeCell ref="B127:B131"/>
    <mergeCell ref="B141:B142"/>
    <mergeCell ref="B143:B147"/>
    <mergeCell ref="B148:B149"/>
    <mergeCell ref="B150:B153"/>
    <mergeCell ref="B154:B158"/>
    <mergeCell ref="B168:B169"/>
    <mergeCell ref="B170:B174"/>
    <mergeCell ref="B175:B176"/>
    <mergeCell ref="B177:B180"/>
    <mergeCell ref="B181:B185"/>
    <mergeCell ref="B195:B196"/>
    <mergeCell ref="B197:B201"/>
    <mergeCell ref="B202:B203"/>
    <mergeCell ref="B204:B207"/>
    <mergeCell ref="B208:B212"/>
    <mergeCell ref="B222:B223"/>
    <mergeCell ref="B224:B228"/>
    <mergeCell ref="B229:B230"/>
    <mergeCell ref="B231:B234"/>
    <mergeCell ref="B235:B237"/>
    <mergeCell ref="B249:B250"/>
    <mergeCell ref="B251:B255"/>
    <mergeCell ref="B256:B257"/>
    <mergeCell ref="B258:B261"/>
    <mergeCell ref="B262:B266"/>
    <mergeCell ref="B276:B277"/>
    <mergeCell ref="B278:B282"/>
    <mergeCell ref="B283:B284"/>
    <mergeCell ref="B285:B288"/>
    <mergeCell ref="B289:B293"/>
    <mergeCell ref="B303:B304"/>
    <mergeCell ref="B305:B309"/>
    <mergeCell ref="B310:B311"/>
    <mergeCell ref="B312:B315"/>
    <mergeCell ref="B316:B320"/>
    <mergeCell ref="B331:B332"/>
    <mergeCell ref="B333:B337"/>
    <mergeCell ref="B338:B339"/>
    <mergeCell ref="B340:B343"/>
    <mergeCell ref="B344:B348"/>
    <mergeCell ref="B358:B359"/>
    <mergeCell ref="B360:B364"/>
    <mergeCell ref="B365:B366"/>
    <mergeCell ref="B367:B370"/>
    <mergeCell ref="B371:B37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7"/>
  <sheetViews>
    <sheetView topLeftCell="A140" workbookViewId="0">
      <selection activeCell="A143" sqref="$A143:$XFD167"/>
    </sheetView>
  </sheetViews>
  <sheetFormatPr defaultColWidth="9" defaultRowHeight="13.5"/>
  <sheetData>
    <row r="1" s="4" customFormat="1" ht="21.75" customHeight="1" spans="1:11">
      <c r="A1" s="76" t="s">
        <v>158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="4" customFormat="1" ht="21.75" customHeight="1" spans="1:11">
      <c r="A2" s="8" t="s">
        <v>135</v>
      </c>
      <c r="B2" s="9"/>
      <c r="C2" s="9"/>
      <c r="D2" s="10" t="s">
        <v>159</v>
      </c>
      <c r="E2" s="9"/>
      <c r="F2" s="9"/>
      <c r="G2" s="9"/>
      <c r="H2" s="9"/>
      <c r="I2" s="9"/>
      <c r="J2" s="9"/>
      <c r="K2" s="9"/>
    </row>
    <row r="3" s="4" customFormat="1" ht="21.75" customHeight="1" spans="1:11">
      <c r="A3" s="11" t="s">
        <v>83</v>
      </c>
      <c r="B3" s="11" t="s">
        <v>84</v>
      </c>
      <c r="C3" s="12" t="s">
        <v>120</v>
      </c>
      <c r="D3" s="13" t="s">
        <v>6</v>
      </c>
      <c r="E3" s="13" t="s">
        <v>6</v>
      </c>
      <c r="F3" s="11" t="s">
        <v>6</v>
      </c>
      <c r="G3" s="11" t="s">
        <v>6</v>
      </c>
      <c r="H3" s="11" t="s">
        <v>6</v>
      </c>
      <c r="I3" s="11" t="s">
        <v>6</v>
      </c>
      <c r="J3" s="11" t="s">
        <v>121</v>
      </c>
      <c r="K3" s="11" t="s">
        <v>87</v>
      </c>
    </row>
    <row r="4" s="4" customFormat="1" ht="21.75" customHeight="1" spans="1:11">
      <c r="A4" s="11" t="s">
        <v>122</v>
      </c>
      <c r="B4" s="11">
        <v>12</v>
      </c>
      <c r="C4" s="12" t="s">
        <v>123</v>
      </c>
      <c r="D4" s="13">
        <v>12</v>
      </c>
      <c r="E4" s="13">
        <v>10</v>
      </c>
      <c r="F4" s="58"/>
      <c r="G4" s="58"/>
      <c r="H4" s="13"/>
      <c r="I4" s="11"/>
      <c r="J4" s="11"/>
      <c r="K4" s="11">
        <f t="shared" ref="K4:K24" si="0">SUM(D4:J4)</f>
        <v>22</v>
      </c>
    </row>
    <row r="5" s="4" customFormat="1" ht="21.75" customHeight="1" spans="1:11">
      <c r="A5" s="77" t="s">
        <v>90</v>
      </c>
      <c r="B5" s="13">
        <v>11.5</v>
      </c>
      <c r="C5" s="12" t="s">
        <v>124</v>
      </c>
      <c r="D5" s="13">
        <v>17.5</v>
      </c>
      <c r="E5" s="13">
        <v>15</v>
      </c>
      <c r="F5" s="58"/>
      <c r="G5" s="58"/>
      <c r="H5" s="13"/>
      <c r="I5" s="11"/>
      <c r="J5" s="11"/>
      <c r="K5" s="11">
        <f t="shared" si="0"/>
        <v>32.5</v>
      </c>
    </row>
    <row r="6" s="4" customFormat="1" ht="21.75" customHeight="1" spans="1:11">
      <c r="A6" s="78"/>
      <c r="B6" s="21"/>
      <c r="C6" s="12" t="s">
        <v>92</v>
      </c>
      <c r="D6" s="13">
        <v>17.5</v>
      </c>
      <c r="E6" s="13">
        <v>15</v>
      </c>
      <c r="F6" s="58"/>
      <c r="G6" s="58"/>
      <c r="H6" s="13"/>
      <c r="I6" s="11"/>
      <c r="J6" s="11"/>
      <c r="K6" s="11">
        <f t="shared" si="0"/>
        <v>32.5</v>
      </c>
    </row>
    <row r="7" s="4" customFormat="1" ht="21.75" customHeight="1" spans="1:11">
      <c r="A7" s="77" t="s">
        <v>93</v>
      </c>
      <c r="B7" s="13">
        <v>11.5</v>
      </c>
      <c r="C7" s="12" t="s">
        <v>94</v>
      </c>
      <c r="D7" s="11">
        <v>0</v>
      </c>
      <c r="E7" s="11">
        <v>0</v>
      </c>
      <c r="F7" s="58"/>
      <c r="G7" s="58"/>
      <c r="H7" s="13"/>
      <c r="I7" s="11"/>
      <c r="J7" s="11"/>
      <c r="K7" s="11">
        <f t="shared" si="0"/>
        <v>0</v>
      </c>
    </row>
    <row r="8" s="4" customFormat="1" ht="21.75" customHeight="1" spans="1:11">
      <c r="A8" s="78"/>
      <c r="B8" s="21"/>
      <c r="C8" s="12" t="s">
        <v>95</v>
      </c>
      <c r="D8" s="13">
        <v>11.5</v>
      </c>
      <c r="E8" s="13">
        <v>10</v>
      </c>
      <c r="F8" s="58"/>
      <c r="G8" s="58"/>
      <c r="H8" s="13"/>
      <c r="I8" s="11"/>
      <c r="J8" s="11"/>
      <c r="K8" s="11">
        <f t="shared" si="0"/>
        <v>21.5</v>
      </c>
    </row>
    <row r="9" s="4" customFormat="1" ht="21.75" customHeight="1" spans="1:11">
      <c r="A9" s="78"/>
      <c r="B9" s="21"/>
      <c r="C9" s="11" t="s">
        <v>96</v>
      </c>
      <c r="D9" s="11">
        <v>0</v>
      </c>
      <c r="E9" s="11">
        <v>0</v>
      </c>
      <c r="F9" s="58"/>
      <c r="G9" s="58"/>
      <c r="H9" s="13"/>
      <c r="I9" s="11"/>
      <c r="J9" s="11"/>
      <c r="K9" s="11">
        <f t="shared" si="0"/>
        <v>0</v>
      </c>
    </row>
    <row r="10" s="4" customFormat="1" ht="21.75" customHeight="1" spans="1:11">
      <c r="A10" s="78"/>
      <c r="B10" s="21"/>
      <c r="C10" s="12" t="s">
        <v>97</v>
      </c>
      <c r="D10" s="11">
        <v>0</v>
      </c>
      <c r="E10" s="11">
        <v>0</v>
      </c>
      <c r="F10" s="58"/>
      <c r="G10" s="58"/>
      <c r="H10" s="13"/>
      <c r="I10" s="13"/>
      <c r="J10" s="11"/>
      <c r="K10" s="11">
        <f t="shared" si="0"/>
        <v>0</v>
      </c>
    </row>
    <row r="11" s="4" customFormat="1" ht="21.75" customHeight="1" spans="1:11">
      <c r="A11" s="79"/>
      <c r="B11" s="80"/>
      <c r="C11" s="12" t="s">
        <v>98</v>
      </c>
      <c r="D11" s="13">
        <v>11.5</v>
      </c>
      <c r="E11" s="13">
        <v>10</v>
      </c>
      <c r="F11" s="58"/>
      <c r="G11" s="58"/>
      <c r="H11" s="13"/>
      <c r="I11" s="13"/>
      <c r="J11" s="11"/>
      <c r="K11" s="11">
        <f t="shared" si="0"/>
        <v>21.5</v>
      </c>
    </row>
    <row r="12" s="4" customFormat="1" ht="21.75" customHeight="1" spans="1:11">
      <c r="A12" s="11" t="s">
        <v>128</v>
      </c>
      <c r="B12" s="11">
        <v>10.5</v>
      </c>
      <c r="C12" s="11" t="s">
        <v>129</v>
      </c>
      <c r="D12" s="13">
        <v>10.5</v>
      </c>
      <c r="E12" s="13">
        <v>5</v>
      </c>
      <c r="F12" s="63"/>
      <c r="G12" s="63"/>
      <c r="H12" s="13"/>
      <c r="I12" s="11"/>
      <c r="J12" s="11"/>
      <c r="K12" s="11">
        <f t="shared" si="0"/>
        <v>15.5</v>
      </c>
    </row>
    <row r="13" s="4" customFormat="1" ht="21.75" customHeight="1" spans="1:11">
      <c r="A13" s="11"/>
      <c r="B13" s="11"/>
      <c r="C13" s="11" t="s">
        <v>101</v>
      </c>
      <c r="D13" s="11">
        <v>10.5</v>
      </c>
      <c r="E13" s="11">
        <v>5</v>
      </c>
      <c r="F13" s="58"/>
      <c r="G13" s="58"/>
      <c r="H13" s="13"/>
      <c r="I13" s="11"/>
      <c r="J13" s="11"/>
      <c r="K13" s="11">
        <f t="shared" si="0"/>
        <v>15.5</v>
      </c>
    </row>
    <row r="14" s="4" customFormat="1" ht="21.75" customHeight="1" spans="1:11">
      <c r="A14" s="11" t="s">
        <v>130</v>
      </c>
      <c r="B14" s="11">
        <v>11.5</v>
      </c>
      <c r="C14" s="12" t="s">
        <v>103</v>
      </c>
      <c r="D14" s="11">
        <v>0</v>
      </c>
      <c r="E14" s="11">
        <v>0</v>
      </c>
      <c r="F14" s="58"/>
      <c r="G14" s="58"/>
      <c r="H14" s="13"/>
      <c r="I14" s="11"/>
      <c r="J14" s="11"/>
      <c r="K14" s="11">
        <f t="shared" si="0"/>
        <v>0</v>
      </c>
    </row>
    <row r="15" s="4" customFormat="1" ht="21.75" customHeight="1" spans="1:11">
      <c r="A15" s="11"/>
      <c r="B15" s="11"/>
      <c r="C15" s="12" t="s">
        <v>104</v>
      </c>
      <c r="D15" s="13">
        <v>0</v>
      </c>
      <c r="E15" s="13">
        <v>0</v>
      </c>
      <c r="F15" s="58"/>
      <c r="G15" s="58"/>
      <c r="H15" s="13"/>
      <c r="I15" s="11"/>
      <c r="J15" s="11"/>
      <c r="K15" s="11">
        <f t="shared" si="0"/>
        <v>0</v>
      </c>
    </row>
    <row r="16" s="4" customFormat="1" ht="21.75" customHeight="1" spans="1:11">
      <c r="A16" s="11"/>
      <c r="B16" s="11"/>
      <c r="C16" s="12" t="s">
        <v>131</v>
      </c>
      <c r="D16" s="13">
        <v>10.5</v>
      </c>
      <c r="E16" s="13">
        <v>5</v>
      </c>
      <c r="F16" s="65"/>
      <c r="G16" s="65"/>
      <c r="H16" s="13"/>
      <c r="I16" s="11"/>
      <c r="J16" s="11"/>
      <c r="K16" s="11">
        <f t="shared" si="0"/>
        <v>15.5</v>
      </c>
    </row>
    <row r="17" s="4" customFormat="1" ht="21.75" customHeight="1" spans="1:11">
      <c r="A17" s="11"/>
      <c r="B17" s="11"/>
      <c r="C17" s="12" t="s">
        <v>106</v>
      </c>
      <c r="D17" s="11">
        <v>0</v>
      </c>
      <c r="E17" s="11">
        <v>0</v>
      </c>
      <c r="F17" s="67"/>
      <c r="G17" s="67"/>
      <c r="H17" s="13"/>
      <c r="I17" s="11"/>
      <c r="J17" s="11"/>
      <c r="K17" s="11">
        <f t="shared" si="0"/>
        <v>0</v>
      </c>
    </row>
    <row r="18" s="4" customFormat="1" ht="21.75" customHeight="1" spans="1:11">
      <c r="A18" s="21" t="s">
        <v>107</v>
      </c>
      <c r="B18" s="21">
        <v>10.5</v>
      </c>
      <c r="C18" s="11" t="s">
        <v>108</v>
      </c>
      <c r="D18" s="13">
        <v>10.5</v>
      </c>
      <c r="E18" s="13">
        <v>5</v>
      </c>
      <c r="F18" s="58"/>
      <c r="G18" s="58"/>
      <c r="H18" s="13"/>
      <c r="I18" s="11"/>
      <c r="J18" s="11"/>
      <c r="K18" s="11">
        <f t="shared" si="0"/>
        <v>15.5</v>
      </c>
    </row>
    <row r="19" s="4" customFormat="1" ht="21.75" customHeight="1" spans="1:11">
      <c r="A19" s="21"/>
      <c r="B19" s="21"/>
      <c r="C19" s="11" t="s">
        <v>132</v>
      </c>
      <c r="D19" s="13">
        <v>10.5</v>
      </c>
      <c r="E19" s="13">
        <v>5</v>
      </c>
      <c r="F19" s="58"/>
      <c r="G19" s="58"/>
      <c r="H19" s="13"/>
      <c r="I19" s="11"/>
      <c r="J19" s="11"/>
      <c r="K19" s="11">
        <f t="shared" si="0"/>
        <v>15.5</v>
      </c>
    </row>
    <row r="20" s="4" customFormat="1" ht="21.75" customHeight="1" spans="1:11">
      <c r="A20" s="21"/>
      <c r="B20" s="21"/>
      <c r="C20" s="11" t="s">
        <v>111</v>
      </c>
      <c r="D20" s="13">
        <v>10.5</v>
      </c>
      <c r="E20" s="13">
        <v>5</v>
      </c>
      <c r="F20" s="58"/>
      <c r="G20" s="58"/>
      <c r="H20" s="13"/>
      <c r="I20" s="11"/>
      <c r="J20" s="11"/>
      <c r="K20" s="11">
        <f t="shared" si="0"/>
        <v>15.5</v>
      </c>
    </row>
    <row r="21" s="4" customFormat="1" ht="21.75" customHeight="1" spans="1:11">
      <c r="A21" s="21"/>
      <c r="B21" s="21"/>
      <c r="C21" s="11" t="s">
        <v>112</v>
      </c>
      <c r="D21" s="11">
        <v>0</v>
      </c>
      <c r="E21" s="11">
        <v>0</v>
      </c>
      <c r="F21" s="58"/>
      <c r="G21" s="58"/>
      <c r="H21" s="13"/>
      <c r="I21" s="11"/>
      <c r="J21" s="30"/>
      <c r="K21" s="11">
        <f t="shared" si="0"/>
        <v>0</v>
      </c>
    </row>
    <row r="22" s="4" customFormat="1" ht="21.75" customHeight="1" spans="1:11">
      <c r="A22" s="21"/>
      <c r="B22" s="21"/>
      <c r="C22" s="11" t="s">
        <v>113</v>
      </c>
      <c r="D22" s="11">
        <v>0</v>
      </c>
      <c r="E22" s="11">
        <v>0</v>
      </c>
      <c r="F22" s="58"/>
      <c r="G22" s="58"/>
      <c r="H22" s="13"/>
      <c r="I22" s="11"/>
      <c r="J22" s="30"/>
      <c r="K22" s="11">
        <f t="shared" si="0"/>
        <v>0</v>
      </c>
    </row>
    <row r="23" s="4" customFormat="1" ht="21.75" customHeight="1" spans="1:11">
      <c r="A23" s="13" t="s">
        <v>133</v>
      </c>
      <c r="B23" s="13">
        <v>10.5</v>
      </c>
      <c r="C23" s="11" t="s">
        <v>115</v>
      </c>
      <c r="D23" s="11">
        <v>10.5</v>
      </c>
      <c r="E23" s="11">
        <v>10.5</v>
      </c>
      <c r="F23" s="58"/>
      <c r="G23" s="58"/>
      <c r="H23" s="11"/>
      <c r="I23" s="11"/>
      <c r="J23" s="30"/>
      <c r="K23" s="11">
        <f t="shared" si="0"/>
        <v>21</v>
      </c>
    </row>
    <row r="24" s="4" customFormat="1" ht="21.75" customHeight="1" spans="1:11">
      <c r="A24" s="13" t="s">
        <v>116</v>
      </c>
      <c r="B24" s="13">
        <v>12</v>
      </c>
      <c r="C24" s="13" t="s">
        <v>134</v>
      </c>
      <c r="D24" s="13">
        <v>12</v>
      </c>
      <c r="E24" s="13">
        <v>12</v>
      </c>
      <c r="F24" s="132"/>
      <c r="G24" s="132"/>
      <c r="H24" s="13"/>
      <c r="I24" s="13"/>
      <c r="J24" s="17"/>
      <c r="K24" s="13">
        <f t="shared" si="0"/>
        <v>24</v>
      </c>
    </row>
    <row r="25" s="4" customFormat="1" ht="21.75" customHeight="1" spans="1:11">
      <c r="A25" s="12"/>
      <c r="B25" s="81"/>
      <c r="C25" s="81"/>
      <c r="D25" s="81"/>
      <c r="E25" s="81"/>
      <c r="F25" s="81"/>
      <c r="G25" s="81"/>
      <c r="H25" s="81"/>
      <c r="I25" s="81"/>
      <c r="J25" s="81"/>
      <c r="K25" s="11">
        <f>SUM(K4:K24)</f>
        <v>268</v>
      </c>
    </row>
    <row r="30" s="1" customFormat="1" ht="21" customHeight="1" spans="1:11">
      <c r="A30" s="53" t="s">
        <v>158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</row>
    <row r="31" s="1" customFormat="1" ht="21" customHeight="1" spans="1:11">
      <c r="A31" s="54" t="s">
        <v>147</v>
      </c>
      <c r="B31" s="54"/>
      <c r="C31" s="54"/>
      <c r="D31" s="54" t="s">
        <v>160</v>
      </c>
      <c r="E31" s="54"/>
      <c r="F31" s="54"/>
      <c r="G31" s="54"/>
      <c r="H31" s="54"/>
      <c r="I31" s="54"/>
      <c r="J31" s="54"/>
      <c r="K31" s="54"/>
    </row>
    <row r="32" s="1" customFormat="1" ht="21" customHeight="1" spans="1:11">
      <c r="A32" s="55" t="s">
        <v>83</v>
      </c>
      <c r="B32" s="55" t="s">
        <v>84</v>
      </c>
      <c r="C32" s="56" t="s">
        <v>120</v>
      </c>
      <c r="D32" s="57" t="s">
        <v>6</v>
      </c>
      <c r="E32" s="57" t="s">
        <v>6</v>
      </c>
      <c r="F32" s="55" t="s">
        <v>6</v>
      </c>
      <c r="G32" s="55" t="s">
        <v>6</v>
      </c>
      <c r="H32" s="55" t="s">
        <v>6</v>
      </c>
      <c r="I32" s="55" t="s">
        <v>6</v>
      </c>
      <c r="J32" s="55" t="s">
        <v>121</v>
      </c>
      <c r="K32" s="55" t="s">
        <v>87</v>
      </c>
    </row>
    <row r="33" s="1" customFormat="1" ht="21" customHeight="1" spans="1:11">
      <c r="A33" s="34" t="s">
        <v>122</v>
      </c>
      <c r="B33" s="34">
        <v>12</v>
      </c>
      <c r="C33" s="133" t="s">
        <v>123</v>
      </c>
      <c r="D33" s="134">
        <v>10</v>
      </c>
      <c r="E33" s="58">
        <v>12</v>
      </c>
      <c r="F33" s="58">
        <v>12</v>
      </c>
      <c r="G33" s="13">
        <v>20</v>
      </c>
      <c r="H33" s="62"/>
      <c r="I33" s="34"/>
      <c r="J33" s="34"/>
      <c r="K33" s="14">
        <f t="shared" ref="K33:K53" si="1">SUM(D33:J33)</f>
        <v>54</v>
      </c>
    </row>
    <row r="34" s="1" customFormat="1" ht="21" customHeight="1" spans="1:11">
      <c r="A34" s="60" t="s">
        <v>90</v>
      </c>
      <c r="B34" s="34">
        <v>11.5</v>
      </c>
      <c r="C34" s="61" t="s">
        <v>124</v>
      </c>
      <c r="D34" s="134">
        <v>15</v>
      </c>
      <c r="E34" s="58">
        <v>30</v>
      </c>
      <c r="F34" s="58">
        <v>30</v>
      </c>
      <c r="G34" s="13">
        <v>20</v>
      </c>
      <c r="H34" s="62"/>
      <c r="I34" s="34"/>
      <c r="J34" s="34"/>
      <c r="K34" s="14">
        <f t="shared" si="1"/>
        <v>95</v>
      </c>
    </row>
    <row r="35" s="1" customFormat="1" ht="21" customHeight="1" spans="1:11">
      <c r="A35" s="60"/>
      <c r="B35" s="34"/>
      <c r="C35" s="61" t="s">
        <v>92</v>
      </c>
      <c r="D35" s="134">
        <v>15</v>
      </c>
      <c r="E35" s="58">
        <v>26.5</v>
      </c>
      <c r="F35" s="58">
        <v>26.5</v>
      </c>
      <c r="G35" s="13">
        <v>20</v>
      </c>
      <c r="H35" s="62"/>
      <c r="I35" s="34"/>
      <c r="J35" s="34"/>
      <c r="K35" s="14">
        <f t="shared" si="1"/>
        <v>88</v>
      </c>
    </row>
    <row r="36" s="1" customFormat="1" ht="21" customHeight="1" spans="1:11">
      <c r="A36" s="19" t="s">
        <v>125</v>
      </c>
      <c r="B36" s="14">
        <v>11.5</v>
      </c>
      <c r="C36" s="20" t="s">
        <v>94</v>
      </c>
      <c r="D36" s="135">
        <v>10</v>
      </c>
      <c r="E36" s="58">
        <v>11.5</v>
      </c>
      <c r="F36" s="58">
        <v>11.5</v>
      </c>
      <c r="G36" s="13">
        <v>20</v>
      </c>
      <c r="H36" s="62"/>
      <c r="I36" s="34"/>
      <c r="J36" s="34"/>
      <c r="K36" s="14">
        <f t="shared" si="1"/>
        <v>53</v>
      </c>
    </row>
    <row r="37" s="1" customFormat="1" ht="21" customHeight="1" spans="1:11">
      <c r="A37" s="22"/>
      <c r="B37" s="14"/>
      <c r="C37" s="1" t="s">
        <v>98</v>
      </c>
      <c r="D37" s="135">
        <v>10</v>
      </c>
      <c r="E37" s="58">
        <v>23</v>
      </c>
      <c r="F37" s="58">
        <v>23</v>
      </c>
      <c r="G37" s="13">
        <v>0</v>
      </c>
      <c r="H37" s="62"/>
      <c r="I37" s="34"/>
      <c r="J37" s="34"/>
      <c r="K37" s="14">
        <f t="shared" si="1"/>
        <v>56</v>
      </c>
    </row>
    <row r="38" s="1" customFormat="1" ht="21" customHeight="1" spans="1:11">
      <c r="A38" s="25" t="s">
        <v>126</v>
      </c>
      <c r="B38" s="14"/>
      <c r="C38" s="20" t="s">
        <v>95</v>
      </c>
      <c r="D38" s="135">
        <v>10</v>
      </c>
      <c r="E38" s="58">
        <v>23</v>
      </c>
      <c r="F38" s="58">
        <v>23</v>
      </c>
      <c r="G38" s="13">
        <v>20</v>
      </c>
      <c r="H38" s="62"/>
      <c r="I38" s="34"/>
      <c r="J38" s="34"/>
      <c r="K38" s="14">
        <f t="shared" si="1"/>
        <v>76</v>
      </c>
    </row>
    <row r="39" s="1" customFormat="1" ht="21" customHeight="1" spans="1:11">
      <c r="A39" s="27"/>
      <c r="B39" s="14"/>
      <c r="C39" s="20" t="s">
        <v>97</v>
      </c>
      <c r="D39" s="135">
        <v>10</v>
      </c>
      <c r="E39" s="58">
        <v>23</v>
      </c>
      <c r="F39" s="58">
        <v>23</v>
      </c>
      <c r="G39" s="13">
        <v>0</v>
      </c>
      <c r="H39" s="62"/>
      <c r="I39" s="62"/>
      <c r="J39" s="34"/>
      <c r="K39" s="14">
        <f t="shared" si="1"/>
        <v>56</v>
      </c>
    </row>
    <row r="40" s="1" customFormat="1" ht="21" customHeight="1" spans="1:11">
      <c r="A40" s="18" t="s">
        <v>127</v>
      </c>
      <c r="B40" s="14"/>
      <c r="C40" s="14" t="s">
        <v>96</v>
      </c>
      <c r="D40" s="135">
        <v>10</v>
      </c>
      <c r="E40" s="58">
        <v>11.5</v>
      </c>
      <c r="F40" s="58">
        <v>11.5</v>
      </c>
      <c r="G40" s="13">
        <v>0</v>
      </c>
      <c r="H40" s="62"/>
      <c r="I40" s="62"/>
      <c r="J40" s="34"/>
      <c r="K40" s="14">
        <f t="shared" si="1"/>
        <v>33</v>
      </c>
    </row>
    <row r="41" s="1" customFormat="1" ht="21" customHeight="1" spans="1:11">
      <c r="A41" s="34" t="s">
        <v>128</v>
      </c>
      <c r="B41" s="34">
        <v>10.5</v>
      </c>
      <c r="C41" s="34" t="s">
        <v>129</v>
      </c>
      <c r="D41" s="135">
        <v>10</v>
      </c>
      <c r="E41" s="63">
        <v>20</v>
      </c>
      <c r="F41" s="63">
        <v>20</v>
      </c>
      <c r="G41" s="13">
        <v>0</v>
      </c>
      <c r="H41" s="62"/>
      <c r="I41" s="34"/>
      <c r="J41" s="34"/>
      <c r="K41" s="14">
        <f t="shared" si="1"/>
        <v>50</v>
      </c>
    </row>
    <row r="42" s="1" customFormat="1" ht="21" customHeight="1" spans="1:11">
      <c r="A42" s="34"/>
      <c r="B42" s="34"/>
      <c r="C42" s="34" t="s">
        <v>101</v>
      </c>
      <c r="D42" s="135">
        <v>10</v>
      </c>
      <c r="E42" s="58">
        <v>20</v>
      </c>
      <c r="F42" s="58">
        <v>20</v>
      </c>
      <c r="G42" s="13">
        <v>0</v>
      </c>
      <c r="H42" s="62"/>
      <c r="I42" s="34"/>
      <c r="J42" s="34"/>
      <c r="K42" s="14">
        <f t="shared" si="1"/>
        <v>50</v>
      </c>
    </row>
    <row r="43" s="1" customFormat="1" ht="21" customHeight="1" spans="1:11">
      <c r="A43" s="34" t="s">
        <v>130</v>
      </c>
      <c r="B43" s="34">
        <v>11.5</v>
      </c>
      <c r="C43" s="61" t="s">
        <v>103</v>
      </c>
      <c r="D43" s="136">
        <v>10</v>
      </c>
      <c r="E43" s="58">
        <v>28</v>
      </c>
      <c r="F43" s="58">
        <v>28</v>
      </c>
      <c r="G43" s="13">
        <v>10</v>
      </c>
      <c r="H43" s="62"/>
      <c r="I43" s="34"/>
      <c r="J43" s="34"/>
      <c r="K43" s="14">
        <f t="shared" si="1"/>
        <v>76</v>
      </c>
    </row>
    <row r="44" s="1" customFormat="1" ht="21" customHeight="1" spans="1:11">
      <c r="A44" s="34"/>
      <c r="B44" s="34"/>
      <c r="C44" s="61" t="s">
        <v>104</v>
      </c>
      <c r="D44" s="136">
        <v>10</v>
      </c>
      <c r="E44" s="58">
        <v>18</v>
      </c>
      <c r="F44" s="58">
        <v>18</v>
      </c>
      <c r="G44" s="13">
        <v>10</v>
      </c>
      <c r="H44" s="62"/>
      <c r="I44" s="34"/>
      <c r="J44" s="34"/>
      <c r="K44" s="14">
        <f t="shared" si="1"/>
        <v>56</v>
      </c>
    </row>
    <row r="45" s="1" customFormat="1" ht="21" customHeight="1" spans="1:11">
      <c r="A45" s="34"/>
      <c r="B45" s="34"/>
      <c r="C45" s="61" t="s">
        <v>131</v>
      </c>
      <c r="D45" s="136">
        <v>10</v>
      </c>
      <c r="E45" s="65">
        <v>41</v>
      </c>
      <c r="F45" s="65">
        <v>41</v>
      </c>
      <c r="G45" s="13">
        <v>0</v>
      </c>
      <c r="H45" s="62"/>
      <c r="I45" s="34"/>
      <c r="J45" s="34"/>
      <c r="K45" s="14">
        <f t="shared" si="1"/>
        <v>92</v>
      </c>
    </row>
    <row r="46" s="1" customFormat="1" ht="21" customHeight="1" spans="1:11">
      <c r="A46" s="34"/>
      <c r="B46" s="34"/>
      <c r="C46" s="61" t="s">
        <v>106</v>
      </c>
      <c r="D46" s="136">
        <v>10</v>
      </c>
      <c r="E46" s="67">
        <v>157</v>
      </c>
      <c r="F46" s="67">
        <v>157</v>
      </c>
      <c r="G46" s="13">
        <v>0</v>
      </c>
      <c r="H46" s="62"/>
      <c r="I46" s="34"/>
      <c r="J46" s="34"/>
      <c r="K46" s="14">
        <f t="shared" si="1"/>
        <v>324</v>
      </c>
    </row>
    <row r="47" s="1" customFormat="1" ht="21" customHeight="1" spans="1:11">
      <c r="A47" s="69" t="s">
        <v>107</v>
      </c>
      <c r="B47" s="69">
        <v>10.5</v>
      </c>
      <c r="C47" s="34" t="s">
        <v>108</v>
      </c>
      <c r="D47" s="136">
        <v>10</v>
      </c>
      <c r="E47" s="58">
        <v>25</v>
      </c>
      <c r="F47" s="58">
        <v>25</v>
      </c>
      <c r="G47" s="13">
        <v>20</v>
      </c>
      <c r="H47" s="62"/>
      <c r="I47" s="34"/>
      <c r="J47" s="34"/>
      <c r="K47" s="14">
        <f t="shared" si="1"/>
        <v>80</v>
      </c>
    </row>
    <row r="48" s="1" customFormat="1" ht="21" customHeight="1" spans="1:11">
      <c r="A48" s="69"/>
      <c r="B48" s="69"/>
      <c r="C48" s="34" t="s">
        <v>132</v>
      </c>
      <c r="D48" s="136">
        <v>10</v>
      </c>
      <c r="E48" s="58">
        <v>50</v>
      </c>
      <c r="F48" s="58">
        <v>50</v>
      </c>
      <c r="G48" s="13">
        <v>0</v>
      </c>
      <c r="H48" s="62"/>
      <c r="I48" s="34"/>
      <c r="J48" s="34"/>
      <c r="K48" s="14">
        <f t="shared" si="1"/>
        <v>110</v>
      </c>
    </row>
    <row r="49" s="1" customFormat="1" ht="21" customHeight="1" spans="1:11">
      <c r="A49" s="69"/>
      <c r="B49" s="69"/>
      <c r="C49" s="34" t="s">
        <v>111</v>
      </c>
      <c r="D49" s="136">
        <v>10</v>
      </c>
      <c r="E49" s="58">
        <v>24.5</v>
      </c>
      <c r="F49" s="58">
        <v>24.5</v>
      </c>
      <c r="G49" s="13">
        <v>0</v>
      </c>
      <c r="H49" s="62"/>
      <c r="I49" s="34"/>
      <c r="J49" s="34"/>
      <c r="K49" s="14">
        <f t="shared" si="1"/>
        <v>59</v>
      </c>
    </row>
    <row r="50" s="1" customFormat="1" ht="21" customHeight="1" spans="1:11">
      <c r="A50" s="69"/>
      <c r="B50" s="69"/>
      <c r="C50" s="34" t="s">
        <v>112</v>
      </c>
      <c r="D50" s="136">
        <v>10</v>
      </c>
      <c r="E50" s="58">
        <v>24.5</v>
      </c>
      <c r="F50" s="58">
        <v>24.5</v>
      </c>
      <c r="G50" s="13">
        <v>10</v>
      </c>
      <c r="H50" s="62"/>
      <c r="I50" s="34"/>
      <c r="J50" s="70"/>
      <c r="K50" s="14">
        <f t="shared" si="1"/>
        <v>69</v>
      </c>
    </row>
    <row r="51" s="1" customFormat="1" ht="21" customHeight="1" spans="1:11">
      <c r="A51" s="69"/>
      <c r="B51" s="69"/>
      <c r="C51" s="34" t="s">
        <v>113</v>
      </c>
      <c r="D51" s="136">
        <v>10</v>
      </c>
      <c r="E51" s="58">
        <v>24.5</v>
      </c>
      <c r="F51" s="58">
        <v>24.5</v>
      </c>
      <c r="G51" s="13">
        <v>10</v>
      </c>
      <c r="H51" s="62"/>
      <c r="I51" s="34"/>
      <c r="J51" s="70"/>
      <c r="K51" s="14">
        <f t="shared" si="1"/>
        <v>69</v>
      </c>
    </row>
    <row r="52" s="1" customFormat="1" ht="21" customHeight="1" spans="1:11">
      <c r="A52" s="62" t="s">
        <v>133</v>
      </c>
      <c r="B52" s="62">
        <v>10.5</v>
      </c>
      <c r="C52" s="34" t="s">
        <v>115</v>
      </c>
      <c r="D52" s="136">
        <v>10.5</v>
      </c>
      <c r="E52" s="58">
        <v>10.5</v>
      </c>
      <c r="F52" s="58">
        <v>10.5</v>
      </c>
      <c r="G52" s="11">
        <v>10.5</v>
      </c>
      <c r="H52" s="34"/>
      <c r="I52" s="34"/>
      <c r="J52" s="70"/>
      <c r="K52" s="14">
        <f t="shared" si="1"/>
        <v>42</v>
      </c>
    </row>
    <row r="53" s="1" customFormat="1" ht="21" customHeight="1" spans="1:11">
      <c r="A53" s="62" t="s">
        <v>116</v>
      </c>
      <c r="B53" s="62">
        <v>12</v>
      </c>
      <c r="C53" s="62" t="s">
        <v>134</v>
      </c>
      <c r="D53" s="135">
        <v>12</v>
      </c>
      <c r="E53" s="63">
        <v>12</v>
      </c>
      <c r="F53" s="63">
        <v>12</v>
      </c>
      <c r="G53" s="11">
        <v>12</v>
      </c>
      <c r="H53" s="62"/>
      <c r="I53" s="62"/>
      <c r="J53" s="71"/>
      <c r="K53" s="72">
        <f t="shared" si="1"/>
        <v>48</v>
      </c>
    </row>
    <row r="54" s="1" customFormat="1" ht="21" customHeight="1" spans="1:11">
      <c r="A54" s="20"/>
      <c r="B54" s="73"/>
      <c r="C54" s="73"/>
      <c r="D54" s="74"/>
      <c r="E54" s="74"/>
      <c r="F54" s="74"/>
      <c r="G54" s="73"/>
      <c r="H54" s="73"/>
      <c r="I54" s="73"/>
      <c r="J54" s="73"/>
      <c r="K54" s="75">
        <f>SUM(K33:K53)</f>
        <v>1636</v>
      </c>
    </row>
    <row r="58" s="1" customFormat="1" ht="21" customHeight="1" spans="1:11">
      <c r="A58" s="5" t="s">
        <v>161</v>
      </c>
      <c r="B58" s="6"/>
      <c r="C58" s="6"/>
      <c r="D58" s="6"/>
      <c r="E58" s="6"/>
      <c r="F58" s="6"/>
      <c r="G58" s="6"/>
      <c r="H58" s="6"/>
      <c r="I58" s="6"/>
      <c r="J58" s="6"/>
      <c r="K58" s="7"/>
    </row>
    <row r="59" s="1" customFormat="1" ht="21" customHeight="1" spans="1:11">
      <c r="A59" s="8" t="s">
        <v>162</v>
      </c>
      <c r="B59" s="9"/>
      <c r="C59" s="9"/>
      <c r="D59" s="10" t="s">
        <v>163</v>
      </c>
      <c r="E59" s="9"/>
      <c r="F59" s="9"/>
      <c r="G59" s="9"/>
      <c r="H59" s="9"/>
      <c r="I59" s="9"/>
      <c r="J59" s="9"/>
      <c r="K59" s="9"/>
    </row>
    <row r="60" s="1" customFormat="1" ht="21" customHeight="1" spans="1:11">
      <c r="A60" s="11" t="s">
        <v>83</v>
      </c>
      <c r="B60" s="11" t="s">
        <v>84</v>
      </c>
      <c r="C60" s="12" t="s">
        <v>120</v>
      </c>
      <c r="D60" s="13" t="s">
        <v>6</v>
      </c>
      <c r="E60" s="13" t="s">
        <v>6</v>
      </c>
      <c r="F60" s="11" t="s">
        <v>6</v>
      </c>
      <c r="G60" s="11" t="s">
        <v>6</v>
      </c>
      <c r="H60" s="11" t="s">
        <v>6</v>
      </c>
      <c r="I60" s="11" t="s">
        <v>6</v>
      </c>
      <c r="J60" s="11" t="s">
        <v>121</v>
      </c>
      <c r="K60" s="11" t="s">
        <v>87</v>
      </c>
    </row>
    <row r="61" s="1" customFormat="1" ht="21" customHeight="1" spans="1:11">
      <c r="A61" s="11" t="s">
        <v>122</v>
      </c>
      <c r="B61" s="11">
        <v>12</v>
      </c>
      <c r="C61" s="12" t="s">
        <v>123</v>
      </c>
      <c r="D61" s="13">
        <v>15</v>
      </c>
      <c r="E61" s="13">
        <v>10</v>
      </c>
      <c r="F61" s="13"/>
      <c r="G61" s="13"/>
      <c r="H61" s="13"/>
      <c r="I61" s="11"/>
      <c r="J61" s="11"/>
      <c r="K61" s="14">
        <f t="shared" ref="K61:K82" si="2">SUM(D61:J61)</f>
        <v>25</v>
      </c>
    </row>
    <row r="62" s="1" customFormat="1" ht="21" customHeight="1" spans="1:11">
      <c r="A62" s="18" t="s">
        <v>90</v>
      </c>
      <c r="B62" s="11">
        <v>11.5</v>
      </c>
      <c r="C62" s="12" t="s">
        <v>124</v>
      </c>
      <c r="D62" s="13">
        <v>22</v>
      </c>
      <c r="E62" s="13">
        <v>15</v>
      </c>
      <c r="F62" s="13"/>
      <c r="G62" s="13"/>
      <c r="H62" s="13"/>
      <c r="I62" s="11"/>
      <c r="J62" s="11"/>
      <c r="K62" s="14">
        <f t="shared" si="2"/>
        <v>37</v>
      </c>
    </row>
    <row r="63" s="1" customFormat="1" ht="21" customHeight="1" spans="1:11">
      <c r="A63" s="18"/>
      <c r="B63" s="11"/>
      <c r="C63" s="12" t="s">
        <v>92</v>
      </c>
      <c r="D63" s="13">
        <v>22</v>
      </c>
      <c r="E63" s="13">
        <v>15</v>
      </c>
      <c r="F63" s="13"/>
      <c r="G63" s="13"/>
      <c r="H63" s="13"/>
      <c r="I63" s="11"/>
      <c r="J63" s="11"/>
      <c r="K63" s="14">
        <f t="shared" si="2"/>
        <v>37</v>
      </c>
    </row>
    <row r="64" s="1" customFormat="1" ht="21" customHeight="1" spans="1:11">
      <c r="A64" s="19" t="s">
        <v>125</v>
      </c>
      <c r="B64" s="14">
        <v>11.5</v>
      </c>
      <c r="C64" s="20" t="s">
        <v>94</v>
      </c>
      <c r="D64" s="13">
        <v>14.3</v>
      </c>
      <c r="E64" s="13">
        <v>11</v>
      </c>
      <c r="F64" s="13"/>
      <c r="G64" s="13"/>
      <c r="H64" s="13"/>
      <c r="I64" s="11"/>
      <c r="J64" s="11"/>
      <c r="K64" s="14">
        <f t="shared" si="2"/>
        <v>25.3</v>
      </c>
    </row>
    <row r="65" s="1" customFormat="1" ht="21" customHeight="1" spans="1:11">
      <c r="A65" s="22"/>
      <c r="B65" s="14"/>
      <c r="C65" s="1" t="s">
        <v>98</v>
      </c>
      <c r="D65" s="13">
        <v>14.3</v>
      </c>
      <c r="E65" s="13">
        <v>11</v>
      </c>
      <c r="F65" s="13"/>
      <c r="G65" s="13"/>
      <c r="H65" s="13"/>
      <c r="I65" s="11"/>
      <c r="J65" s="11"/>
      <c r="K65" s="14">
        <f t="shared" si="2"/>
        <v>25.3</v>
      </c>
    </row>
    <row r="66" s="1" customFormat="1" ht="21" customHeight="1" spans="1:11">
      <c r="A66" s="25" t="s">
        <v>126</v>
      </c>
      <c r="B66" s="14"/>
      <c r="C66" s="20" t="s">
        <v>95</v>
      </c>
      <c r="D66" s="13">
        <v>14.3</v>
      </c>
      <c r="E66" s="13">
        <v>11</v>
      </c>
      <c r="F66" s="13"/>
      <c r="G66" s="13"/>
      <c r="H66" s="13"/>
      <c r="I66" s="11"/>
      <c r="J66" s="11"/>
      <c r="K66" s="14">
        <f t="shared" si="2"/>
        <v>25.3</v>
      </c>
    </row>
    <row r="67" s="1" customFormat="1" ht="21" customHeight="1" spans="1:11">
      <c r="A67" s="27"/>
      <c r="B67" s="14"/>
      <c r="C67" s="20" t="s">
        <v>97</v>
      </c>
      <c r="D67" s="13">
        <v>14.3</v>
      </c>
      <c r="E67" s="13">
        <v>11</v>
      </c>
      <c r="F67" s="13"/>
      <c r="G67" s="13"/>
      <c r="H67" s="13"/>
      <c r="I67" s="13"/>
      <c r="J67" s="11"/>
      <c r="K67" s="14">
        <f t="shared" si="2"/>
        <v>25.3</v>
      </c>
    </row>
    <row r="68" s="1" customFormat="1" ht="21" customHeight="1" spans="1:11">
      <c r="A68" s="18" t="s">
        <v>127</v>
      </c>
      <c r="B68" s="14"/>
      <c r="C68" s="14" t="s">
        <v>96</v>
      </c>
      <c r="D68" s="13">
        <v>14.3</v>
      </c>
      <c r="E68" s="13">
        <v>11</v>
      </c>
      <c r="F68" s="13"/>
      <c r="G68" s="13"/>
      <c r="H68" s="13"/>
      <c r="I68" s="13"/>
      <c r="J68" s="11"/>
      <c r="K68" s="14">
        <f t="shared" si="2"/>
        <v>25.3</v>
      </c>
    </row>
    <row r="69" s="1" customFormat="1" ht="21" customHeight="1" spans="1:11">
      <c r="A69" s="11" t="s">
        <v>128</v>
      </c>
      <c r="B69" s="11">
        <v>10.5</v>
      </c>
      <c r="C69" s="11" t="s">
        <v>129</v>
      </c>
      <c r="D69" s="13">
        <v>16.7</v>
      </c>
      <c r="E69" s="13">
        <v>10</v>
      </c>
      <c r="F69" s="13"/>
      <c r="G69" s="13"/>
      <c r="H69" s="13"/>
      <c r="I69" s="11"/>
      <c r="J69" s="11"/>
      <c r="K69" s="14">
        <f t="shared" si="2"/>
        <v>26.7</v>
      </c>
    </row>
    <row r="70" s="1" customFormat="1" ht="21" customHeight="1" spans="1:11">
      <c r="A70" s="11"/>
      <c r="B70" s="11"/>
      <c r="C70" s="11" t="s">
        <v>101</v>
      </c>
      <c r="D70" s="13">
        <v>16.7</v>
      </c>
      <c r="E70" s="13">
        <v>10</v>
      </c>
      <c r="F70" s="13"/>
      <c r="G70" s="13"/>
      <c r="H70" s="13"/>
      <c r="I70" s="11"/>
      <c r="J70" s="11"/>
      <c r="K70" s="14">
        <f t="shared" si="2"/>
        <v>26.7</v>
      </c>
    </row>
    <row r="71" s="1" customFormat="1" ht="21" customHeight="1" spans="1:11">
      <c r="A71" s="11" t="s">
        <v>130</v>
      </c>
      <c r="B71" s="11">
        <v>11.5</v>
      </c>
      <c r="C71" s="12" t="s">
        <v>103</v>
      </c>
      <c r="D71" s="13">
        <v>16.7</v>
      </c>
      <c r="E71" s="13">
        <v>10</v>
      </c>
      <c r="F71" s="13"/>
      <c r="G71" s="13"/>
      <c r="H71" s="13"/>
      <c r="I71" s="11"/>
      <c r="J71" s="11"/>
      <c r="K71" s="14">
        <f t="shared" si="2"/>
        <v>26.7</v>
      </c>
    </row>
    <row r="72" s="1" customFormat="1" ht="21" customHeight="1" spans="1:11">
      <c r="A72" s="11"/>
      <c r="B72" s="11"/>
      <c r="C72" s="12" t="s">
        <v>104</v>
      </c>
      <c r="D72" s="13">
        <v>16.7</v>
      </c>
      <c r="E72" s="13">
        <v>10</v>
      </c>
      <c r="F72" s="13"/>
      <c r="G72" s="13"/>
      <c r="H72" s="13"/>
      <c r="I72" s="11"/>
      <c r="J72" s="11"/>
      <c r="K72" s="14">
        <f t="shared" si="2"/>
        <v>26.7</v>
      </c>
    </row>
    <row r="73" s="1" customFormat="1" ht="21" customHeight="1" spans="1:11">
      <c r="A73" s="11"/>
      <c r="B73" s="11"/>
      <c r="C73" s="12" t="s">
        <v>131</v>
      </c>
      <c r="D73" s="13">
        <v>16.7</v>
      </c>
      <c r="E73" s="13">
        <v>5</v>
      </c>
      <c r="F73" s="13"/>
      <c r="G73" s="13"/>
      <c r="H73" s="13"/>
      <c r="I73" s="11"/>
      <c r="J73" s="11"/>
      <c r="K73" s="14">
        <f t="shared" si="2"/>
        <v>21.7</v>
      </c>
    </row>
    <row r="74" s="1" customFormat="1" ht="21" customHeight="1" spans="1:11">
      <c r="A74" s="11"/>
      <c r="B74" s="11"/>
      <c r="C74" s="12" t="s">
        <v>106</v>
      </c>
      <c r="D74" s="13">
        <v>0</v>
      </c>
      <c r="E74" s="13">
        <v>0</v>
      </c>
      <c r="F74" s="13"/>
      <c r="G74" s="13"/>
      <c r="H74" s="13"/>
      <c r="I74" s="11"/>
      <c r="J74" s="11"/>
      <c r="K74" s="14">
        <f t="shared" si="2"/>
        <v>0</v>
      </c>
    </row>
    <row r="75" s="1" customFormat="1" ht="21" customHeight="1" spans="1:11">
      <c r="A75" s="21" t="s">
        <v>107</v>
      </c>
      <c r="B75" s="21">
        <v>10.5</v>
      </c>
      <c r="C75" s="11" t="s">
        <v>108</v>
      </c>
      <c r="D75" s="13">
        <v>16.7</v>
      </c>
      <c r="E75" s="13">
        <v>5</v>
      </c>
      <c r="F75" s="13"/>
      <c r="G75" s="13"/>
      <c r="H75" s="13"/>
      <c r="I75" s="11"/>
      <c r="J75" s="11"/>
      <c r="K75" s="14">
        <f t="shared" si="2"/>
        <v>21.7</v>
      </c>
    </row>
    <row r="76" s="1" customFormat="1" ht="21" customHeight="1" spans="1:11">
      <c r="A76" s="21"/>
      <c r="B76" s="21"/>
      <c r="C76" s="11" t="s">
        <v>109</v>
      </c>
      <c r="D76" s="13">
        <v>16.7</v>
      </c>
      <c r="E76" s="13">
        <v>5</v>
      </c>
      <c r="F76" s="13"/>
      <c r="G76" s="13"/>
      <c r="H76" s="13"/>
      <c r="I76" s="11"/>
      <c r="J76" s="11"/>
      <c r="K76" s="14">
        <f t="shared" si="2"/>
        <v>21.7</v>
      </c>
    </row>
    <row r="77" s="1" customFormat="1" ht="21" customHeight="1" spans="1:11">
      <c r="A77" s="21"/>
      <c r="B77" s="21"/>
      <c r="C77" s="11" t="s">
        <v>132</v>
      </c>
      <c r="D77" s="13">
        <v>16.7</v>
      </c>
      <c r="E77" s="13">
        <v>0</v>
      </c>
      <c r="F77" s="13"/>
      <c r="G77" s="13"/>
      <c r="H77" s="13"/>
      <c r="I77" s="11"/>
      <c r="J77" s="11"/>
      <c r="K77" s="14">
        <f t="shared" si="2"/>
        <v>16.7</v>
      </c>
    </row>
    <row r="78" s="1" customFormat="1" ht="21" customHeight="1" spans="1:11">
      <c r="A78" s="21"/>
      <c r="B78" s="21"/>
      <c r="C78" s="11" t="s">
        <v>111</v>
      </c>
      <c r="D78" s="13">
        <v>0</v>
      </c>
      <c r="E78" s="13">
        <v>0</v>
      </c>
      <c r="F78" s="13"/>
      <c r="G78" s="13"/>
      <c r="H78" s="13"/>
      <c r="I78" s="11"/>
      <c r="J78" s="11"/>
      <c r="K78" s="14">
        <f t="shared" si="2"/>
        <v>0</v>
      </c>
    </row>
    <row r="79" s="1" customFormat="1" ht="21" customHeight="1" spans="1:11">
      <c r="A79" s="21"/>
      <c r="B79" s="21"/>
      <c r="C79" s="11" t="s">
        <v>112</v>
      </c>
      <c r="D79" s="13">
        <v>0</v>
      </c>
      <c r="E79" s="13">
        <v>0</v>
      </c>
      <c r="F79" s="13"/>
      <c r="G79" s="13"/>
      <c r="H79" s="13"/>
      <c r="I79" s="11"/>
      <c r="J79" s="30"/>
      <c r="K79" s="14">
        <f t="shared" si="2"/>
        <v>0</v>
      </c>
    </row>
    <row r="80" s="1" customFormat="1" ht="21" customHeight="1" spans="1:11">
      <c r="A80" s="21"/>
      <c r="B80" s="21"/>
      <c r="C80" s="11" t="s">
        <v>113</v>
      </c>
      <c r="D80" s="13">
        <v>16.7</v>
      </c>
      <c r="E80" s="13">
        <v>0</v>
      </c>
      <c r="F80" s="13"/>
      <c r="G80" s="13"/>
      <c r="H80" s="13"/>
      <c r="I80" s="11"/>
      <c r="J80" s="30"/>
      <c r="K80" s="14">
        <f t="shared" si="2"/>
        <v>16.7</v>
      </c>
    </row>
    <row r="81" s="1" customFormat="1" ht="21" customHeight="1" spans="1:11">
      <c r="A81" s="13" t="s">
        <v>133</v>
      </c>
      <c r="B81" s="13">
        <v>10.5</v>
      </c>
      <c r="C81" s="11" t="s">
        <v>115</v>
      </c>
      <c r="D81" s="11">
        <v>10.5</v>
      </c>
      <c r="E81" s="11">
        <v>10.5</v>
      </c>
      <c r="F81" s="11"/>
      <c r="G81" s="11"/>
      <c r="H81" s="11"/>
      <c r="I81" s="11"/>
      <c r="J81" s="30"/>
      <c r="K81" s="14">
        <f t="shared" si="2"/>
        <v>21</v>
      </c>
    </row>
    <row r="82" s="1" customFormat="1" ht="21" customHeight="1" spans="1:11">
      <c r="A82" s="11" t="s">
        <v>116</v>
      </c>
      <c r="B82" s="11">
        <v>12</v>
      </c>
      <c r="C82" s="11" t="s">
        <v>134</v>
      </c>
      <c r="D82" s="11">
        <v>12</v>
      </c>
      <c r="E82" s="11">
        <v>12</v>
      </c>
      <c r="F82" s="11"/>
      <c r="G82" s="11"/>
      <c r="H82" s="11"/>
      <c r="I82" s="11"/>
      <c r="J82" s="30"/>
      <c r="K82" s="14">
        <f t="shared" si="2"/>
        <v>24</v>
      </c>
    </row>
    <row r="83" s="1" customFormat="1" ht="21" customHeight="1" spans="1:11">
      <c r="A83" s="12"/>
      <c r="B83" s="81"/>
      <c r="C83" s="81"/>
      <c r="D83" s="81"/>
      <c r="E83" s="81"/>
      <c r="F83" s="74"/>
      <c r="G83" s="81"/>
      <c r="H83" s="81"/>
      <c r="I83" s="81"/>
      <c r="J83" s="81"/>
      <c r="K83" s="75">
        <f>SUM(K61:K82)</f>
        <v>475.8</v>
      </c>
    </row>
    <row r="87" s="1" customFormat="1" ht="21" customHeight="1" spans="1:11">
      <c r="A87" s="5" t="s">
        <v>158</v>
      </c>
      <c r="B87" s="6"/>
      <c r="C87" s="6"/>
      <c r="D87" s="6"/>
      <c r="E87" s="6"/>
      <c r="F87" s="6"/>
      <c r="G87" s="6"/>
      <c r="H87" s="6"/>
      <c r="I87" s="6"/>
      <c r="J87" s="6"/>
      <c r="K87" s="7"/>
    </row>
    <row r="88" s="1" customFormat="1" ht="21" customHeight="1" spans="1:11">
      <c r="A88" s="8" t="s">
        <v>164</v>
      </c>
      <c r="B88" s="9"/>
      <c r="C88" s="9"/>
      <c r="D88" s="10" t="s">
        <v>165</v>
      </c>
      <c r="E88" s="9"/>
      <c r="F88" s="9"/>
      <c r="G88" s="9"/>
      <c r="H88" s="9"/>
      <c r="I88" s="9"/>
      <c r="J88" s="9"/>
      <c r="K88" s="9"/>
    </row>
    <row r="89" s="1" customFormat="1" ht="21" customHeight="1" spans="1:11">
      <c r="A89" s="11" t="s">
        <v>83</v>
      </c>
      <c r="B89" s="11" t="s">
        <v>84</v>
      </c>
      <c r="C89" s="12" t="s">
        <v>120</v>
      </c>
      <c r="D89" s="13" t="s">
        <v>6</v>
      </c>
      <c r="E89" s="13" t="s">
        <v>6</v>
      </c>
      <c r="F89" s="11" t="s">
        <v>6</v>
      </c>
      <c r="G89" s="11" t="s">
        <v>6</v>
      </c>
      <c r="H89" s="11" t="s">
        <v>6</v>
      </c>
      <c r="I89" s="11" t="s">
        <v>6</v>
      </c>
      <c r="J89" s="11" t="s">
        <v>121</v>
      </c>
      <c r="K89" s="11" t="s">
        <v>87</v>
      </c>
    </row>
    <row r="90" s="1" customFormat="1" ht="21" customHeight="1" spans="1:11">
      <c r="A90" s="11" t="s">
        <v>122</v>
      </c>
      <c r="B90" s="11">
        <v>12</v>
      </c>
      <c r="C90" s="12" t="s">
        <v>123</v>
      </c>
      <c r="D90" s="13">
        <v>15</v>
      </c>
      <c r="E90" s="13">
        <v>10</v>
      </c>
      <c r="F90" s="13">
        <v>10</v>
      </c>
      <c r="G90" s="13"/>
      <c r="H90" s="13"/>
      <c r="I90" s="11"/>
      <c r="J90" s="11"/>
      <c r="K90" s="14">
        <f t="shared" ref="K90:K110" si="3">SUM(D90:J90)</f>
        <v>35</v>
      </c>
    </row>
    <row r="91" s="1" customFormat="1" ht="21" customHeight="1" spans="1:11">
      <c r="A91" s="18" t="s">
        <v>90</v>
      </c>
      <c r="B91" s="11">
        <v>11.5</v>
      </c>
      <c r="C91" s="12" t="s">
        <v>124</v>
      </c>
      <c r="D91" s="13">
        <v>22</v>
      </c>
      <c r="E91" s="13">
        <v>15</v>
      </c>
      <c r="F91" s="13">
        <v>15</v>
      </c>
      <c r="G91" s="13"/>
      <c r="H91" s="13"/>
      <c r="I91" s="11"/>
      <c r="J91" s="11"/>
      <c r="K91" s="14">
        <f t="shared" si="3"/>
        <v>52</v>
      </c>
    </row>
    <row r="92" s="1" customFormat="1" ht="21" customHeight="1" spans="1:11">
      <c r="A92" s="18"/>
      <c r="B92" s="11"/>
      <c r="C92" s="12" t="s">
        <v>92</v>
      </c>
      <c r="D92" s="13">
        <v>22</v>
      </c>
      <c r="E92" s="13">
        <v>15</v>
      </c>
      <c r="F92" s="13">
        <v>15</v>
      </c>
      <c r="G92" s="13"/>
      <c r="H92" s="13"/>
      <c r="I92" s="11"/>
      <c r="J92" s="11"/>
      <c r="K92" s="14">
        <f t="shared" si="3"/>
        <v>52</v>
      </c>
    </row>
    <row r="93" s="1" customFormat="1" ht="21" customHeight="1" spans="1:11">
      <c r="A93" s="19" t="s">
        <v>125</v>
      </c>
      <c r="B93" s="14">
        <v>11.5</v>
      </c>
      <c r="C93" s="20" t="s">
        <v>94</v>
      </c>
      <c r="D93" s="13">
        <v>14.3</v>
      </c>
      <c r="E93" s="13">
        <v>11</v>
      </c>
      <c r="F93" s="13">
        <v>10</v>
      </c>
      <c r="G93" s="13"/>
      <c r="H93" s="13"/>
      <c r="I93" s="11"/>
      <c r="J93" s="11"/>
      <c r="K93" s="14">
        <f t="shared" si="3"/>
        <v>35.3</v>
      </c>
    </row>
    <row r="94" s="1" customFormat="1" ht="21" customHeight="1" spans="1:11">
      <c r="A94" s="22"/>
      <c r="B94" s="14"/>
      <c r="C94" s="1" t="s">
        <v>98</v>
      </c>
      <c r="D94" s="13">
        <v>14.3</v>
      </c>
      <c r="E94" s="13">
        <v>11</v>
      </c>
      <c r="F94" s="13">
        <v>10</v>
      </c>
      <c r="G94" s="13"/>
      <c r="H94" s="13"/>
      <c r="I94" s="11"/>
      <c r="J94" s="11"/>
      <c r="K94" s="14">
        <f t="shared" si="3"/>
        <v>35.3</v>
      </c>
    </row>
    <row r="95" s="1" customFormat="1" ht="21" customHeight="1" spans="1:11">
      <c r="A95" s="25" t="s">
        <v>126</v>
      </c>
      <c r="B95" s="14"/>
      <c r="C95" s="20" t="s">
        <v>95</v>
      </c>
      <c r="D95" s="13">
        <v>14.3</v>
      </c>
      <c r="E95" s="13">
        <v>11</v>
      </c>
      <c r="F95" s="13">
        <v>10</v>
      </c>
      <c r="G95" s="13"/>
      <c r="H95" s="13"/>
      <c r="I95" s="11"/>
      <c r="J95" s="11"/>
      <c r="K95" s="14">
        <f t="shared" si="3"/>
        <v>35.3</v>
      </c>
    </row>
    <row r="96" s="1" customFormat="1" ht="21" customHeight="1" spans="1:11">
      <c r="A96" s="27"/>
      <c r="B96" s="14"/>
      <c r="C96" s="20" t="s">
        <v>97</v>
      </c>
      <c r="D96" s="13">
        <v>14.3</v>
      </c>
      <c r="E96" s="13">
        <v>11</v>
      </c>
      <c r="F96" s="13">
        <v>10</v>
      </c>
      <c r="G96" s="13"/>
      <c r="H96" s="13"/>
      <c r="I96" s="13"/>
      <c r="J96" s="11"/>
      <c r="K96" s="14">
        <f t="shared" si="3"/>
        <v>35.3</v>
      </c>
    </row>
    <row r="97" s="1" customFormat="1" ht="21" customHeight="1" spans="1:11">
      <c r="A97" s="18" t="s">
        <v>127</v>
      </c>
      <c r="B97" s="14"/>
      <c r="C97" s="14" t="s">
        <v>96</v>
      </c>
      <c r="D97" s="13">
        <v>14.3</v>
      </c>
      <c r="E97" s="13">
        <v>11</v>
      </c>
      <c r="F97" s="13">
        <v>5</v>
      </c>
      <c r="G97" s="13"/>
      <c r="H97" s="13"/>
      <c r="I97" s="13"/>
      <c r="J97" s="11"/>
      <c r="K97" s="14">
        <f t="shared" si="3"/>
        <v>30.3</v>
      </c>
    </row>
    <row r="98" s="1" customFormat="1" ht="21" customHeight="1" spans="1:11">
      <c r="A98" s="11" t="s">
        <v>128</v>
      </c>
      <c r="B98" s="11">
        <v>10.5</v>
      </c>
      <c r="C98" s="11" t="s">
        <v>129</v>
      </c>
      <c r="D98" s="13">
        <v>16.7</v>
      </c>
      <c r="E98" s="13">
        <v>10</v>
      </c>
      <c r="F98" s="13">
        <v>5</v>
      </c>
      <c r="G98" s="13"/>
      <c r="H98" s="13"/>
      <c r="I98" s="11"/>
      <c r="J98" s="11"/>
      <c r="K98" s="14">
        <f t="shared" si="3"/>
        <v>31.7</v>
      </c>
    </row>
    <row r="99" s="1" customFormat="1" ht="21" customHeight="1" spans="1:11">
      <c r="A99" s="11"/>
      <c r="B99" s="11"/>
      <c r="C99" s="11" t="s">
        <v>101</v>
      </c>
      <c r="D99" s="13">
        <v>16.7</v>
      </c>
      <c r="E99" s="13">
        <v>10</v>
      </c>
      <c r="F99" s="13">
        <v>5</v>
      </c>
      <c r="G99" s="13"/>
      <c r="H99" s="13"/>
      <c r="I99" s="11"/>
      <c r="J99" s="11"/>
      <c r="K99" s="14">
        <f t="shared" si="3"/>
        <v>31.7</v>
      </c>
    </row>
    <row r="100" s="1" customFormat="1" ht="21" customHeight="1" spans="1:11">
      <c r="A100" s="11" t="s">
        <v>130</v>
      </c>
      <c r="B100" s="11">
        <v>11.5</v>
      </c>
      <c r="C100" s="12" t="s">
        <v>103</v>
      </c>
      <c r="D100" s="13">
        <v>0</v>
      </c>
      <c r="E100" s="13">
        <v>0</v>
      </c>
      <c r="F100" s="13">
        <v>5</v>
      </c>
      <c r="G100" s="13"/>
      <c r="H100" s="13"/>
      <c r="I100" s="11"/>
      <c r="J100" s="11"/>
      <c r="K100" s="14">
        <f t="shared" si="3"/>
        <v>5</v>
      </c>
    </row>
    <row r="101" s="1" customFormat="1" ht="21" customHeight="1" spans="1:11">
      <c r="A101" s="11"/>
      <c r="B101" s="11"/>
      <c r="C101" s="12" t="s">
        <v>104</v>
      </c>
      <c r="D101" s="13">
        <v>16.7</v>
      </c>
      <c r="E101" s="13">
        <v>10</v>
      </c>
      <c r="F101" s="13">
        <v>5</v>
      </c>
      <c r="G101" s="13"/>
      <c r="H101" s="13"/>
      <c r="I101" s="11"/>
      <c r="J101" s="11"/>
      <c r="K101" s="14">
        <f t="shared" si="3"/>
        <v>31.7</v>
      </c>
    </row>
    <row r="102" s="1" customFormat="1" ht="21" customHeight="1" spans="1:11">
      <c r="A102" s="11"/>
      <c r="B102" s="11"/>
      <c r="C102" s="12" t="s">
        <v>131</v>
      </c>
      <c r="D102" s="13">
        <v>16.7</v>
      </c>
      <c r="E102" s="13">
        <v>5</v>
      </c>
      <c r="F102" s="13">
        <v>5</v>
      </c>
      <c r="G102" s="13"/>
      <c r="H102" s="13"/>
      <c r="I102" s="11"/>
      <c r="J102" s="11"/>
      <c r="K102" s="14">
        <f t="shared" si="3"/>
        <v>26.7</v>
      </c>
    </row>
    <row r="103" s="1" customFormat="1" ht="21" customHeight="1" spans="1:11">
      <c r="A103" s="11"/>
      <c r="B103" s="11"/>
      <c r="C103" s="12" t="s">
        <v>106</v>
      </c>
      <c r="D103" s="13">
        <v>0</v>
      </c>
      <c r="E103" s="13">
        <v>0</v>
      </c>
      <c r="F103" s="13">
        <v>5</v>
      </c>
      <c r="G103" s="13"/>
      <c r="H103" s="13"/>
      <c r="I103" s="11"/>
      <c r="J103" s="11"/>
      <c r="K103" s="14">
        <f t="shared" si="3"/>
        <v>5</v>
      </c>
    </row>
    <row r="104" s="1" customFormat="1" ht="21" customHeight="1" spans="1:11">
      <c r="A104" s="21" t="s">
        <v>107</v>
      </c>
      <c r="B104" s="21">
        <v>10.5</v>
      </c>
      <c r="C104" s="11" t="s">
        <v>108</v>
      </c>
      <c r="D104" s="13">
        <v>16.7</v>
      </c>
      <c r="E104" s="13">
        <v>5</v>
      </c>
      <c r="F104" s="13">
        <v>5</v>
      </c>
      <c r="G104" s="13"/>
      <c r="H104" s="13"/>
      <c r="I104" s="11"/>
      <c r="J104" s="11"/>
      <c r="K104" s="14">
        <f t="shared" si="3"/>
        <v>26.7</v>
      </c>
    </row>
    <row r="105" s="1" customFormat="1" ht="21" customHeight="1" spans="1:11">
      <c r="A105" s="21"/>
      <c r="B105" s="21"/>
      <c r="C105" s="11" t="s">
        <v>132</v>
      </c>
      <c r="D105" s="13">
        <v>16.7</v>
      </c>
      <c r="E105" s="13">
        <v>5</v>
      </c>
      <c r="F105" s="13">
        <v>5</v>
      </c>
      <c r="G105" s="13"/>
      <c r="H105" s="13"/>
      <c r="I105" s="11"/>
      <c r="J105" s="11"/>
      <c r="K105" s="14">
        <f t="shared" si="3"/>
        <v>26.7</v>
      </c>
    </row>
    <row r="106" s="1" customFormat="1" ht="21" customHeight="1" spans="1:11">
      <c r="A106" s="21"/>
      <c r="B106" s="21"/>
      <c r="C106" s="11" t="s">
        <v>111</v>
      </c>
      <c r="D106" s="13">
        <v>16.7</v>
      </c>
      <c r="E106" s="13">
        <v>5</v>
      </c>
      <c r="F106" s="13">
        <v>5</v>
      </c>
      <c r="G106" s="13"/>
      <c r="H106" s="13"/>
      <c r="I106" s="11"/>
      <c r="J106" s="11"/>
      <c r="K106" s="14">
        <f t="shared" si="3"/>
        <v>26.7</v>
      </c>
    </row>
    <row r="107" s="1" customFormat="1" ht="21" customHeight="1" spans="1:11">
      <c r="A107" s="21"/>
      <c r="B107" s="21"/>
      <c r="C107" s="11" t="s">
        <v>112</v>
      </c>
      <c r="D107" s="13">
        <v>0</v>
      </c>
      <c r="E107" s="13">
        <v>5</v>
      </c>
      <c r="F107" s="13">
        <v>5</v>
      </c>
      <c r="G107" s="13"/>
      <c r="H107" s="13"/>
      <c r="I107" s="11"/>
      <c r="J107" s="30"/>
      <c r="K107" s="14">
        <f t="shared" si="3"/>
        <v>10</v>
      </c>
    </row>
    <row r="108" s="1" customFormat="1" ht="21" customHeight="1" spans="1:11">
      <c r="A108" s="21"/>
      <c r="B108" s="21"/>
      <c r="C108" s="11" t="s">
        <v>113</v>
      </c>
      <c r="D108" s="13">
        <v>16.7</v>
      </c>
      <c r="E108" s="13">
        <v>5</v>
      </c>
      <c r="F108" s="13">
        <v>5</v>
      </c>
      <c r="G108" s="13"/>
      <c r="H108" s="13"/>
      <c r="I108" s="11"/>
      <c r="J108" s="30"/>
      <c r="K108" s="14">
        <f t="shared" si="3"/>
        <v>26.7</v>
      </c>
    </row>
    <row r="109" s="1" customFormat="1" ht="21" customHeight="1" spans="1:11">
      <c r="A109" s="13" t="s">
        <v>133</v>
      </c>
      <c r="B109" s="13">
        <v>10.5</v>
      </c>
      <c r="C109" s="11" t="s">
        <v>115</v>
      </c>
      <c r="D109" s="11">
        <v>10.5</v>
      </c>
      <c r="E109" s="11">
        <v>10.5</v>
      </c>
      <c r="F109" s="13">
        <v>5</v>
      </c>
      <c r="G109" s="11"/>
      <c r="H109" s="11"/>
      <c r="I109" s="11"/>
      <c r="J109" s="30"/>
      <c r="K109" s="14">
        <f t="shared" si="3"/>
        <v>26</v>
      </c>
    </row>
    <row r="110" s="1" customFormat="1" ht="21" customHeight="1" spans="1:11">
      <c r="A110" s="11" t="s">
        <v>116</v>
      </c>
      <c r="B110" s="11">
        <v>12</v>
      </c>
      <c r="C110" s="11" t="s">
        <v>134</v>
      </c>
      <c r="D110" s="11">
        <v>12</v>
      </c>
      <c r="E110" s="11">
        <v>12</v>
      </c>
      <c r="F110" s="11">
        <v>0</v>
      </c>
      <c r="G110" s="11"/>
      <c r="H110" s="11"/>
      <c r="I110" s="11"/>
      <c r="J110" s="30"/>
      <c r="K110" s="14">
        <f t="shared" si="3"/>
        <v>24</v>
      </c>
    </row>
    <row r="111" s="1" customFormat="1" ht="21" customHeight="1" spans="1:11">
      <c r="A111" s="12"/>
      <c r="B111" s="81"/>
      <c r="C111" s="81"/>
      <c r="D111" s="81"/>
      <c r="E111" s="81"/>
      <c r="F111" s="74"/>
      <c r="G111" s="81"/>
      <c r="H111" s="81"/>
      <c r="I111" s="81"/>
      <c r="J111" s="81"/>
      <c r="K111" s="75">
        <f>SUM(K90:K110)</f>
        <v>609.1</v>
      </c>
    </row>
    <row r="115" ht="26" customHeight="1" spans="1:11">
      <c r="A115" s="76" t="s">
        <v>158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ht="26" customHeight="1" spans="1:11">
      <c r="A116" s="113" t="s">
        <v>151</v>
      </c>
      <c r="B116" s="11"/>
      <c r="C116" s="11"/>
      <c r="D116" s="10" t="s">
        <v>166</v>
      </c>
      <c r="E116" s="9"/>
      <c r="F116" s="9"/>
      <c r="G116" s="9"/>
      <c r="H116" s="9"/>
      <c r="I116" s="9"/>
      <c r="J116" s="9"/>
      <c r="K116" s="9"/>
    </row>
    <row r="117" ht="26" customHeight="1" spans="1:11">
      <c r="A117" s="11" t="s">
        <v>83</v>
      </c>
      <c r="B117" s="11" t="s">
        <v>84</v>
      </c>
      <c r="C117" s="12" t="s">
        <v>120</v>
      </c>
      <c r="D117" s="13" t="s">
        <v>6</v>
      </c>
      <c r="E117" s="13" t="s">
        <v>6</v>
      </c>
      <c r="F117" s="11" t="s">
        <v>6</v>
      </c>
      <c r="G117" s="11" t="s">
        <v>6</v>
      </c>
      <c r="H117" s="11" t="s">
        <v>6</v>
      </c>
      <c r="I117" s="11" t="s">
        <v>6</v>
      </c>
      <c r="J117" s="11" t="s">
        <v>121</v>
      </c>
      <c r="K117" s="11" t="s">
        <v>87</v>
      </c>
    </row>
    <row r="118" ht="26" customHeight="1" spans="1:11">
      <c r="A118" s="11" t="s">
        <v>122</v>
      </c>
      <c r="B118" s="11">
        <v>12</v>
      </c>
      <c r="C118" s="12" t="s">
        <v>123</v>
      </c>
      <c r="D118" s="13">
        <v>20</v>
      </c>
      <c r="E118" s="13">
        <v>24</v>
      </c>
      <c r="F118" s="13">
        <v>20</v>
      </c>
      <c r="G118" s="13"/>
      <c r="H118" s="13"/>
      <c r="I118" s="13"/>
      <c r="J118" s="13"/>
      <c r="K118" s="11">
        <f t="shared" ref="K118:K138" si="4">SUM(D118:J118)</f>
        <v>64</v>
      </c>
    </row>
    <row r="119" ht="26" customHeight="1" spans="1:11">
      <c r="A119" s="18" t="s">
        <v>90</v>
      </c>
      <c r="B119" s="11">
        <v>11.5</v>
      </c>
      <c r="C119" s="12" t="s">
        <v>124</v>
      </c>
      <c r="D119" s="13">
        <v>20</v>
      </c>
      <c r="E119" s="13">
        <v>35</v>
      </c>
      <c r="F119" s="13">
        <v>20</v>
      </c>
      <c r="G119" s="13"/>
      <c r="H119" s="13"/>
      <c r="I119" s="13"/>
      <c r="J119" s="13"/>
      <c r="K119" s="11">
        <f t="shared" si="4"/>
        <v>75</v>
      </c>
    </row>
    <row r="120" ht="26" customHeight="1" spans="1:11">
      <c r="A120" s="18"/>
      <c r="B120" s="11"/>
      <c r="C120" s="12" t="s">
        <v>92</v>
      </c>
      <c r="D120" s="13">
        <v>20</v>
      </c>
      <c r="E120" s="13">
        <v>35</v>
      </c>
      <c r="F120" s="13">
        <v>20</v>
      </c>
      <c r="G120" s="13"/>
      <c r="H120" s="13"/>
      <c r="I120" s="13"/>
      <c r="J120" s="13"/>
      <c r="K120" s="11">
        <f t="shared" si="4"/>
        <v>75</v>
      </c>
    </row>
    <row r="121" ht="26" customHeight="1" spans="1:11">
      <c r="A121" s="19" t="s">
        <v>125</v>
      </c>
      <c r="B121" s="14">
        <v>11.5</v>
      </c>
      <c r="C121" s="20" t="s">
        <v>94</v>
      </c>
      <c r="D121" s="13">
        <v>20</v>
      </c>
      <c r="E121" s="11">
        <v>20</v>
      </c>
      <c r="F121" s="13">
        <v>20</v>
      </c>
      <c r="G121" s="11"/>
      <c r="H121" s="11"/>
      <c r="I121" s="11"/>
      <c r="J121" s="13"/>
      <c r="K121" s="11">
        <f t="shared" si="4"/>
        <v>60</v>
      </c>
    </row>
    <row r="122" ht="26" customHeight="1" spans="1:11">
      <c r="A122" s="22"/>
      <c r="B122" s="14"/>
      <c r="C122" s="1" t="s">
        <v>98</v>
      </c>
      <c r="D122" s="13">
        <v>0</v>
      </c>
      <c r="E122" s="11">
        <v>23</v>
      </c>
      <c r="F122" s="13">
        <v>0</v>
      </c>
      <c r="G122" s="13"/>
      <c r="H122" s="13"/>
      <c r="I122" s="13"/>
      <c r="J122" s="13"/>
      <c r="K122" s="11">
        <f t="shared" si="4"/>
        <v>23</v>
      </c>
    </row>
    <row r="123" ht="26" customHeight="1" spans="1:11">
      <c r="A123" s="25" t="s">
        <v>126</v>
      </c>
      <c r="B123" s="14"/>
      <c r="C123" s="20" t="s">
        <v>95</v>
      </c>
      <c r="D123" s="13">
        <v>20</v>
      </c>
      <c r="E123" s="11">
        <v>20</v>
      </c>
      <c r="F123" s="13">
        <v>20</v>
      </c>
      <c r="G123" s="11"/>
      <c r="H123" s="11"/>
      <c r="I123" s="11"/>
      <c r="J123" s="13"/>
      <c r="K123" s="11">
        <f t="shared" si="4"/>
        <v>60</v>
      </c>
    </row>
    <row r="124" ht="26" customHeight="1" spans="1:11">
      <c r="A124" s="27"/>
      <c r="B124" s="14"/>
      <c r="C124" s="20" t="s">
        <v>97</v>
      </c>
      <c r="D124" s="13">
        <v>0</v>
      </c>
      <c r="E124" s="11">
        <v>20</v>
      </c>
      <c r="F124" s="13">
        <v>0</v>
      </c>
      <c r="G124" s="11"/>
      <c r="H124" s="11"/>
      <c r="I124" s="11"/>
      <c r="J124" s="13"/>
      <c r="K124" s="11">
        <f t="shared" si="4"/>
        <v>20</v>
      </c>
    </row>
    <row r="125" ht="26" customHeight="1" spans="1:11">
      <c r="A125" s="18" t="s">
        <v>127</v>
      </c>
      <c r="B125" s="14"/>
      <c r="C125" s="14" t="s">
        <v>96</v>
      </c>
      <c r="D125" s="13">
        <v>0</v>
      </c>
      <c r="E125" s="11">
        <v>23</v>
      </c>
      <c r="F125" s="13">
        <v>0</v>
      </c>
      <c r="G125" s="13"/>
      <c r="H125" s="13"/>
      <c r="I125" s="13"/>
      <c r="J125" s="13"/>
      <c r="K125" s="11">
        <f t="shared" si="4"/>
        <v>23</v>
      </c>
    </row>
    <row r="126" ht="26" customHeight="1" spans="1:11">
      <c r="A126" s="11" t="s">
        <v>128</v>
      </c>
      <c r="B126" s="11">
        <v>10.5</v>
      </c>
      <c r="C126" s="11" t="s">
        <v>129</v>
      </c>
      <c r="D126" s="13">
        <v>0</v>
      </c>
      <c r="E126" s="11">
        <v>20</v>
      </c>
      <c r="F126" s="13">
        <v>0</v>
      </c>
      <c r="G126" s="11"/>
      <c r="H126" s="11"/>
      <c r="I126" s="11"/>
      <c r="J126" s="13"/>
      <c r="K126" s="11">
        <f t="shared" si="4"/>
        <v>20</v>
      </c>
    </row>
    <row r="127" ht="26" customHeight="1" spans="1:11">
      <c r="A127" s="11"/>
      <c r="B127" s="11"/>
      <c r="C127" s="11" t="s">
        <v>101</v>
      </c>
      <c r="D127" s="13">
        <v>0</v>
      </c>
      <c r="E127" s="11">
        <v>20</v>
      </c>
      <c r="F127" s="13">
        <v>0</v>
      </c>
      <c r="G127" s="11"/>
      <c r="H127" s="11"/>
      <c r="I127" s="11"/>
      <c r="J127" s="13"/>
      <c r="K127" s="11">
        <f t="shared" si="4"/>
        <v>20</v>
      </c>
    </row>
    <row r="128" ht="26" customHeight="1" spans="1:11">
      <c r="A128" s="11" t="s">
        <v>130</v>
      </c>
      <c r="B128" s="11">
        <v>11.5</v>
      </c>
      <c r="C128" s="12" t="s">
        <v>103</v>
      </c>
      <c r="D128" s="13">
        <v>10</v>
      </c>
      <c r="E128" s="13">
        <v>58</v>
      </c>
      <c r="F128" s="13">
        <v>10</v>
      </c>
      <c r="G128" s="13"/>
      <c r="H128" s="13"/>
      <c r="I128" s="13"/>
      <c r="J128" s="13"/>
      <c r="K128" s="11">
        <f t="shared" si="4"/>
        <v>78</v>
      </c>
    </row>
    <row r="129" ht="26" customHeight="1" spans="1:11">
      <c r="A129" s="11"/>
      <c r="B129" s="11"/>
      <c r="C129" s="12" t="s">
        <v>104</v>
      </c>
      <c r="D129" s="13">
        <v>10</v>
      </c>
      <c r="E129" s="13">
        <v>20</v>
      </c>
      <c r="F129" s="13">
        <v>10</v>
      </c>
      <c r="G129" s="13"/>
      <c r="H129" s="13"/>
      <c r="I129" s="13"/>
      <c r="J129" s="13"/>
      <c r="K129" s="11">
        <f t="shared" si="4"/>
        <v>40</v>
      </c>
    </row>
    <row r="130" ht="26" customHeight="1" spans="1:11">
      <c r="A130" s="11"/>
      <c r="B130" s="11"/>
      <c r="C130" s="12" t="s">
        <v>131</v>
      </c>
      <c r="D130" s="13">
        <v>0</v>
      </c>
      <c r="E130" s="13">
        <v>44</v>
      </c>
      <c r="F130" s="13">
        <v>0</v>
      </c>
      <c r="G130" s="13"/>
      <c r="H130" s="13"/>
      <c r="I130" s="13"/>
      <c r="J130" s="13"/>
      <c r="K130" s="11">
        <f t="shared" si="4"/>
        <v>44</v>
      </c>
    </row>
    <row r="131" ht="26" customHeight="1" spans="1:11">
      <c r="A131" s="11"/>
      <c r="B131" s="11"/>
      <c r="C131" s="12" t="s">
        <v>106</v>
      </c>
      <c r="D131" s="13">
        <v>0</v>
      </c>
      <c r="E131" s="13">
        <v>20</v>
      </c>
      <c r="F131" s="13">
        <v>0</v>
      </c>
      <c r="G131" s="13"/>
      <c r="H131" s="13"/>
      <c r="I131" s="13"/>
      <c r="J131" s="13"/>
      <c r="K131" s="11">
        <f t="shared" si="4"/>
        <v>20</v>
      </c>
    </row>
    <row r="132" ht="26" customHeight="1" spans="1:11">
      <c r="A132" s="21" t="s">
        <v>107</v>
      </c>
      <c r="B132" s="21">
        <v>10.5</v>
      </c>
      <c r="C132" s="11" t="s">
        <v>108</v>
      </c>
      <c r="D132" s="13">
        <v>20</v>
      </c>
      <c r="E132" s="13">
        <v>24</v>
      </c>
      <c r="F132" s="13">
        <v>20</v>
      </c>
      <c r="G132" s="13"/>
      <c r="H132" s="13"/>
      <c r="I132" s="13"/>
      <c r="J132" s="13"/>
      <c r="K132" s="11">
        <f t="shared" si="4"/>
        <v>64</v>
      </c>
    </row>
    <row r="133" ht="26" customHeight="1" spans="1:11">
      <c r="A133" s="21"/>
      <c r="B133" s="21"/>
      <c r="C133" s="11" t="s">
        <v>132</v>
      </c>
      <c r="D133" s="13">
        <v>0</v>
      </c>
      <c r="E133" s="13">
        <v>20</v>
      </c>
      <c r="F133" s="13">
        <v>0</v>
      </c>
      <c r="G133" s="13"/>
      <c r="H133" s="13"/>
      <c r="I133" s="13"/>
      <c r="J133" s="13"/>
      <c r="K133" s="11">
        <f t="shared" si="4"/>
        <v>20</v>
      </c>
    </row>
    <row r="134" ht="26" customHeight="1" spans="1:11">
      <c r="A134" s="21"/>
      <c r="B134" s="21"/>
      <c r="C134" s="11" t="s">
        <v>153</v>
      </c>
      <c r="D134" s="13">
        <v>0</v>
      </c>
      <c r="E134" s="13">
        <v>10</v>
      </c>
      <c r="F134" s="13">
        <v>0</v>
      </c>
      <c r="G134" s="13"/>
      <c r="H134" s="13"/>
      <c r="I134" s="13"/>
      <c r="J134" s="13"/>
      <c r="K134" s="11">
        <f t="shared" si="4"/>
        <v>10</v>
      </c>
    </row>
    <row r="135" ht="26" customHeight="1" spans="1:11">
      <c r="A135" s="21"/>
      <c r="B135" s="21"/>
      <c r="C135" s="11" t="s">
        <v>112</v>
      </c>
      <c r="D135" s="13">
        <v>10</v>
      </c>
      <c r="E135" s="13">
        <v>16</v>
      </c>
      <c r="F135" s="13">
        <v>10</v>
      </c>
      <c r="G135" s="13"/>
      <c r="H135" s="13"/>
      <c r="I135" s="13"/>
      <c r="J135" s="13"/>
      <c r="K135" s="11">
        <f t="shared" si="4"/>
        <v>36</v>
      </c>
    </row>
    <row r="136" ht="26" customHeight="1" spans="1:11">
      <c r="A136" s="21"/>
      <c r="B136" s="21"/>
      <c r="C136" s="11" t="s">
        <v>113</v>
      </c>
      <c r="D136" s="13">
        <v>10</v>
      </c>
      <c r="E136" s="13">
        <v>16</v>
      </c>
      <c r="F136" s="13">
        <v>10</v>
      </c>
      <c r="G136" s="13"/>
      <c r="H136" s="13"/>
      <c r="I136" s="13"/>
      <c r="J136" s="13"/>
      <c r="K136" s="11">
        <f t="shared" si="4"/>
        <v>36</v>
      </c>
    </row>
    <row r="137" ht="26" customHeight="1" spans="1:11">
      <c r="A137" s="13" t="s">
        <v>133</v>
      </c>
      <c r="B137" s="13">
        <v>10.5</v>
      </c>
      <c r="C137" s="11" t="s">
        <v>115</v>
      </c>
      <c r="D137" s="11">
        <v>10.5</v>
      </c>
      <c r="E137" s="11">
        <v>10.5</v>
      </c>
      <c r="F137" s="11">
        <v>10.5</v>
      </c>
      <c r="G137" s="13"/>
      <c r="H137" s="13"/>
      <c r="I137" s="13"/>
      <c r="J137" s="11"/>
      <c r="K137" s="11">
        <f t="shared" si="4"/>
        <v>31.5</v>
      </c>
    </row>
    <row r="138" ht="26" customHeight="1" spans="1:11">
      <c r="A138" s="11" t="s">
        <v>116</v>
      </c>
      <c r="B138" s="11">
        <v>12</v>
      </c>
      <c r="C138" s="11" t="s">
        <v>134</v>
      </c>
      <c r="D138" s="11">
        <v>12</v>
      </c>
      <c r="E138" s="11">
        <v>12</v>
      </c>
      <c r="F138" s="11">
        <v>12</v>
      </c>
      <c r="G138" s="11"/>
      <c r="H138" s="11"/>
      <c r="I138" s="11"/>
      <c r="J138" s="11"/>
      <c r="K138" s="11">
        <f t="shared" si="4"/>
        <v>36</v>
      </c>
    </row>
    <row r="139" ht="26" customHeight="1" spans="1:11">
      <c r="A139" s="12"/>
      <c r="B139" s="81"/>
      <c r="C139" s="81"/>
      <c r="D139" s="81"/>
      <c r="E139" s="81"/>
      <c r="F139" s="81"/>
      <c r="G139" s="81"/>
      <c r="H139" s="81"/>
      <c r="I139" s="81"/>
      <c r="J139" s="30"/>
      <c r="K139" s="11">
        <f>SUM(K118:K138)</f>
        <v>855.5</v>
      </c>
    </row>
    <row r="143" s="1" customFormat="1" ht="21" customHeight="1" spans="1:11">
      <c r="A143" s="5" t="s">
        <v>158</v>
      </c>
      <c r="B143" s="6"/>
      <c r="C143" s="6"/>
      <c r="D143" s="6"/>
      <c r="E143" s="6"/>
      <c r="F143" s="6"/>
      <c r="G143" s="6"/>
      <c r="H143" s="6"/>
      <c r="I143" s="6"/>
      <c r="J143" s="6"/>
      <c r="K143" s="7"/>
    </row>
    <row r="144" s="1" customFormat="1" ht="21" customHeight="1" spans="1:11">
      <c r="A144" s="8" t="s">
        <v>145</v>
      </c>
      <c r="B144" s="9"/>
      <c r="C144" s="9"/>
      <c r="D144" s="10" t="s">
        <v>167</v>
      </c>
      <c r="E144" s="9"/>
      <c r="F144" s="9"/>
      <c r="G144" s="9"/>
      <c r="H144" s="9"/>
      <c r="I144" s="9"/>
      <c r="J144" s="9"/>
      <c r="K144" s="9"/>
    </row>
    <row r="145" s="1" customFormat="1" ht="21" customHeight="1" spans="1:11">
      <c r="A145" s="11" t="s">
        <v>83</v>
      </c>
      <c r="B145" s="11" t="s">
        <v>84</v>
      </c>
      <c r="C145" s="12" t="s">
        <v>120</v>
      </c>
      <c r="D145" s="13" t="s">
        <v>6</v>
      </c>
      <c r="E145" s="13" t="s">
        <v>6</v>
      </c>
      <c r="F145" s="13" t="s">
        <v>6</v>
      </c>
      <c r="G145" s="11" t="s">
        <v>6</v>
      </c>
      <c r="H145" s="11" t="s">
        <v>6</v>
      </c>
      <c r="I145" s="11" t="s">
        <v>6</v>
      </c>
      <c r="J145" s="11" t="s">
        <v>121</v>
      </c>
      <c r="K145" s="11" t="s">
        <v>87</v>
      </c>
    </row>
    <row r="146" s="1" customFormat="1" ht="21" customHeight="1" spans="1:11">
      <c r="A146" s="11" t="s">
        <v>122</v>
      </c>
      <c r="B146" s="11">
        <v>12</v>
      </c>
      <c r="C146" s="12" t="s">
        <v>123</v>
      </c>
      <c r="D146" s="15">
        <v>12</v>
      </c>
      <c r="E146" s="15">
        <v>10</v>
      </c>
      <c r="F146" s="16"/>
      <c r="G146" s="17"/>
      <c r="H146" s="13"/>
      <c r="I146" s="11"/>
      <c r="J146" s="11"/>
      <c r="K146" s="14">
        <f t="shared" ref="K146:K166" si="5">SUM(D146:J146)</f>
        <v>22</v>
      </c>
    </row>
    <row r="147" s="1" customFormat="1" ht="21" customHeight="1" spans="1:11">
      <c r="A147" s="18" t="s">
        <v>90</v>
      </c>
      <c r="B147" s="11">
        <v>11.5</v>
      </c>
      <c r="C147" s="12" t="s">
        <v>124</v>
      </c>
      <c r="D147" s="15">
        <v>17.5</v>
      </c>
      <c r="E147" s="15">
        <v>0</v>
      </c>
      <c r="F147" s="16"/>
      <c r="G147" s="17"/>
      <c r="H147" s="13"/>
      <c r="I147" s="11"/>
      <c r="J147" s="11"/>
      <c r="K147" s="14">
        <f t="shared" si="5"/>
        <v>17.5</v>
      </c>
    </row>
    <row r="148" s="1" customFormat="1" ht="21" customHeight="1" spans="1:11">
      <c r="A148" s="18"/>
      <c r="B148" s="11"/>
      <c r="C148" s="12" t="s">
        <v>92</v>
      </c>
      <c r="D148" s="15">
        <v>17.5</v>
      </c>
      <c r="E148" s="15">
        <v>10</v>
      </c>
      <c r="F148" s="16"/>
      <c r="G148" s="17"/>
      <c r="H148" s="13"/>
      <c r="I148" s="11"/>
      <c r="J148" s="11"/>
      <c r="K148" s="14">
        <f t="shared" si="5"/>
        <v>27.5</v>
      </c>
    </row>
    <row r="149" s="1" customFormat="1" ht="21" customHeight="1" spans="1:11">
      <c r="A149" s="19" t="s">
        <v>125</v>
      </c>
      <c r="B149" s="14">
        <v>11.5</v>
      </c>
      <c r="C149" s="20" t="s">
        <v>94</v>
      </c>
      <c r="D149" s="15">
        <v>15</v>
      </c>
      <c r="E149" s="15">
        <v>0</v>
      </c>
      <c r="F149" s="21"/>
      <c r="G149" s="13"/>
      <c r="H149" s="13"/>
      <c r="I149" s="11"/>
      <c r="J149" s="11"/>
      <c r="K149" s="14">
        <f t="shared" si="5"/>
        <v>15</v>
      </c>
    </row>
    <row r="150" s="1" customFormat="1" ht="21" customHeight="1" spans="1:11">
      <c r="A150" s="22"/>
      <c r="B150" s="14"/>
      <c r="C150" s="1" t="s">
        <v>98</v>
      </c>
      <c r="D150" s="23">
        <v>0</v>
      </c>
      <c r="E150" s="24">
        <v>10</v>
      </c>
      <c r="F150" s="13"/>
      <c r="G150" s="13"/>
      <c r="H150" s="13"/>
      <c r="I150" s="11"/>
      <c r="J150" s="11"/>
      <c r="K150" s="14">
        <f t="shared" si="5"/>
        <v>10</v>
      </c>
    </row>
    <row r="151" s="1" customFormat="1" ht="21" customHeight="1" spans="1:11">
      <c r="A151" s="25" t="s">
        <v>126</v>
      </c>
      <c r="B151" s="14"/>
      <c r="C151" s="20" t="s">
        <v>95</v>
      </c>
      <c r="D151" s="26">
        <v>11.5</v>
      </c>
      <c r="E151" s="15">
        <v>0</v>
      </c>
      <c r="F151" s="13"/>
      <c r="G151" s="13"/>
      <c r="H151" s="13"/>
      <c r="I151" s="11"/>
      <c r="J151" s="11"/>
      <c r="K151" s="14">
        <f t="shared" si="5"/>
        <v>11.5</v>
      </c>
    </row>
    <row r="152" s="1" customFormat="1" ht="21" customHeight="1" spans="1:11">
      <c r="A152" s="27"/>
      <c r="B152" s="14"/>
      <c r="C152" s="20" t="s">
        <v>97</v>
      </c>
      <c r="D152" s="28">
        <v>0</v>
      </c>
      <c r="E152" s="29">
        <v>10</v>
      </c>
      <c r="F152" s="13"/>
      <c r="G152" s="13"/>
      <c r="H152" s="13"/>
      <c r="I152" s="13"/>
      <c r="J152" s="11"/>
      <c r="K152" s="14">
        <f t="shared" si="5"/>
        <v>10</v>
      </c>
    </row>
    <row r="153" s="1" customFormat="1" ht="21" customHeight="1" spans="1:11">
      <c r="A153" s="18" t="s">
        <v>127</v>
      </c>
      <c r="B153" s="14"/>
      <c r="C153" s="14" t="s">
        <v>96</v>
      </c>
      <c r="D153" s="28">
        <v>11.5</v>
      </c>
      <c r="E153" s="29">
        <v>5</v>
      </c>
      <c r="F153" s="13"/>
      <c r="G153" s="13"/>
      <c r="H153" s="13"/>
      <c r="I153" s="13"/>
      <c r="J153" s="11"/>
      <c r="K153" s="14">
        <f t="shared" si="5"/>
        <v>16.5</v>
      </c>
    </row>
    <row r="154" s="1" customFormat="1" ht="21" customHeight="1" spans="1:11">
      <c r="A154" s="11" t="s">
        <v>128</v>
      </c>
      <c r="B154" s="11">
        <v>10.5</v>
      </c>
      <c r="C154" s="11" t="s">
        <v>129</v>
      </c>
      <c r="D154" s="28">
        <v>0</v>
      </c>
      <c r="E154" s="29">
        <v>10</v>
      </c>
      <c r="F154" s="13"/>
      <c r="G154" s="13"/>
      <c r="H154" s="13"/>
      <c r="I154" s="11"/>
      <c r="J154" s="11"/>
      <c r="K154" s="14">
        <f t="shared" si="5"/>
        <v>10</v>
      </c>
    </row>
    <row r="155" s="1" customFormat="1" ht="21" customHeight="1" spans="1:11">
      <c r="A155" s="11"/>
      <c r="B155" s="11"/>
      <c r="C155" s="11" t="s">
        <v>101</v>
      </c>
      <c r="D155" s="28">
        <v>0</v>
      </c>
      <c r="E155" s="29">
        <v>5</v>
      </c>
      <c r="F155" s="13"/>
      <c r="G155" s="13"/>
      <c r="H155" s="13"/>
      <c r="I155" s="11"/>
      <c r="J155" s="11"/>
      <c r="K155" s="14">
        <f t="shared" si="5"/>
        <v>5</v>
      </c>
    </row>
    <row r="156" s="1" customFormat="1" ht="21" customHeight="1" spans="1:11">
      <c r="A156" s="11" t="s">
        <v>130</v>
      </c>
      <c r="B156" s="11">
        <v>11.5</v>
      </c>
      <c r="C156" s="12" t="s">
        <v>103</v>
      </c>
      <c r="D156" s="15">
        <v>20</v>
      </c>
      <c r="E156" s="29">
        <v>10</v>
      </c>
      <c r="F156" s="13"/>
      <c r="G156" s="13"/>
      <c r="H156" s="13"/>
      <c r="I156" s="11"/>
      <c r="J156" s="11"/>
      <c r="K156" s="14">
        <f t="shared" si="5"/>
        <v>30</v>
      </c>
    </row>
    <row r="157" s="1" customFormat="1" ht="21" customHeight="1" spans="1:11">
      <c r="A157" s="11"/>
      <c r="B157" s="11"/>
      <c r="C157" s="12" t="s">
        <v>104</v>
      </c>
      <c r="D157" s="15">
        <v>10</v>
      </c>
      <c r="E157" s="29">
        <v>10</v>
      </c>
      <c r="F157" s="17"/>
      <c r="G157" s="13"/>
      <c r="H157" s="13"/>
      <c r="I157" s="11"/>
      <c r="J157" s="11"/>
      <c r="K157" s="14">
        <f t="shared" si="5"/>
        <v>20</v>
      </c>
    </row>
    <row r="158" s="1" customFormat="1" ht="21" customHeight="1" spans="1:11">
      <c r="A158" s="11"/>
      <c r="B158" s="11"/>
      <c r="C158" s="12" t="s">
        <v>131</v>
      </c>
      <c r="D158" s="15">
        <v>10</v>
      </c>
      <c r="E158" s="29">
        <v>20</v>
      </c>
      <c r="F158" s="17"/>
      <c r="G158" s="13"/>
      <c r="H158" s="13"/>
      <c r="I158" s="11"/>
      <c r="J158" s="11"/>
      <c r="K158" s="14">
        <f t="shared" si="5"/>
        <v>30</v>
      </c>
    </row>
    <row r="159" s="1" customFormat="1" ht="21" customHeight="1" spans="1:11">
      <c r="A159" s="11"/>
      <c r="B159" s="11"/>
      <c r="C159" s="12" t="s">
        <v>106</v>
      </c>
      <c r="D159" s="28">
        <v>153</v>
      </c>
      <c r="E159" s="15">
        <v>10</v>
      </c>
      <c r="F159" s="13"/>
      <c r="G159" s="13"/>
      <c r="H159" s="13"/>
      <c r="I159" s="11"/>
      <c r="J159" s="11"/>
      <c r="K159" s="14">
        <f t="shared" si="5"/>
        <v>163</v>
      </c>
    </row>
    <row r="160" s="1" customFormat="1" ht="21" customHeight="1" spans="1:11">
      <c r="A160" s="21" t="s">
        <v>107</v>
      </c>
      <c r="B160" s="21">
        <v>10.5</v>
      </c>
      <c r="C160" s="11" t="s">
        <v>108</v>
      </c>
      <c r="D160" s="15">
        <v>15</v>
      </c>
      <c r="E160" s="15">
        <v>10</v>
      </c>
      <c r="F160" s="13"/>
      <c r="G160" s="13"/>
      <c r="H160" s="13"/>
      <c r="I160" s="11"/>
      <c r="J160" s="11"/>
      <c r="K160" s="14">
        <f t="shared" si="5"/>
        <v>25</v>
      </c>
    </row>
    <row r="161" s="1" customFormat="1" ht="21" customHeight="1" spans="1:11">
      <c r="A161" s="21"/>
      <c r="B161" s="21"/>
      <c r="C161" s="11" t="s">
        <v>132</v>
      </c>
      <c r="D161" s="28">
        <v>15</v>
      </c>
      <c r="E161" s="15">
        <v>10</v>
      </c>
      <c r="F161" s="13"/>
      <c r="G161" s="13"/>
      <c r="H161" s="13"/>
      <c r="I161" s="11"/>
      <c r="J161" s="11"/>
      <c r="K161" s="14">
        <f t="shared" si="5"/>
        <v>25</v>
      </c>
    </row>
    <row r="162" s="1" customFormat="1" ht="21" customHeight="1" spans="1:11">
      <c r="A162" s="21"/>
      <c r="B162" s="21"/>
      <c r="C162" s="11" t="s">
        <v>111</v>
      </c>
      <c r="D162" s="15">
        <v>15</v>
      </c>
      <c r="E162" s="15">
        <v>0</v>
      </c>
      <c r="F162" s="13"/>
      <c r="G162" s="13"/>
      <c r="H162" s="13"/>
      <c r="I162" s="11"/>
      <c r="J162" s="11"/>
      <c r="K162" s="14">
        <f t="shared" si="5"/>
        <v>15</v>
      </c>
    </row>
    <row r="163" s="1" customFormat="1" ht="21" customHeight="1" spans="1:11">
      <c r="A163" s="21"/>
      <c r="B163" s="21"/>
      <c r="C163" s="11" t="s">
        <v>112</v>
      </c>
      <c r="D163" s="15">
        <v>15</v>
      </c>
      <c r="E163" s="15">
        <v>5</v>
      </c>
      <c r="F163" s="13"/>
      <c r="G163" s="13"/>
      <c r="H163" s="13"/>
      <c r="I163" s="11"/>
      <c r="J163" s="30"/>
      <c r="K163" s="14">
        <f t="shared" si="5"/>
        <v>20</v>
      </c>
    </row>
    <row r="164" s="1" customFormat="1" ht="21" customHeight="1" spans="1:11">
      <c r="A164" s="21"/>
      <c r="B164" s="21"/>
      <c r="C164" s="11" t="s">
        <v>113</v>
      </c>
      <c r="D164" s="15">
        <v>12</v>
      </c>
      <c r="E164" s="15">
        <v>0</v>
      </c>
      <c r="F164" s="13"/>
      <c r="G164" s="13"/>
      <c r="H164" s="13"/>
      <c r="I164" s="11"/>
      <c r="J164" s="30"/>
      <c r="K164" s="14">
        <f t="shared" si="5"/>
        <v>12</v>
      </c>
    </row>
    <row r="165" s="1" customFormat="1" ht="21" customHeight="1" spans="1:11">
      <c r="A165" s="13" t="s">
        <v>133</v>
      </c>
      <c r="B165" s="13">
        <v>10.5</v>
      </c>
      <c r="C165" s="11" t="s">
        <v>115</v>
      </c>
      <c r="D165" s="15">
        <v>10.5</v>
      </c>
      <c r="E165" s="15">
        <v>10</v>
      </c>
      <c r="F165" s="13"/>
      <c r="G165" s="11"/>
      <c r="H165" s="11"/>
      <c r="I165" s="11"/>
      <c r="J165" s="30"/>
      <c r="K165" s="14">
        <f t="shared" si="5"/>
        <v>20.5</v>
      </c>
    </row>
    <row r="166" s="1" customFormat="1" ht="21" customHeight="1" spans="1:11">
      <c r="A166" s="11" t="s">
        <v>116</v>
      </c>
      <c r="B166" s="11">
        <v>12</v>
      </c>
      <c r="C166" s="11" t="s">
        <v>134</v>
      </c>
      <c r="D166" s="31">
        <v>12</v>
      </c>
      <c r="E166" s="31">
        <v>5</v>
      </c>
      <c r="F166" s="11"/>
      <c r="G166" s="11"/>
      <c r="H166" s="11"/>
      <c r="I166" s="11"/>
      <c r="J166" s="30"/>
      <c r="K166" s="14">
        <f t="shared" si="5"/>
        <v>17</v>
      </c>
    </row>
    <row r="167" s="1" customFormat="1" ht="21" customHeight="1" spans="1:11">
      <c r="A167" s="32"/>
      <c r="B167" s="32"/>
      <c r="C167" s="32"/>
      <c r="D167" s="32"/>
      <c r="E167" s="32"/>
      <c r="F167" s="33"/>
      <c r="G167" s="32"/>
      <c r="H167" s="32"/>
      <c r="I167" s="32"/>
      <c r="J167" s="32"/>
      <c r="K167" s="34">
        <f>SUM(K146:K166)</f>
        <v>522.5</v>
      </c>
    </row>
  </sheetData>
  <mergeCells count="83">
    <mergeCell ref="A1:K1"/>
    <mergeCell ref="A2:C2"/>
    <mergeCell ref="D2:K2"/>
    <mergeCell ref="A30:K30"/>
    <mergeCell ref="A31:C31"/>
    <mergeCell ref="D31:K31"/>
    <mergeCell ref="A58:K58"/>
    <mergeCell ref="A59:C59"/>
    <mergeCell ref="D59:K59"/>
    <mergeCell ref="A87:K87"/>
    <mergeCell ref="A88:C88"/>
    <mergeCell ref="D88:K88"/>
    <mergeCell ref="A115:K115"/>
    <mergeCell ref="A116:C116"/>
    <mergeCell ref="D116:K116"/>
    <mergeCell ref="A143:K143"/>
    <mergeCell ref="A144:C144"/>
    <mergeCell ref="D144:K144"/>
    <mergeCell ref="A5:A6"/>
    <mergeCell ref="A7:A11"/>
    <mergeCell ref="A12:A13"/>
    <mergeCell ref="A14:A17"/>
    <mergeCell ref="A18:A22"/>
    <mergeCell ref="A34:A35"/>
    <mergeCell ref="A36:A37"/>
    <mergeCell ref="A38:A39"/>
    <mergeCell ref="A41:A42"/>
    <mergeCell ref="A43:A46"/>
    <mergeCell ref="A47:A49"/>
    <mergeCell ref="A62:A63"/>
    <mergeCell ref="A64:A65"/>
    <mergeCell ref="A66:A67"/>
    <mergeCell ref="A69:A70"/>
    <mergeCell ref="A71:A74"/>
    <mergeCell ref="A75:A80"/>
    <mergeCell ref="A91:A92"/>
    <mergeCell ref="A93:A94"/>
    <mergeCell ref="A95:A96"/>
    <mergeCell ref="A98:A99"/>
    <mergeCell ref="A100:A103"/>
    <mergeCell ref="A104:A108"/>
    <mergeCell ref="A119:A120"/>
    <mergeCell ref="A121:A122"/>
    <mergeCell ref="A123:A124"/>
    <mergeCell ref="A126:A127"/>
    <mergeCell ref="A128:A131"/>
    <mergeCell ref="A132:A136"/>
    <mergeCell ref="A147:A148"/>
    <mergeCell ref="A149:A150"/>
    <mergeCell ref="A151:A152"/>
    <mergeCell ref="A154:A155"/>
    <mergeCell ref="A156:A159"/>
    <mergeCell ref="A160:A164"/>
    <mergeCell ref="B5:B6"/>
    <mergeCell ref="B7:B11"/>
    <mergeCell ref="B12:B13"/>
    <mergeCell ref="B14:B17"/>
    <mergeCell ref="B18:B22"/>
    <mergeCell ref="B34:B35"/>
    <mergeCell ref="B36:B40"/>
    <mergeCell ref="B41:B42"/>
    <mergeCell ref="B43:B46"/>
    <mergeCell ref="B47:B49"/>
    <mergeCell ref="B62:B63"/>
    <mergeCell ref="B64:B68"/>
    <mergeCell ref="B69:B70"/>
    <mergeCell ref="B71:B74"/>
    <mergeCell ref="B75:B80"/>
    <mergeCell ref="B91:B92"/>
    <mergeCell ref="B93:B97"/>
    <mergeCell ref="B98:B99"/>
    <mergeCell ref="B100:B103"/>
    <mergeCell ref="B104:B108"/>
    <mergeCell ref="B119:B120"/>
    <mergeCell ref="B121:B125"/>
    <mergeCell ref="B126:B127"/>
    <mergeCell ref="B128:B131"/>
    <mergeCell ref="B132:B136"/>
    <mergeCell ref="B147:B148"/>
    <mergeCell ref="B149:B153"/>
    <mergeCell ref="B154:B155"/>
    <mergeCell ref="B156:B159"/>
    <mergeCell ref="B160:B16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2"/>
  <sheetViews>
    <sheetView topLeftCell="A118" workbookViewId="0">
      <selection activeCell="J132" sqref="J132"/>
    </sheetView>
  </sheetViews>
  <sheetFormatPr defaultColWidth="9" defaultRowHeight="13.5"/>
  <sheetData>
    <row r="1" s="1" customFormat="1" ht="21" customHeight="1" spans="1:11">
      <c r="A1" s="5" t="s">
        <v>158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="1" customFormat="1" ht="21" customHeight="1" spans="1:11">
      <c r="A2" s="8" t="s">
        <v>145</v>
      </c>
      <c r="B2" s="9"/>
      <c r="C2" s="9"/>
      <c r="D2" s="10" t="s">
        <v>167</v>
      </c>
      <c r="E2" s="9"/>
      <c r="F2" s="9"/>
      <c r="G2" s="9"/>
      <c r="H2" s="9"/>
      <c r="I2" s="9"/>
      <c r="J2" s="9"/>
      <c r="K2" s="9"/>
    </row>
    <row r="3" s="1" customFormat="1" ht="21" customHeight="1" spans="1:11">
      <c r="A3" s="11" t="s">
        <v>83</v>
      </c>
      <c r="B3" s="11" t="s">
        <v>84</v>
      </c>
      <c r="C3" s="12" t="s">
        <v>120</v>
      </c>
      <c r="D3" s="13" t="s">
        <v>6</v>
      </c>
      <c r="E3" s="13" t="s">
        <v>6</v>
      </c>
      <c r="F3" s="13" t="s">
        <v>6</v>
      </c>
      <c r="G3" s="11" t="s">
        <v>6</v>
      </c>
      <c r="H3" s="11" t="s">
        <v>6</v>
      </c>
      <c r="I3" s="11" t="s">
        <v>6</v>
      </c>
      <c r="J3" s="11" t="s">
        <v>121</v>
      </c>
      <c r="K3" s="11" t="s">
        <v>87</v>
      </c>
    </row>
    <row r="4" s="1" customFormat="1" ht="21" customHeight="1" spans="1:11">
      <c r="A4" s="11" t="s">
        <v>122</v>
      </c>
      <c r="B4" s="11">
        <v>12</v>
      </c>
      <c r="C4" s="14" t="s">
        <v>134</v>
      </c>
      <c r="D4" s="15"/>
      <c r="E4" s="15"/>
      <c r="F4" s="16"/>
      <c r="G4" s="17"/>
      <c r="H4" s="13"/>
      <c r="I4" s="11"/>
      <c r="J4" s="11"/>
      <c r="K4" s="14">
        <f t="shared" ref="K4:K24" si="0">SUM(D4:J4)</f>
        <v>0</v>
      </c>
    </row>
    <row r="5" s="1" customFormat="1" ht="21" customHeight="1" spans="1:11">
      <c r="A5" s="18" t="s">
        <v>90</v>
      </c>
      <c r="B5" s="11">
        <v>11.5</v>
      </c>
      <c r="C5" s="12" t="s">
        <v>124</v>
      </c>
      <c r="D5" s="15"/>
      <c r="E5" s="15"/>
      <c r="F5" s="16"/>
      <c r="G5" s="17"/>
      <c r="H5" s="13"/>
      <c r="I5" s="11"/>
      <c r="J5" s="11"/>
      <c r="K5" s="14">
        <f t="shared" si="0"/>
        <v>0</v>
      </c>
    </row>
    <row r="6" s="1" customFormat="1" ht="21" customHeight="1" spans="1:11">
      <c r="A6" s="18"/>
      <c r="B6" s="11"/>
      <c r="C6" s="12" t="s">
        <v>92</v>
      </c>
      <c r="D6" s="15"/>
      <c r="E6" s="15"/>
      <c r="F6" s="16"/>
      <c r="G6" s="17"/>
      <c r="H6" s="13"/>
      <c r="I6" s="11"/>
      <c r="J6" s="11"/>
      <c r="K6" s="14">
        <f t="shared" si="0"/>
        <v>0</v>
      </c>
    </row>
    <row r="7" s="1" customFormat="1" ht="21" customHeight="1" spans="1:11">
      <c r="A7" s="19" t="s">
        <v>125</v>
      </c>
      <c r="B7" s="14">
        <v>11.5</v>
      </c>
      <c r="C7" s="20" t="s">
        <v>94</v>
      </c>
      <c r="D7" s="15"/>
      <c r="E7" s="15"/>
      <c r="F7" s="21"/>
      <c r="G7" s="13"/>
      <c r="H7" s="13"/>
      <c r="I7" s="11"/>
      <c r="J7" s="11"/>
      <c r="K7" s="14">
        <f t="shared" si="0"/>
        <v>0</v>
      </c>
    </row>
    <row r="8" s="1" customFormat="1" ht="21" customHeight="1" spans="1:11">
      <c r="A8" s="22"/>
      <c r="B8" s="14"/>
      <c r="C8" s="1" t="s">
        <v>98</v>
      </c>
      <c r="D8" s="23"/>
      <c r="E8" s="24"/>
      <c r="F8" s="13"/>
      <c r="G8" s="13"/>
      <c r="H8" s="13"/>
      <c r="I8" s="11"/>
      <c r="J8" s="11"/>
      <c r="K8" s="14">
        <f t="shared" si="0"/>
        <v>0</v>
      </c>
    </row>
    <row r="9" s="1" customFormat="1" ht="21" customHeight="1" spans="1:11">
      <c r="A9" s="25" t="s">
        <v>126</v>
      </c>
      <c r="B9" s="14"/>
      <c r="C9" s="20" t="s">
        <v>95</v>
      </c>
      <c r="D9" s="26"/>
      <c r="E9" s="15"/>
      <c r="F9" s="13"/>
      <c r="G9" s="13"/>
      <c r="H9" s="13"/>
      <c r="I9" s="11"/>
      <c r="J9" s="11"/>
      <c r="K9" s="14">
        <f t="shared" si="0"/>
        <v>0</v>
      </c>
    </row>
    <row r="10" s="1" customFormat="1" ht="21" customHeight="1" spans="1:11">
      <c r="A10" s="27"/>
      <c r="B10" s="14"/>
      <c r="C10" s="20" t="s">
        <v>97</v>
      </c>
      <c r="D10" s="28"/>
      <c r="E10" s="29"/>
      <c r="F10" s="13"/>
      <c r="G10" s="13"/>
      <c r="H10" s="13"/>
      <c r="I10" s="13"/>
      <c r="J10" s="11"/>
      <c r="K10" s="14">
        <f t="shared" si="0"/>
        <v>0</v>
      </c>
    </row>
    <row r="11" s="1" customFormat="1" ht="21" customHeight="1" spans="1:11">
      <c r="A11" s="18" t="s">
        <v>127</v>
      </c>
      <c r="B11" s="14"/>
      <c r="C11" s="14" t="s">
        <v>96</v>
      </c>
      <c r="D11" s="28"/>
      <c r="E11" s="29"/>
      <c r="F11" s="13"/>
      <c r="G11" s="13"/>
      <c r="H11" s="13"/>
      <c r="I11" s="13"/>
      <c r="J11" s="11"/>
      <c r="K11" s="14">
        <f t="shared" si="0"/>
        <v>0</v>
      </c>
    </row>
    <row r="12" s="1" customFormat="1" ht="21" customHeight="1" spans="1:11">
      <c r="A12" s="11" t="s">
        <v>128</v>
      </c>
      <c r="B12" s="11">
        <v>10.5</v>
      </c>
      <c r="C12" s="11" t="s">
        <v>129</v>
      </c>
      <c r="D12" s="28"/>
      <c r="E12" s="29"/>
      <c r="F12" s="13"/>
      <c r="G12" s="13"/>
      <c r="H12" s="13"/>
      <c r="I12" s="11"/>
      <c r="J12" s="11"/>
      <c r="K12" s="14">
        <f t="shared" si="0"/>
        <v>0</v>
      </c>
    </row>
    <row r="13" s="1" customFormat="1" ht="21" customHeight="1" spans="1:11">
      <c r="A13" s="11"/>
      <c r="B13" s="11"/>
      <c r="C13" s="11" t="s">
        <v>101</v>
      </c>
      <c r="D13" s="28"/>
      <c r="E13" s="29"/>
      <c r="F13" s="13"/>
      <c r="G13" s="13"/>
      <c r="H13" s="13"/>
      <c r="I13" s="11"/>
      <c r="J13" s="11"/>
      <c r="K13" s="14">
        <f t="shared" si="0"/>
        <v>0</v>
      </c>
    </row>
    <row r="14" s="1" customFormat="1" ht="21" customHeight="1" spans="1:11">
      <c r="A14" s="11" t="s">
        <v>130</v>
      </c>
      <c r="B14" s="11">
        <v>11.5</v>
      </c>
      <c r="C14" s="12" t="s">
        <v>103</v>
      </c>
      <c r="D14" s="15"/>
      <c r="E14" s="29"/>
      <c r="F14" s="13"/>
      <c r="G14" s="13"/>
      <c r="H14" s="13"/>
      <c r="I14" s="11"/>
      <c r="J14" s="11"/>
      <c r="K14" s="14">
        <f t="shared" si="0"/>
        <v>0</v>
      </c>
    </row>
    <row r="15" s="1" customFormat="1" ht="21" customHeight="1" spans="1:11">
      <c r="A15" s="11"/>
      <c r="B15" s="11"/>
      <c r="C15" s="12" t="s">
        <v>104</v>
      </c>
      <c r="D15" s="15"/>
      <c r="E15" s="29"/>
      <c r="F15" s="17"/>
      <c r="G15" s="13"/>
      <c r="H15" s="13"/>
      <c r="I15" s="11"/>
      <c r="J15" s="11"/>
      <c r="K15" s="14">
        <f t="shared" si="0"/>
        <v>0</v>
      </c>
    </row>
    <row r="16" s="1" customFormat="1" ht="21" customHeight="1" spans="1:11">
      <c r="A16" s="11"/>
      <c r="B16" s="11"/>
      <c r="C16" s="12" t="s">
        <v>131</v>
      </c>
      <c r="D16" s="15"/>
      <c r="E16" s="29"/>
      <c r="F16" s="17"/>
      <c r="G16" s="13"/>
      <c r="H16" s="13"/>
      <c r="I16" s="11"/>
      <c r="J16" s="11"/>
      <c r="K16" s="14">
        <f t="shared" si="0"/>
        <v>0</v>
      </c>
    </row>
    <row r="17" s="1" customFormat="1" ht="21" customHeight="1" spans="1:11">
      <c r="A17" s="11"/>
      <c r="B17" s="11"/>
      <c r="C17" s="12" t="s">
        <v>106</v>
      </c>
      <c r="D17" s="28"/>
      <c r="E17" s="15"/>
      <c r="F17" s="13"/>
      <c r="G17" s="13"/>
      <c r="H17" s="13"/>
      <c r="I17" s="11"/>
      <c r="J17" s="11"/>
      <c r="K17" s="14">
        <f t="shared" si="0"/>
        <v>0</v>
      </c>
    </row>
    <row r="18" s="1" customFormat="1" ht="21" customHeight="1" spans="1:11">
      <c r="A18" s="21" t="s">
        <v>107</v>
      </c>
      <c r="B18" s="21">
        <v>10.5</v>
      </c>
      <c r="C18" s="11" t="s">
        <v>108</v>
      </c>
      <c r="D18" s="15">
        <v>15</v>
      </c>
      <c r="E18" s="15">
        <v>10</v>
      </c>
      <c r="F18" s="13"/>
      <c r="G18" s="13"/>
      <c r="H18" s="13"/>
      <c r="I18" s="11"/>
      <c r="J18" s="11"/>
      <c r="K18" s="14">
        <f t="shared" si="0"/>
        <v>25</v>
      </c>
    </row>
    <row r="19" s="1" customFormat="1" ht="21" customHeight="1" spans="1:11">
      <c r="A19" s="21"/>
      <c r="B19" s="21"/>
      <c r="C19" s="11" t="s">
        <v>132</v>
      </c>
      <c r="D19" s="28">
        <v>15</v>
      </c>
      <c r="E19" s="15">
        <v>10</v>
      </c>
      <c r="F19" s="13"/>
      <c r="G19" s="13"/>
      <c r="H19" s="13"/>
      <c r="I19" s="11"/>
      <c r="J19" s="11"/>
      <c r="K19" s="14">
        <f t="shared" si="0"/>
        <v>25</v>
      </c>
    </row>
    <row r="20" s="1" customFormat="1" ht="21" customHeight="1" spans="1:11">
      <c r="A20" s="21"/>
      <c r="B20" s="21"/>
      <c r="C20" s="11" t="s">
        <v>111</v>
      </c>
      <c r="D20" s="15">
        <v>15</v>
      </c>
      <c r="E20" s="15">
        <v>0</v>
      </c>
      <c r="F20" s="13"/>
      <c r="G20" s="13"/>
      <c r="H20" s="13"/>
      <c r="I20" s="11"/>
      <c r="J20" s="11"/>
      <c r="K20" s="14">
        <f t="shared" si="0"/>
        <v>15</v>
      </c>
    </row>
    <row r="21" s="1" customFormat="1" ht="21" customHeight="1" spans="1:11">
      <c r="A21" s="21"/>
      <c r="B21" s="21"/>
      <c r="C21" s="11" t="s">
        <v>112</v>
      </c>
      <c r="D21" s="15">
        <v>15</v>
      </c>
      <c r="E21" s="15">
        <v>5</v>
      </c>
      <c r="F21" s="13"/>
      <c r="G21" s="13"/>
      <c r="H21" s="13"/>
      <c r="I21" s="11"/>
      <c r="J21" s="30"/>
      <c r="K21" s="14">
        <f t="shared" si="0"/>
        <v>20</v>
      </c>
    </row>
    <row r="22" s="1" customFormat="1" ht="21" customHeight="1" spans="1:11">
      <c r="A22" s="21"/>
      <c r="B22" s="21"/>
      <c r="C22" s="11" t="s">
        <v>113</v>
      </c>
      <c r="D22" s="15">
        <v>12</v>
      </c>
      <c r="E22" s="15">
        <v>0</v>
      </c>
      <c r="F22" s="13"/>
      <c r="G22" s="13"/>
      <c r="H22" s="13"/>
      <c r="I22" s="11"/>
      <c r="J22" s="30"/>
      <c r="K22" s="14">
        <f t="shared" si="0"/>
        <v>12</v>
      </c>
    </row>
    <row r="23" s="1" customFormat="1" ht="21" customHeight="1" spans="1:11">
      <c r="A23" s="13" t="s">
        <v>133</v>
      </c>
      <c r="B23" s="13">
        <v>10.5</v>
      </c>
      <c r="C23" s="11" t="s">
        <v>115</v>
      </c>
      <c r="D23" s="15"/>
      <c r="E23" s="15"/>
      <c r="F23" s="13"/>
      <c r="G23" s="11"/>
      <c r="H23" s="11"/>
      <c r="I23" s="11"/>
      <c r="J23" s="30"/>
      <c r="K23" s="14">
        <f t="shared" si="0"/>
        <v>0</v>
      </c>
    </row>
    <row r="24" s="1" customFormat="1" ht="21" customHeight="1" spans="1:11">
      <c r="A24" s="11" t="s">
        <v>116</v>
      </c>
      <c r="B24" s="11">
        <v>12</v>
      </c>
      <c r="C24" s="11" t="s">
        <v>134</v>
      </c>
      <c r="D24" s="31"/>
      <c r="E24" s="31"/>
      <c r="F24" s="11"/>
      <c r="G24" s="11"/>
      <c r="H24" s="11"/>
      <c r="I24" s="11"/>
      <c r="J24" s="30"/>
      <c r="K24" s="14">
        <f t="shared" si="0"/>
        <v>0</v>
      </c>
    </row>
    <row r="25" s="1" customFormat="1" ht="21" customHeight="1" spans="1:11">
      <c r="A25" s="32"/>
      <c r="B25" s="32"/>
      <c r="C25" s="32"/>
      <c r="D25" s="32"/>
      <c r="E25" s="32"/>
      <c r="F25" s="33"/>
      <c r="G25" s="32"/>
      <c r="H25" s="32"/>
      <c r="I25" s="32"/>
      <c r="J25" s="32"/>
      <c r="K25" s="34">
        <f>SUM(K4:K24)</f>
        <v>97</v>
      </c>
    </row>
    <row r="28" s="2" customFormat="1" ht="21" customHeight="1" spans="1:11">
      <c r="A28" s="35" t="s">
        <v>168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="2" customFormat="1" ht="21" customHeight="1" spans="1:11">
      <c r="A29" s="36" t="s">
        <v>147</v>
      </c>
      <c r="B29" s="36"/>
      <c r="C29" s="36"/>
      <c r="D29" s="36" t="s">
        <v>169</v>
      </c>
      <c r="E29" s="36"/>
      <c r="F29" s="36"/>
      <c r="G29" s="36"/>
      <c r="H29" s="36"/>
      <c r="I29" s="36"/>
      <c r="J29" s="36"/>
      <c r="K29" s="36"/>
    </row>
    <row r="30" s="2" customFormat="1" ht="21" customHeight="1" spans="1:11">
      <c r="A30" s="37" t="s">
        <v>83</v>
      </c>
      <c r="B30" s="37" t="s">
        <v>84</v>
      </c>
      <c r="C30" s="38" t="s">
        <v>120</v>
      </c>
      <c r="D30" s="39" t="s">
        <v>6</v>
      </c>
      <c r="E30" s="39" t="s">
        <v>6</v>
      </c>
      <c r="F30" s="37" t="s">
        <v>6</v>
      </c>
      <c r="G30" s="37" t="s">
        <v>6</v>
      </c>
      <c r="H30" s="37" t="s">
        <v>6</v>
      </c>
      <c r="I30" s="37" t="s">
        <v>6</v>
      </c>
      <c r="J30" s="37" t="s">
        <v>121</v>
      </c>
      <c r="K30" s="37" t="s">
        <v>87</v>
      </c>
    </row>
    <row r="31" s="2" customFormat="1" ht="21" customHeight="1" spans="1:11">
      <c r="A31" s="28" t="s">
        <v>122</v>
      </c>
      <c r="B31" s="28">
        <v>12</v>
      </c>
      <c r="C31" s="14" t="s">
        <v>134</v>
      </c>
      <c r="D31" s="13">
        <v>12</v>
      </c>
      <c r="E31" s="13">
        <v>0</v>
      </c>
      <c r="F31" s="15"/>
      <c r="G31" s="15"/>
      <c r="H31" s="15"/>
      <c r="I31" s="28"/>
      <c r="J31" s="28"/>
      <c r="K31" s="31">
        <f t="shared" ref="K31:K51" si="1">SUM(D31:J31)</f>
        <v>12</v>
      </c>
    </row>
    <row r="32" s="2" customFormat="1" ht="21" customHeight="1" spans="1:11">
      <c r="A32" s="40" t="s">
        <v>90</v>
      </c>
      <c r="B32" s="28">
        <v>11.5</v>
      </c>
      <c r="C32" s="41" t="s">
        <v>124</v>
      </c>
      <c r="D32" s="13">
        <v>17.5</v>
      </c>
      <c r="E32" s="13">
        <v>0</v>
      </c>
      <c r="F32" s="15"/>
      <c r="G32" s="15"/>
      <c r="H32" s="15"/>
      <c r="I32" s="28"/>
      <c r="J32" s="28"/>
      <c r="K32" s="31">
        <f t="shared" si="1"/>
        <v>17.5</v>
      </c>
    </row>
    <row r="33" s="2" customFormat="1" ht="21" customHeight="1" spans="1:11">
      <c r="A33" s="40"/>
      <c r="B33" s="28"/>
      <c r="C33" s="41" t="s">
        <v>92</v>
      </c>
      <c r="D33" s="13">
        <v>17.5</v>
      </c>
      <c r="E33" s="13">
        <v>0</v>
      </c>
      <c r="F33" s="15"/>
      <c r="G33" s="15"/>
      <c r="H33" s="15"/>
      <c r="I33" s="28"/>
      <c r="J33" s="28"/>
      <c r="K33" s="31">
        <f t="shared" si="1"/>
        <v>17.5</v>
      </c>
    </row>
    <row r="34" s="2" customFormat="1" ht="21" customHeight="1" spans="1:11">
      <c r="A34" s="42" t="s">
        <v>125</v>
      </c>
      <c r="B34" s="31">
        <v>11.5</v>
      </c>
      <c r="C34" s="43" t="s">
        <v>94</v>
      </c>
      <c r="D34" s="13">
        <v>0</v>
      </c>
      <c r="E34" s="13">
        <v>0</v>
      </c>
      <c r="F34" s="15"/>
      <c r="G34" s="15"/>
      <c r="H34" s="15"/>
      <c r="I34" s="28"/>
      <c r="J34" s="28"/>
      <c r="K34" s="31">
        <f t="shared" si="1"/>
        <v>0</v>
      </c>
    </row>
    <row r="35" s="2" customFormat="1" ht="21" customHeight="1" spans="1:11">
      <c r="A35" s="44"/>
      <c r="B35" s="31"/>
      <c r="C35" s="2" t="s">
        <v>98</v>
      </c>
      <c r="D35" s="13">
        <v>0</v>
      </c>
      <c r="E35" s="13">
        <v>0</v>
      </c>
      <c r="F35" s="15"/>
      <c r="G35" s="15"/>
      <c r="H35" s="15"/>
      <c r="I35" s="28"/>
      <c r="J35" s="28"/>
      <c r="K35" s="31">
        <f t="shared" si="1"/>
        <v>0</v>
      </c>
    </row>
    <row r="36" s="2" customFormat="1" ht="21" customHeight="1" spans="1:11">
      <c r="A36" s="45" t="s">
        <v>126</v>
      </c>
      <c r="B36" s="31"/>
      <c r="C36" s="43" t="s">
        <v>95</v>
      </c>
      <c r="D36" s="13">
        <v>0</v>
      </c>
      <c r="E36" s="13">
        <v>0</v>
      </c>
      <c r="F36" s="15"/>
      <c r="G36" s="15"/>
      <c r="H36" s="15"/>
      <c r="I36" s="28"/>
      <c r="J36" s="28"/>
      <c r="K36" s="31">
        <f t="shared" si="1"/>
        <v>0</v>
      </c>
    </row>
    <row r="37" s="2" customFormat="1" ht="21" customHeight="1" spans="1:11">
      <c r="A37" s="46"/>
      <c r="B37" s="31"/>
      <c r="C37" s="43" t="s">
        <v>97</v>
      </c>
      <c r="D37" s="13">
        <v>0</v>
      </c>
      <c r="E37" s="13">
        <v>0</v>
      </c>
      <c r="F37" s="15"/>
      <c r="G37" s="15"/>
      <c r="H37" s="15"/>
      <c r="I37" s="15"/>
      <c r="J37" s="28"/>
      <c r="K37" s="31">
        <f t="shared" si="1"/>
        <v>0</v>
      </c>
    </row>
    <row r="38" s="2" customFormat="1" ht="21" customHeight="1" spans="1:11">
      <c r="A38" s="47" t="s">
        <v>127</v>
      </c>
      <c r="B38" s="31"/>
      <c r="C38" s="31" t="s">
        <v>96</v>
      </c>
      <c r="D38" s="13">
        <v>0</v>
      </c>
      <c r="E38" s="13">
        <v>15</v>
      </c>
      <c r="F38" s="15"/>
      <c r="G38" s="15"/>
      <c r="H38" s="15"/>
      <c r="I38" s="15"/>
      <c r="J38" s="28"/>
      <c r="K38" s="31">
        <f t="shared" si="1"/>
        <v>15</v>
      </c>
    </row>
    <row r="39" s="2" customFormat="1" ht="21" customHeight="1" spans="1:11">
      <c r="A39" s="28" t="s">
        <v>128</v>
      </c>
      <c r="B39" s="28">
        <v>10.5</v>
      </c>
      <c r="C39" s="28" t="s">
        <v>129</v>
      </c>
      <c r="D39" s="13">
        <v>0</v>
      </c>
      <c r="E39" s="13">
        <v>15</v>
      </c>
      <c r="F39" s="15"/>
      <c r="G39" s="15"/>
      <c r="H39" s="15"/>
      <c r="I39" s="28"/>
      <c r="J39" s="28"/>
      <c r="K39" s="31">
        <f t="shared" si="1"/>
        <v>15</v>
      </c>
    </row>
    <row r="40" s="2" customFormat="1" ht="21" customHeight="1" spans="1:11">
      <c r="A40" s="28"/>
      <c r="B40" s="28"/>
      <c r="C40" s="28" t="s">
        <v>101</v>
      </c>
      <c r="D40" s="13">
        <v>0</v>
      </c>
      <c r="E40" s="13">
        <v>15</v>
      </c>
      <c r="F40" s="15"/>
      <c r="G40" s="15"/>
      <c r="H40" s="15"/>
      <c r="I40" s="28"/>
      <c r="J40" s="28"/>
      <c r="K40" s="31">
        <f t="shared" si="1"/>
        <v>15</v>
      </c>
    </row>
    <row r="41" s="2" customFormat="1" ht="21" customHeight="1" spans="1:11">
      <c r="A41" s="28" t="s">
        <v>130</v>
      </c>
      <c r="B41" s="28">
        <v>11.5</v>
      </c>
      <c r="C41" s="41" t="s">
        <v>103</v>
      </c>
      <c r="D41" s="13">
        <v>20</v>
      </c>
      <c r="E41" s="13">
        <v>6</v>
      </c>
      <c r="F41" s="15"/>
      <c r="G41" s="15"/>
      <c r="H41" s="15"/>
      <c r="I41" s="28"/>
      <c r="J41" s="28"/>
      <c r="K41" s="31">
        <f t="shared" si="1"/>
        <v>26</v>
      </c>
    </row>
    <row r="42" s="2" customFormat="1" ht="21" customHeight="1" spans="1:11">
      <c r="A42" s="28"/>
      <c r="B42" s="28"/>
      <c r="C42" s="41" t="s">
        <v>104</v>
      </c>
      <c r="D42" s="13">
        <v>10</v>
      </c>
      <c r="E42" s="13">
        <v>6</v>
      </c>
      <c r="F42" s="15"/>
      <c r="G42" s="15"/>
      <c r="H42" s="15"/>
      <c r="I42" s="28"/>
      <c r="J42" s="28"/>
      <c r="K42" s="31">
        <f t="shared" si="1"/>
        <v>16</v>
      </c>
    </row>
    <row r="43" s="2" customFormat="1" ht="21" customHeight="1" spans="1:11">
      <c r="A43" s="28"/>
      <c r="B43" s="28"/>
      <c r="C43" s="41" t="s">
        <v>131</v>
      </c>
      <c r="D43" s="13">
        <v>10</v>
      </c>
      <c r="E43" s="13">
        <v>0</v>
      </c>
      <c r="F43" s="15"/>
      <c r="G43" s="15"/>
      <c r="H43" s="15"/>
      <c r="I43" s="28"/>
      <c r="J43" s="28"/>
      <c r="K43" s="31">
        <f t="shared" si="1"/>
        <v>10</v>
      </c>
    </row>
    <row r="44" s="2" customFormat="1" ht="21" customHeight="1" spans="1:11">
      <c r="A44" s="28"/>
      <c r="B44" s="28"/>
      <c r="C44" s="41" t="s">
        <v>106</v>
      </c>
      <c r="D44" s="13">
        <v>45</v>
      </c>
      <c r="E44" s="13">
        <v>0</v>
      </c>
      <c r="F44" s="15"/>
      <c r="G44" s="15"/>
      <c r="H44" s="15"/>
      <c r="I44" s="28"/>
      <c r="J44" s="28"/>
      <c r="K44" s="31">
        <f t="shared" si="1"/>
        <v>45</v>
      </c>
    </row>
    <row r="45" s="2" customFormat="1" ht="21" customHeight="1" spans="1:11">
      <c r="A45" s="48" t="s">
        <v>107</v>
      </c>
      <c r="B45" s="48">
        <v>10.5</v>
      </c>
      <c r="C45" s="28" t="s">
        <v>108</v>
      </c>
      <c r="D45" s="13">
        <v>7</v>
      </c>
      <c r="E45" s="13">
        <v>5</v>
      </c>
      <c r="F45" s="15"/>
      <c r="G45" s="15"/>
      <c r="H45" s="15"/>
      <c r="I45" s="28"/>
      <c r="J45" s="28"/>
      <c r="K45" s="31">
        <f t="shared" si="1"/>
        <v>12</v>
      </c>
    </row>
    <row r="46" s="2" customFormat="1" ht="21" customHeight="1" spans="1:11">
      <c r="A46" s="48"/>
      <c r="B46" s="48"/>
      <c r="C46" s="28" t="s">
        <v>132</v>
      </c>
      <c r="D46" s="13">
        <v>0</v>
      </c>
      <c r="E46" s="13">
        <v>15</v>
      </c>
      <c r="F46" s="15"/>
      <c r="G46" s="15"/>
      <c r="H46" s="15"/>
      <c r="I46" s="28"/>
      <c r="J46" s="28"/>
      <c r="K46" s="31">
        <f t="shared" si="1"/>
        <v>15</v>
      </c>
    </row>
    <row r="47" s="2" customFormat="1" ht="21" customHeight="1" spans="1:11">
      <c r="A47" s="48"/>
      <c r="B47" s="48"/>
      <c r="C47" s="28" t="s">
        <v>111</v>
      </c>
      <c r="D47" s="13">
        <v>7</v>
      </c>
      <c r="E47" s="13">
        <v>15</v>
      </c>
      <c r="F47" s="15"/>
      <c r="G47" s="15"/>
      <c r="H47" s="15"/>
      <c r="I47" s="28"/>
      <c r="J47" s="28"/>
      <c r="K47" s="31">
        <f t="shared" si="1"/>
        <v>22</v>
      </c>
    </row>
    <row r="48" s="2" customFormat="1" ht="21" customHeight="1" spans="1:11">
      <c r="A48" s="48"/>
      <c r="B48" s="48"/>
      <c r="C48" s="28" t="s">
        <v>112</v>
      </c>
      <c r="D48" s="13">
        <v>7</v>
      </c>
      <c r="E48" s="13">
        <v>5</v>
      </c>
      <c r="F48" s="15"/>
      <c r="G48" s="15"/>
      <c r="H48" s="15"/>
      <c r="I48" s="28"/>
      <c r="J48" s="49"/>
      <c r="K48" s="31">
        <f t="shared" si="1"/>
        <v>12</v>
      </c>
    </row>
    <row r="49" s="2" customFormat="1" ht="21" customHeight="1" spans="1:11">
      <c r="A49" s="48"/>
      <c r="B49" s="48"/>
      <c r="C49" s="28" t="s">
        <v>113</v>
      </c>
      <c r="D49" s="13">
        <v>7</v>
      </c>
      <c r="E49" s="13">
        <v>0</v>
      </c>
      <c r="F49" s="15"/>
      <c r="G49" s="15"/>
      <c r="H49" s="15"/>
      <c r="I49" s="28"/>
      <c r="J49" s="49"/>
      <c r="K49" s="31">
        <f t="shared" si="1"/>
        <v>7</v>
      </c>
    </row>
    <row r="50" s="2" customFormat="1" ht="21" customHeight="1" spans="1:11">
      <c r="A50" s="15" t="s">
        <v>133</v>
      </c>
      <c r="B50" s="15">
        <v>10.5</v>
      </c>
      <c r="C50" s="28" t="s">
        <v>115</v>
      </c>
      <c r="D50" s="13">
        <v>10.5</v>
      </c>
      <c r="E50" s="13">
        <v>0</v>
      </c>
      <c r="F50" s="28"/>
      <c r="G50" s="28"/>
      <c r="H50" s="28"/>
      <c r="I50" s="28"/>
      <c r="J50" s="49"/>
      <c r="K50" s="31">
        <f t="shared" si="1"/>
        <v>10.5</v>
      </c>
    </row>
    <row r="51" s="2" customFormat="1" ht="21" customHeight="1" spans="1:11">
      <c r="A51" s="15" t="s">
        <v>116</v>
      </c>
      <c r="B51" s="15">
        <v>12</v>
      </c>
      <c r="C51" s="15" t="s">
        <v>134</v>
      </c>
      <c r="D51" s="13">
        <v>12</v>
      </c>
      <c r="E51" s="13">
        <v>0</v>
      </c>
      <c r="F51" s="15"/>
      <c r="G51" s="15"/>
      <c r="H51" s="15"/>
      <c r="I51" s="15"/>
      <c r="J51" s="24"/>
      <c r="K51" s="50">
        <f t="shared" si="1"/>
        <v>12</v>
      </c>
    </row>
    <row r="52" s="2" customFormat="1" ht="21" customHeight="1" spans="1:11">
      <c r="A52" s="43"/>
      <c r="B52" s="51"/>
      <c r="C52" s="51"/>
      <c r="D52" s="51"/>
      <c r="E52" s="51"/>
      <c r="F52" s="51"/>
      <c r="G52" s="51"/>
      <c r="H52" s="51"/>
      <c r="I52" s="51"/>
      <c r="J52" s="51"/>
      <c r="K52" s="52">
        <f>SUM(K31:K51)</f>
        <v>279.5</v>
      </c>
    </row>
    <row r="53" s="3" customFormat="1" ht="16.5"/>
    <row r="54" s="3" customFormat="1" ht="16.5"/>
    <row r="55" s="2" customFormat="1" ht="21" customHeight="1" spans="1:11">
      <c r="A55" s="35" t="s">
        <v>168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</row>
    <row r="56" s="2" customFormat="1" ht="21" customHeight="1" spans="1:11">
      <c r="A56" s="36" t="s">
        <v>147</v>
      </c>
      <c r="B56" s="36"/>
      <c r="C56" s="36"/>
      <c r="D56" s="36" t="s">
        <v>170</v>
      </c>
      <c r="E56" s="36"/>
      <c r="F56" s="36"/>
      <c r="G56" s="36"/>
      <c r="H56" s="36"/>
      <c r="I56" s="36"/>
      <c r="J56" s="36"/>
      <c r="K56" s="36"/>
    </row>
    <row r="57" s="2" customFormat="1" ht="21" customHeight="1" spans="1:11">
      <c r="A57" s="37" t="s">
        <v>83</v>
      </c>
      <c r="B57" s="37" t="s">
        <v>84</v>
      </c>
      <c r="C57" s="38" t="s">
        <v>120</v>
      </c>
      <c r="D57" s="39" t="s">
        <v>6</v>
      </c>
      <c r="E57" s="39" t="s">
        <v>6</v>
      </c>
      <c r="F57" s="37" t="s">
        <v>6</v>
      </c>
      <c r="G57" s="37" t="s">
        <v>6</v>
      </c>
      <c r="H57" s="37" t="s">
        <v>6</v>
      </c>
      <c r="I57" s="37" t="s">
        <v>6</v>
      </c>
      <c r="J57" s="37" t="s">
        <v>121</v>
      </c>
      <c r="K57" s="37" t="s">
        <v>87</v>
      </c>
    </row>
    <row r="58" s="2" customFormat="1" ht="21" customHeight="1" spans="1:11">
      <c r="A58" s="28" t="s">
        <v>122</v>
      </c>
      <c r="B58" s="28">
        <v>12</v>
      </c>
      <c r="C58" s="14" t="s">
        <v>134</v>
      </c>
      <c r="D58" s="13">
        <v>0</v>
      </c>
      <c r="E58" s="13"/>
      <c r="F58" s="15"/>
      <c r="G58" s="15"/>
      <c r="H58" s="15"/>
      <c r="I58" s="28"/>
      <c r="J58" s="28"/>
      <c r="K58" s="31">
        <f t="shared" ref="K58:K78" si="2">SUM(D58:J58)</f>
        <v>0</v>
      </c>
    </row>
    <row r="59" s="2" customFormat="1" ht="21" customHeight="1" spans="1:11">
      <c r="A59" s="40" t="s">
        <v>90</v>
      </c>
      <c r="B59" s="28">
        <v>11.5</v>
      </c>
      <c r="C59" s="41" t="s">
        <v>124</v>
      </c>
      <c r="D59" s="13">
        <v>0</v>
      </c>
      <c r="E59" s="13"/>
      <c r="F59" s="15"/>
      <c r="G59" s="15"/>
      <c r="H59" s="15"/>
      <c r="I59" s="28"/>
      <c r="J59" s="28"/>
      <c r="K59" s="31">
        <f t="shared" si="2"/>
        <v>0</v>
      </c>
    </row>
    <row r="60" s="2" customFormat="1" ht="21" customHeight="1" spans="1:11">
      <c r="A60" s="40"/>
      <c r="B60" s="28"/>
      <c r="C60" s="41" t="s">
        <v>92</v>
      </c>
      <c r="D60" s="13">
        <v>14</v>
      </c>
      <c r="E60" s="13"/>
      <c r="F60" s="15"/>
      <c r="G60" s="15"/>
      <c r="H60" s="15"/>
      <c r="I60" s="28"/>
      <c r="J60" s="28"/>
      <c r="K60" s="31">
        <f t="shared" si="2"/>
        <v>14</v>
      </c>
    </row>
    <row r="61" s="2" customFormat="1" ht="21" customHeight="1" spans="1:11">
      <c r="A61" s="42" t="s">
        <v>125</v>
      </c>
      <c r="B61" s="31">
        <v>11.5</v>
      </c>
      <c r="C61" s="43" t="s">
        <v>94</v>
      </c>
      <c r="D61" s="13">
        <v>10</v>
      </c>
      <c r="E61" s="13"/>
      <c r="F61" s="15"/>
      <c r="G61" s="15"/>
      <c r="H61" s="15"/>
      <c r="I61" s="28"/>
      <c r="J61" s="28"/>
      <c r="K61" s="31">
        <f t="shared" si="2"/>
        <v>10</v>
      </c>
    </row>
    <row r="62" s="2" customFormat="1" ht="21" customHeight="1" spans="1:11">
      <c r="A62" s="44"/>
      <c r="B62" s="31"/>
      <c r="C62" s="2" t="s">
        <v>98</v>
      </c>
      <c r="D62" s="13">
        <v>11.5</v>
      </c>
      <c r="E62" s="13"/>
      <c r="F62" s="15"/>
      <c r="G62" s="15"/>
      <c r="H62" s="15"/>
      <c r="I62" s="28"/>
      <c r="J62" s="28"/>
      <c r="K62" s="31">
        <f t="shared" si="2"/>
        <v>11.5</v>
      </c>
    </row>
    <row r="63" s="2" customFormat="1" ht="21" customHeight="1" spans="1:11">
      <c r="A63" s="45" t="s">
        <v>126</v>
      </c>
      <c r="B63" s="31"/>
      <c r="C63" s="43" t="s">
        <v>95</v>
      </c>
      <c r="D63" s="13">
        <v>11.5</v>
      </c>
      <c r="E63" s="13"/>
      <c r="F63" s="15"/>
      <c r="G63" s="15"/>
      <c r="H63" s="15"/>
      <c r="I63" s="28"/>
      <c r="J63" s="28"/>
      <c r="K63" s="31">
        <f t="shared" si="2"/>
        <v>11.5</v>
      </c>
    </row>
    <row r="64" s="2" customFormat="1" ht="21" customHeight="1" spans="1:11">
      <c r="A64" s="46"/>
      <c r="B64" s="31"/>
      <c r="C64" s="43" t="s">
        <v>97</v>
      </c>
      <c r="D64" s="13">
        <v>11.5</v>
      </c>
      <c r="E64" s="13"/>
      <c r="F64" s="15"/>
      <c r="G64" s="15"/>
      <c r="H64" s="15"/>
      <c r="I64" s="15"/>
      <c r="J64" s="28"/>
      <c r="K64" s="31">
        <f t="shared" si="2"/>
        <v>11.5</v>
      </c>
    </row>
    <row r="65" s="2" customFormat="1" ht="21" customHeight="1" spans="1:11">
      <c r="A65" s="47" t="s">
        <v>127</v>
      </c>
      <c r="B65" s="31"/>
      <c r="C65" s="31" t="s">
        <v>96</v>
      </c>
      <c r="D65" s="13">
        <v>11.5</v>
      </c>
      <c r="E65" s="13"/>
      <c r="F65" s="15"/>
      <c r="G65" s="15"/>
      <c r="H65" s="15"/>
      <c r="I65" s="15"/>
      <c r="J65" s="28"/>
      <c r="K65" s="31">
        <f t="shared" si="2"/>
        <v>11.5</v>
      </c>
    </row>
    <row r="66" s="2" customFormat="1" ht="21" customHeight="1" spans="1:11">
      <c r="A66" s="28" t="s">
        <v>128</v>
      </c>
      <c r="B66" s="28">
        <v>10.5</v>
      </c>
      <c r="C66" s="28" t="s">
        <v>129</v>
      </c>
      <c r="D66" s="13">
        <v>10</v>
      </c>
      <c r="E66" s="13"/>
      <c r="F66" s="15"/>
      <c r="G66" s="15"/>
      <c r="H66" s="15"/>
      <c r="I66" s="28"/>
      <c r="J66" s="28"/>
      <c r="K66" s="31">
        <f t="shared" si="2"/>
        <v>10</v>
      </c>
    </row>
    <row r="67" s="2" customFormat="1" ht="21" customHeight="1" spans="1:11">
      <c r="A67" s="28"/>
      <c r="B67" s="28"/>
      <c r="C67" s="28" t="s">
        <v>101</v>
      </c>
      <c r="D67" s="13">
        <v>10</v>
      </c>
      <c r="E67" s="13"/>
      <c r="F67" s="15"/>
      <c r="G67" s="15"/>
      <c r="H67" s="15"/>
      <c r="I67" s="28"/>
      <c r="J67" s="28"/>
      <c r="K67" s="31">
        <f t="shared" si="2"/>
        <v>10</v>
      </c>
    </row>
    <row r="68" s="2" customFormat="1" ht="21" customHeight="1" spans="1:11">
      <c r="A68" s="28" t="s">
        <v>130</v>
      </c>
      <c r="B68" s="28">
        <v>11.5</v>
      </c>
      <c r="C68" s="41" t="s">
        <v>103</v>
      </c>
      <c r="D68" s="13">
        <v>13</v>
      </c>
      <c r="E68" s="13"/>
      <c r="F68" s="15"/>
      <c r="G68" s="15"/>
      <c r="H68" s="15"/>
      <c r="I68" s="28"/>
      <c r="J68" s="28"/>
      <c r="K68" s="31">
        <f t="shared" si="2"/>
        <v>13</v>
      </c>
    </row>
    <row r="69" s="2" customFormat="1" ht="21" customHeight="1" spans="1:11">
      <c r="A69" s="28"/>
      <c r="B69" s="28"/>
      <c r="C69" s="41" t="s">
        <v>104</v>
      </c>
      <c r="D69" s="13">
        <v>11</v>
      </c>
      <c r="E69" s="13"/>
      <c r="F69" s="15"/>
      <c r="G69" s="15"/>
      <c r="H69" s="15"/>
      <c r="I69" s="28"/>
      <c r="J69" s="28"/>
      <c r="K69" s="31">
        <f t="shared" si="2"/>
        <v>11</v>
      </c>
    </row>
    <row r="70" s="2" customFormat="1" ht="21" customHeight="1" spans="1:11">
      <c r="A70" s="28"/>
      <c r="B70" s="28"/>
      <c r="C70" s="41" t="s">
        <v>131</v>
      </c>
      <c r="D70" s="13">
        <v>5</v>
      </c>
      <c r="E70" s="13"/>
      <c r="F70" s="15"/>
      <c r="G70" s="15"/>
      <c r="H70" s="15"/>
      <c r="I70" s="28"/>
      <c r="J70" s="28"/>
      <c r="K70" s="31">
        <f t="shared" si="2"/>
        <v>5</v>
      </c>
    </row>
    <row r="71" s="2" customFormat="1" ht="21" customHeight="1" spans="1:11">
      <c r="A71" s="28"/>
      <c r="B71" s="28"/>
      <c r="C71" s="41" t="s">
        <v>106</v>
      </c>
      <c r="D71" s="13">
        <v>93</v>
      </c>
      <c r="E71" s="13"/>
      <c r="F71" s="15"/>
      <c r="G71" s="15"/>
      <c r="H71" s="15"/>
      <c r="I71" s="28"/>
      <c r="J71" s="28"/>
      <c r="K71" s="31">
        <f t="shared" si="2"/>
        <v>93</v>
      </c>
    </row>
    <row r="72" s="2" customFormat="1" ht="21" customHeight="1" spans="1:11">
      <c r="A72" s="48" t="s">
        <v>107</v>
      </c>
      <c r="B72" s="48">
        <v>10.5</v>
      </c>
      <c r="C72" s="28" t="s">
        <v>108</v>
      </c>
      <c r="D72" s="13">
        <v>14</v>
      </c>
      <c r="E72" s="13"/>
      <c r="F72" s="15"/>
      <c r="G72" s="15"/>
      <c r="H72" s="15"/>
      <c r="I72" s="28"/>
      <c r="J72" s="28"/>
      <c r="K72" s="31">
        <f t="shared" si="2"/>
        <v>14</v>
      </c>
    </row>
    <row r="73" s="2" customFormat="1" ht="21" customHeight="1" spans="1:11">
      <c r="A73" s="48"/>
      <c r="B73" s="48"/>
      <c r="C73" s="28" t="s">
        <v>132</v>
      </c>
      <c r="D73" s="13">
        <v>10</v>
      </c>
      <c r="E73" s="13"/>
      <c r="F73" s="15"/>
      <c r="G73" s="15"/>
      <c r="H73" s="15"/>
      <c r="I73" s="28"/>
      <c r="J73" s="28"/>
      <c r="K73" s="31">
        <f t="shared" si="2"/>
        <v>10</v>
      </c>
    </row>
    <row r="74" s="2" customFormat="1" ht="21" customHeight="1" spans="1:11">
      <c r="A74" s="48"/>
      <c r="B74" s="48"/>
      <c r="C74" s="28" t="s">
        <v>111</v>
      </c>
      <c r="D74" s="13">
        <v>10</v>
      </c>
      <c r="E74" s="13"/>
      <c r="F74" s="15"/>
      <c r="G74" s="15"/>
      <c r="H74" s="15"/>
      <c r="I74" s="28"/>
      <c r="J74" s="28"/>
      <c r="K74" s="31">
        <f t="shared" si="2"/>
        <v>10</v>
      </c>
    </row>
    <row r="75" s="2" customFormat="1" ht="21" customHeight="1" spans="1:11">
      <c r="A75" s="48"/>
      <c r="B75" s="48"/>
      <c r="C75" s="28" t="s">
        <v>112</v>
      </c>
      <c r="D75" s="13">
        <v>14</v>
      </c>
      <c r="E75" s="13"/>
      <c r="F75" s="15"/>
      <c r="G75" s="15"/>
      <c r="H75" s="15"/>
      <c r="I75" s="28"/>
      <c r="J75" s="49"/>
      <c r="K75" s="31">
        <f t="shared" si="2"/>
        <v>14</v>
      </c>
    </row>
    <row r="76" s="2" customFormat="1" ht="21" customHeight="1" spans="1:11">
      <c r="A76" s="48"/>
      <c r="B76" s="48"/>
      <c r="C76" s="28" t="s">
        <v>113</v>
      </c>
      <c r="D76" s="13">
        <v>14</v>
      </c>
      <c r="E76" s="13"/>
      <c r="F76" s="15"/>
      <c r="G76" s="15"/>
      <c r="H76" s="15"/>
      <c r="I76" s="28"/>
      <c r="J76" s="49"/>
      <c r="K76" s="31">
        <f t="shared" si="2"/>
        <v>14</v>
      </c>
    </row>
    <row r="77" s="2" customFormat="1" ht="21" customHeight="1" spans="1:11">
      <c r="A77" s="15" t="s">
        <v>133</v>
      </c>
      <c r="B77" s="15">
        <v>10.5</v>
      </c>
      <c r="C77" s="28" t="s">
        <v>115</v>
      </c>
      <c r="D77" s="13">
        <v>10.5</v>
      </c>
      <c r="E77" s="13"/>
      <c r="F77" s="28"/>
      <c r="G77" s="28"/>
      <c r="H77" s="28"/>
      <c r="I77" s="28"/>
      <c r="J77" s="49"/>
      <c r="K77" s="31">
        <f t="shared" si="2"/>
        <v>10.5</v>
      </c>
    </row>
    <row r="78" s="2" customFormat="1" ht="21" customHeight="1" spans="1:11">
      <c r="A78" s="15" t="s">
        <v>116</v>
      </c>
      <c r="B78" s="15">
        <v>12</v>
      </c>
      <c r="C78" s="15" t="s">
        <v>134</v>
      </c>
      <c r="D78" s="13">
        <v>12</v>
      </c>
      <c r="E78" s="13"/>
      <c r="F78" s="15"/>
      <c r="G78" s="15"/>
      <c r="H78" s="15"/>
      <c r="I78" s="15"/>
      <c r="J78" s="24"/>
      <c r="K78" s="50">
        <f t="shared" si="2"/>
        <v>12</v>
      </c>
    </row>
    <row r="79" s="2" customFormat="1" ht="21" customHeight="1" spans="1:11">
      <c r="A79" s="43"/>
      <c r="B79" s="51"/>
      <c r="C79" s="51"/>
      <c r="D79" s="51"/>
      <c r="E79" s="51"/>
      <c r="F79" s="51"/>
      <c r="G79" s="51"/>
      <c r="H79" s="51"/>
      <c r="I79" s="51"/>
      <c r="J79" s="51"/>
      <c r="K79" s="52">
        <f>SUM(K58:K78)</f>
        <v>296.5</v>
      </c>
    </row>
    <row r="82" s="1" customFormat="1" ht="21" customHeight="1" spans="1:11">
      <c r="A82" s="53" t="s">
        <v>168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</row>
    <row r="83" s="1" customFormat="1" ht="21" customHeight="1" spans="1:11">
      <c r="A83" s="54" t="s">
        <v>147</v>
      </c>
      <c r="B83" s="54"/>
      <c r="C83" s="54"/>
      <c r="D83" s="54" t="s">
        <v>171</v>
      </c>
      <c r="E83" s="54"/>
      <c r="F83" s="54"/>
      <c r="G83" s="54"/>
      <c r="H83" s="54"/>
      <c r="I83" s="54"/>
      <c r="J83" s="54"/>
      <c r="K83" s="54"/>
    </row>
    <row r="84" s="1" customFormat="1" ht="21" customHeight="1" spans="1:11">
      <c r="A84" s="55" t="s">
        <v>83</v>
      </c>
      <c r="B84" s="55" t="s">
        <v>84</v>
      </c>
      <c r="C84" s="56" t="s">
        <v>120</v>
      </c>
      <c r="D84" s="57" t="s">
        <v>6</v>
      </c>
      <c r="E84" s="57" t="s">
        <v>6</v>
      </c>
      <c r="F84" s="55" t="s">
        <v>6</v>
      </c>
      <c r="G84" s="55" t="s">
        <v>6</v>
      </c>
      <c r="H84" s="55" t="s">
        <v>6</v>
      </c>
      <c r="I84" s="55" t="s">
        <v>6</v>
      </c>
      <c r="J84" s="55" t="s">
        <v>121</v>
      </c>
      <c r="K84" s="55" t="s">
        <v>87</v>
      </c>
    </row>
    <row r="85" s="1" customFormat="1" ht="21" customHeight="1" spans="1:11">
      <c r="A85" s="34" t="s">
        <v>122</v>
      </c>
      <c r="B85" s="34">
        <v>12</v>
      </c>
      <c r="C85" s="14" t="s">
        <v>134</v>
      </c>
      <c r="D85" s="58">
        <v>12</v>
      </c>
      <c r="E85" s="58">
        <v>12</v>
      </c>
      <c r="F85" s="58">
        <v>12</v>
      </c>
      <c r="G85" s="59">
        <v>10</v>
      </c>
      <c r="H85" s="59">
        <v>10</v>
      </c>
      <c r="I85" s="34"/>
      <c r="J85" s="34"/>
      <c r="K85" s="14">
        <f t="shared" ref="K85:K105" si="3">SUM(D85:J85)</f>
        <v>56</v>
      </c>
    </row>
    <row r="86" s="1" customFormat="1" ht="21" customHeight="1" spans="1:11">
      <c r="A86" s="60" t="s">
        <v>90</v>
      </c>
      <c r="B86" s="34">
        <v>11.5</v>
      </c>
      <c r="C86" s="61" t="s">
        <v>124</v>
      </c>
      <c r="D86" s="58">
        <v>30</v>
      </c>
      <c r="E86" s="58">
        <v>30</v>
      </c>
      <c r="F86" s="58">
        <v>30</v>
      </c>
      <c r="G86" s="59">
        <v>10</v>
      </c>
      <c r="H86" s="59">
        <v>10</v>
      </c>
      <c r="I86" s="34"/>
      <c r="J86" s="34"/>
      <c r="K86" s="14">
        <f t="shared" si="3"/>
        <v>110</v>
      </c>
    </row>
    <row r="87" s="1" customFormat="1" ht="21" customHeight="1" spans="1:11">
      <c r="A87" s="60"/>
      <c r="B87" s="34"/>
      <c r="C87" s="61" t="s">
        <v>92</v>
      </c>
      <c r="D87" s="58">
        <v>26.5</v>
      </c>
      <c r="E87" s="58">
        <v>26.5</v>
      </c>
      <c r="F87" s="58">
        <v>26.5</v>
      </c>
      <c r="G87" s="59">
        <v>10</v>
      </c>
      <c r="H87" s="59">
        <v>10</v>
      </c>
      <c r="I87" s="34"/>
      <c r="J87" s="34"/>
      <c r="K87" s="14">
        <f t="shared" si="3"/>
        <v>99.5</v>
      </c>
    </row>
    <row r="88" s="1" customFormat="1" ht="21" customHeight="1" spans="1:11">
      <c r="A88" s="19" t="s">
        <v>125</v>
      </c>
      <c r="B88" s="14">
        <v>11.5</v>
      </c>
      <c r="C88" s="20" t="s">
        <v>94</v>
      </c>
      <c r="D88" s="58">
        <v>23</v>
      </c>
      <c r="E88" s="58">
        <v>11.5</v>
      </c>
      <c r="F88" s="58">
        <v>11.5</v>
      </c>
      <c r="G88" s="59">
        <v>10</v>
      </c>
      <c r="H88" s="59">
        <v>10</v>
      </c>
      <c r="I88" s="34"/>
      <c r="J88" s="34"/>
      <c r="K88" s="14">
        <f t="shared" si="3"/>
        <v>66</v>
      </c>
    </row>
    <row r="89" s="1" customFormat="1" ht="21" customHeight="1" spans="1:11">
      <c r="A89" s="22"/>
      <c r="B89" s="14"/>
      <c r="C89" s="1" t="s">
        <v>98</v>
      </c>
      <c r="D89" s="58">
        <v>23</v>
      </c>
      <c r="E89" s="58">
        <v>23</v>
      </c>
      <c r="F89" s="58">
        <v>23</v>
      </c>
      <c r="G89" s="59">
        <v>10</v>
      </c>
      <c r="H89" s="59">
        <v>10</v>
      </c>
      <c r="I89" s="34"/>
      <c r="J89" s="34"/>
      <c r="K89" s="14">
        <f t="shared" si="3"/>
        <v>89</v>
      </c>
    </row>
    <row r="90" s="1" customFormat="1" ht="21" customHeight="1" spans="1:11">
      <c r="A90" s="25" t="s">
        <v>126</v>
      </c>
      <c r="B90" s="14"/>
      <c r="C90" s="20" t="s">
        <v>95</v>
      </c>
      <c r="D90" s="58">
        <v>23</v>
      </c>
      <c r="E90" s="58">
        <v>23</v>
      </c>
      <c r="F90" s="58">
        <v>23</v>
      </c>
      <c r="G90" s="59">
        <v>0</v>
      </c>
      <c r="H90" s="59">
        <v>0</v>
      </c>
      <c r="I90" s="34"/>
      <c r="J90" s="34"/>
      <c r="K90" s="14">
        <f t="shared" si="3"/>
        <v>69</v>
      </c>
    </row>
    <row r="91" s="1" customFormat="1" ht="21" customHeight="1" spans="1:11">
      <c r="A91" s="27"/>
      <c r="B91" s="14"/>
      <c r="C91" s="20" t="s">
        <v>97</v>
      </c>
      <c r="D91" s="58">
        <v>23</v>
      </c>
      <c r="E91" s="58">
        <v>23</v>
      </c>
      <c r="F91" s="58">
        <v>23</v>
      </c>
      <c r="G91" s="59">
        <v>10</v>
      </c>
      <c r="H91" s="59">
        <v>10</v>
      </c>
      <c r="I91" s="62"/>
      <c r="J91" s="34"/>
      <c r="K91" s="14">
        <f t="shared" si="3"/>
        <v>89</v>
      </c>
    </row>
    <row r="92" s="1" customFormat="1" ht="21" customHeight="1" spans="1:11">
      <c r="A92" s="18" t="s">
        <v>127</v>
      </c>
      <c r="B92" s="14"/>
      <c r="C92" s="14" t="s">
        <v>96</v>
      </c>
      <c r="D92" s="58">
        <v>21.5</v>
      </c>
      <c r="E92" s="58">
        <v>11.5</v>
      </c>
      <c r="F92" s="58">
        <v>11.5</v>
      </c>
      <c r="G92" s="59">
        <v>10</v>
      </c>
      <c r="H92" s="59">
        <v>10</v>
      </c>
      <c r="I92" s="62"/>
      <c r="J92" s="34"/>
      <c r="K92" s="14">
        <f t="shared" si="3"/>
        <v>64.5</v>
      </c>
    </row>
    <row r="93" s="1" customFormat="1" ht="21" customHeight="1" spans="1:11">
      <c r="A93" s="34" t="s">
        <v>128</v>
      </c>
      <c r="B93" s="34">
        <v>10.5</v>
      </c>
      <c r="C93" s="34" t="s">
        <v>129</v>
      </c>
      <c r="D93" s="63">
        <v>21</v>
      </c>
      <c r="E93" s="63">
        <v>20</v>
      </c>
      <c r="F93" s="63">
        <v>20</v>
      </c>
      <c r="G93" s="64">
        <v>0</v>
      </c>
      <c r="H93" s="64">
        <v>0</v>
      </c>
      <c r="I93" s="34"/>
      <c r="J93" s="34"/>
      <c r="K93" s="14">
        <f t="shared" si="3"/>
        <v>61</v>
      </c>
    </row>
    <row r="94" s="1" customFormat="1" ht="21" customHeight="1" spans="1:11">
      <c r="A94" s="34"/>
      <c r="B94" s="34"/>
      <c r="C94" s="34" t="s">
        <v>101</v>
      </c>
      <c r="D94" s="58">
        <v>21</v>
      </c>
      <c r="E94" s="58">
        <v>20</v>
      </c>
      <c r="F94" s="58">
        <v>20</v>
      </c>
      <c r="G94" s="59">
        <v>0</v>
      </c>
      <c r="H94" s="59">
        <v>0</v>
      </c>
      <c r="I94" s="34"/>
      <c r="J94" s="34"/>
      <c r="K94" s="14">
        <f t="shared" si="3"/>
        <v>61</v>
      </c>
    </row>
    <row r="95" s="1" customFormat="1" ht="21" customHeight="1" spans="1:11">
      <c r="A95" s="34" t="s">
        <v>130</v>
      </c>
      <c r="B95" s="34">
        <v>11.5</v>
      </c>
      <c r="C95" s="61" t="s">
        <v>103</v>
      </c>
      <c r="D95" s="58">
        <v>28</v>
      </c>
      <c r="E95" s="58">
        <v>28</v>
      </c>
      <c r="F95" s="58">
        <v>28</v>
      </c>
      <c r="G95" s="59">
        <v>10</v>
      </c>
      <c r="H95" s="59">
        <v>10</v>
      </c>
      <c r="I95" s="34"/>
      <c r="J95" s="34"/>
      <c r="K95" s="14">
        <f t="shared" si="3"/>
        <v>104</v>
      </c>
    </row>
    <row r="96" s="1" customFormat="1" ht="21" customHeight="1" spans="1:11">
      <c r="A96" s="34"/>
      <c r="B96" s="34"/>
      <c r="C96" s="61" t="s">
        <v>104</v>
      </c>
      <c r="D96" s="58">
        <v>18</v>
      </c>
      <c r="E96" s="58">
        <v>18</v>
      </c>
      <c r="F96" s="58">
        <v>18</v>
      </c>
      <c r="G96" s="59">
        <v>10</v>
      </c>
      <c r="H96" s="59">
        <v>10</v>
      </c>
      <c r="I96" s="34"/>
      <c r="J96" s="34"/>
      <c r="K96" s="14">
        <f t="shared" si="3"/>
        <v>74</v>
      </c>
    </row>
    <row r="97" s="1" customFormat="1" ht="21" customHeight="1" spans="1:11">
      <c r="A97" s="34"/>
      <c r="B97" s="34"/>
      <c r="C97" s="61" t="s">
        <v>131</v>
      </c>
      <c r="D97" s="65">
        <v>41</v>
      </c>
      <c r="E97" s="65">
        <v>41</v>
      </c>
      <c r="F97" s="65">
        <v>41</v>
      </c>
      <c r="G97" s="66">
        <v>10</v>
      </c>
      <c r="H97" s="66">
        <v>10</v>
      </c>
      <c r="I97" s="34"/>
      <c r="J97" s="34"/>
      <c r="K97" s="14">
        <f t="shared" si="3"/>
        <v>143</v>
      </c>
    </row>
    <row r="98" s="1" customFormat="1" ht="21" customHeight="1" spans="1:11">
      <c r="A98" s="34"/>
      <c r="B98" s="34"/>
      <c r="C98" s="61" t="s">
        <v>106</v>
      </c>
      <c r="D98" s="67">
        <v>155.7</v>
      </c>
      <c r="E98" s="67">
        <v>157</v>
      </c>
      <c r="F98" s="67">
        <v>157</v>
      </c>
      <c r="G98" s="68">
        <v>0</v>
      </c>
      <c r="H98" s="68">
        <v>0</v>
      </c>
      <c r="I98" s="34"/>
      <c r="J98" s="34"/>
      <c r="K98" s="14">
        <f t="shared" si="3"/>
        <v>469.7</v>
      </c>
    </row>
    <row r="99" s="1" customFormat="1" ht="21" customHeight="1" spans="1:11">
      <c r="A99" s="69" t="s">
        <v>107</v>
      </c>
      <c r="B99" s="69">
        <v>10.5</v>
      </c>
      <c r="C99" s="34" t="s">
        <v>108</v>
      </c>
      <c r="D99" s="58">
        <v>25</v>
      </c>
      <c r="E99" s="58">
        <v>25</v>
      </c>
      <c r="F99" s="58">
        <v>25</v>
      </c>
      <c r="G99" s="59">
        <v>10</v>
      </c>
      <c r="H99" s="59">
        <v>10</v>
      </c>
      <c r="I99" s="34"/>
      <c r="J99" s="34"/>
      <c r="K99" s="14">
        <f t="shared" si="3"/>
        <v>95</v>
      </c>
    </row>
    <row r="100" s="1" customFormat="1" ht="21" customHeight="1" spans="1:11">
      <c r="A100" s="69"/>
      <c r="B100" s="69"/>
      <c r="C100" s="34" t="s">
        <v>132</v>
      </c>
      <c r="D100" s="58">
        <v>50</v>
      </c>
      <c r="E100" s="58">
        <v>50</v>
      </c>
      <c r="F100" s="58">
        <v>50</v>
      </c>
      <c r="G100" s="59">
        <v>0</v>
      </c>
      <c r="H100" s="59">
        <v>0</v>
      </c>
      <c r="I100" s="34"/>
      <c r="J100" s="34"/>
      <c r="K100" s="14">
        <f t="shared" si="3"/>
        <v>150</v>
      </c>
    </row>
    <row r="101" s="1" customFormat="1" ht="21" customHeight="1" spans="1:11">
      <c r="A101" s="69"/>
      <c r="B101" s="69"/>
      <c r="C101" s="34" t="s">
        <v>111</v>
      </c>
      <c r="D101" s="58">
        <v>24.6</v>
      </c>
      <c r="E101" s="58">
        <v>24.5</v>
      </c>
      <c r="F101" s="58">
        <v>24.5</v>
      </c>
      <c r="G101" s="59">
        <v>0</v>
      </c>
      <c r="H101" s="59">
        <v>0</v>
      </c>
      <c r="I101" s="34"/>
      <c r="J101" s="34"/>
      <c r="K101" s="14">
        <f t="shared" si="3"/>
        <v>73.6</v>
      </c>
    </row>
    <row r="102" s="1" customFormat="1" ht="21" customHeight="1" spans="1:11">
      <c r="A102" s="69"/>
      <c r="B102" s="69"/>
      <c r="C102" s="34" t="s">
        <v>112</v>
      </c>
      <c r="D102" s="58">
        <v>24.6</v>
      </c>
      <c r="E102" s="58">
        <v>24.5</v>
      </c>
      <c r="F102" s="58">
        <v>24.5</v>
      </c>
      <c r="G102" s="59">
        <v>0</v>
      </c>
      <c r="H102" s="59">
        <v>0</v>
      </c>
      <c r="I102" s="34"/>
      <c r="J102" s="70"/>
      <c r="K102" s="14">
        <f t="shared" si="3"/>
        <v>73.6</v>
      </c>
    </row>
    <row r="103" s="1" customFormat="1" ht="21" customHeight="1" spans="1:11">
      <c r="A103" s="69"/>
      <c r="B103" s="69"/>
      <c r="C103" s="34" t="s">
        <v>113</v>
      </c>
      <c r="D103" s="58">
        <v>24.6</v>
      </c>
      <c r="E103" s="58">
        <v>24.5</v>
      </c>
      <c r="F103" s="58">
        <v>24.5</v>
      </c>
      <c r="G103" s="59">
        <v>0</v>
      </c>
      <c r="H103" s="59">
        <v>0</v>
      </c>
      <c r="I103" s="34"/>
      <c r="J103" s="70"/>
      <c r="K103" s="14">
        <f t="shared" si="3"/>
        <v>73.6</v>
      </c>
    </row>
    <row r="104" s="1" customFormat="1" ht="21" customHeight="1" spans="1:11">
      <c r="A104" s="62" t="s">
        <v>133</v>
      </c>
      <c r="B104" s="62">
        <v>10.5</v>
      </c>
      <c r="C104" s="34" t="s">
        <v>115</v>
      </c>
      <c r="D104" s="58">
        <v>10.5</v>
      </c>
      <c r="E104" s="58">
        <v>10.5</v>
      </c>
      <c r="F104" s="58">
        <v>10.5</v>
      </c>
      <c r="G104" s="59">
        <v>10</v>
      </c>
      <c r="H104" s="59">
        <v>10</v>
      </c>
      <c r="I104" s="34"/>
      <c r="J104" s="70"/>
      <c r="K104" s="14">
        <f t="shared" si="3"/>
        <v>51.5</v>
      </c>
    </row>
    <row r="105" s="1" customFormat="1" ht="21" customHeight="1" spans="1:11">
      <c r="A105" s="62" t="s">
        <v>116</v>
      </c>
      <c r="B105" s="62">
        <v>12</v>
      </c>
      <c r="C105" s="62" t="s">
        <v>134</v>
      </c>
      <c r="D105" s="63">
        <v>12</v>
      </c>
      <c r="E105" s="63">
        <v>12</v>
      </c>
      <c r="F105" s="63">
        <v>12</v>
      </c>
      <c r="G105" s="59">
        <v>10</v>
      </c>
      <c r="H105" s="59">
        <v>10</v>
      </c>
      <c r="I105" s="62"/>
      <c r="J105" s="71"/>
      <c r="K105" s="72">
        <f t="shared" si="3"/>
        <v>56</v>
      </c>
    </row>
    <row r="106" s="1" customFormat="1" ht="21" customHeight="1" spans="1:11">
      <c r="A106" s="20"/>
      <c r="B106" s="73"/>
      <c r="C106" s="73"/>
      <c r="D106" s="74"/>
      <c r="E106" s="74"/>
      <c r="F106" s="74"/>
      <c r="G106" s="73"/>
      <c r="H106" s="73"/>
      <c r="I106" s="73"/>
      <c r="J106" s="73"/>
      <c r="K106" s="75">
        <f>SUM(K85:K105)</f>
        <v>2129</v>
      </c>
    </row>
    <row r="109" s="4" customFormat="1" ht="21.75" customHeight="1" spans="1:11">
      <c r="A109" s="76" t="s">
        <v>168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s="4" customFormat="1" ht="21.75" customHeight="1" spans="1:11">
      <c r="A110" s="8" t="s">
        <v>147</v>
      </c>
      <c r="B110" s="9"/>
      <c r="C110" s="9"/>
      <c r="D110" s="10" t="s">
        <v>172</v>
      </c>
      <c r="E110" s="9"/>
      <c r="F110" s="9"/>
      <c r="G110" s="9"/>
      <c r="H110" s="9"/>
      <c r="I110" s="9"/>
      <c r="J110" s="9"/>
      <c r="K110" s="9"/>
    </row>
    <row r="111" s="4" customFormat="1" ht="21.75" customHeight="1" spans="1:11">
      <c r="A111" s="11" t="s">
        <v>83</v>
      </c>
      <c r="B111" s="11" t="s">
        <v>84</v>
      </c>
      <c r="C111" s="12" t="s">
        <v>120</v>
      </c>
      <c r="D111" s="13" t="s">
        <v>6</v>
      </c>
      <c r="E111" s="13" t="s">
        <v>6</v>
      </c>
      <c r="F111" s="11" t="s">
        <v>6</v>
      </c>
      <c r="G111" s="11" t="s">
        <v>6</v>
      </c>
      <c r="H111" s="11" t="s">
        <v>6</v>
      </c>
      <c r="I111" s="11" t="s">
        <v>6</v>
      </c>
      <c r="J111" s="11" t="s">
        <v>121</v>
      </c>
      <c r="K111" s="11" t="s">
        <v>87</v>
      </c>
    </row>
    <row r="112" s="4" customFormat="1" ht="21.75" customHeight="1" spans="1:11">
      <c r="A112" s="11" t="s">
        <v>122</v>
      </c>
      <c r="B112" s="11">
        <v>12</v>
      </c>
      <c r="C112" s="11" t="s">
        <v>134</v>
      </c>
      <c r="D112" s="58">
        <v>12</v>
      </c>
      <c r="E112" s="58">
        <v>12</v>
      </c>
      <c r="F112" s="58">
        <v>10</v>
      </c>
      <c r="G112" s="58"/>
      <c r="H112" s="13"/>
      <c r="I112" s="11"/>
      <c r="J112" s="11"/>
      <c r="K112" s="11">
        <f t="shared" ref="K112:K132" si="4">SUM(D112:J112)</f>
        <v>34</v>
      </c>
    </row>
    <row r="113" s="4" customFormat="1" ht="21.75" customHeight="1" spans="1:11">
      <c r="A113" s="77" t="s">
        <v>90</v>
      </c>
      <c r="B113" s="13">
        <v>11.5</v>
      </c>
      <c r="C113" s="12" t="s">
        <v>124</v>
      </c>
      <c r="D113" s="58">
        <v>17.5</v>
      </c>
      <c r="E113" s="58">
        <v>18</v>
      </c>
      <c r="F113" s="58">
        <v>10</v>
      </c>
      <c r="G113" s="58"/>
      <c r="H113" s="13"/>
      <c r="I113" s="11"/>
      <c r="J113" s="11"/>
      <c r="K113" s="11">
        <f t="shared" si="4"/>
        <v>45.5</v>
      </c>
    </row>
    <row r="114" s="4" customFormat="1" ht="21.75" customHeight="1" spans="1:11">
      <c r="A114" s="78"/>
      <c r="B114" s="21"/>
      <c r="C114" s="12" t="s">
        <v>92</v>
      </c>
      <c r="D114" s="58">
        <v>17.5</v>
      </c>
      <c r="E114" s="58">
        <v>18</v>
      </c>
      <c r="F114" s="58">
        <v>10</v>
      </c>
      <c r="G114" s="58"/>
      <c r="H114" s="13"/>
      <c r="I114" s="11"/>
      <c r="J114" s="11"/>
      <c r="K114" s="11">
        <f t="shared" si="4"/>
        <v>45.5</v>
      </c>
    </row>
    <row r="115" s="4" customFormat="1" ht="21.75" customHeight="1" spans="1:11">
      <c r="A115" s="77" t="s">
        <v>93</v>
      </c>
      <c r="B115" s="13">
        <v>11.5</v>
      </c>
      <c r="C115" s="12" t="s">
        <v>94</v>
      </c>
      <c r="D115" s="58">
        <v>11.5</v>
      </c>
      <c r="E115" s="58">
        <v>11.5</v>
      </c>
      <c r="F115" s="58">
        <v>10</v>
      </c>
      <c r="G115" s="58"/>
      <c r="H115" s="13"/>
      <c r="I115" s="11"/>
      <c r="J115" s="11"/>
      <c r="K115" s="11">
        <f t="shared" si="4"/>
        <v>33</v>
      </c>
    </row>
    <row r="116" s="4" customFormat="1" ht="21.75" customHeight="1" spans="1:11">
      <c r="A116" s="78"/>
      <c r="B116" s="21"/>
      <c r="C116" s="12" t="s">
        <v>95</v>
      </c>
      <c r="D116" s="58">
        <v>11.5</v>
      </c>
      <c r="E116" s="58">
        <v>11.5</v>
      </c>
      <c r="F116" s="58">
        <v>10</v>
      </c>
      <c r="G116" s="58"/>
      <c r="H116" s="13"/>
      <c r="I116" s="11"/>
      <c r="J116" s="11"/>
      <c r="K116" s="11">
        <f t="shared" si="4"/>
        <v>33</v>
      </c>
    </row>
    <row r="117" s="4" customFormat="1" ht="21.75" customHeight="1" spans="1:11">
      <c r="A117" s="78"/>
      <c r="B117" s="21"/>
      <c r="C117" s="11" t="s">
        <v>96</v>
      </c>
      <c r="D117" s="58">
        <v>11.5</v>
      </c>
      <c r="E117" s="58">
        <v>11.5</v>
      </c>
      <c r="F117" s="58"/>
      <c r="G117" s="58"/>
      <c r="H117" s="13"/>
      <c r="I117" s="11"/>
      <c r="J117" s="11"/>
      <c r="K117" s="11">
        <f t="shared" si="4"/>
        <v>23</v>
      </c>
    </row>
    <row r="118" s="4" customFormat="1" ht="21.75" customHeight="1" spans="1:11">
      <c r="A118" s="78"/>
      <c r="B118" s="21"/>
      <c r="C118" s="12" t="s">
        <v>97</v>
      </c>
      <c r="D118" s="58">
        <v>11.5</v>
      </c>
      <c r="E118" s="58">
        <v>11.5</v>
      </c>
      <c r="F118" s="58">
        <v>10</v>
      </c>
      <c r="G118" s="58"/>
      <c r="H118" s="13"/>
      <c r="I118" s="13"/>
      <c r="J118" s="11"/>
      <c r="K118" s="11">
        <f t="shared" si="4"/>
        <v>33</v>
      </c>
    </row>
    <row r="119" s="4" customFormat="1" ht="21.75" customHeight="1" spans="1:11">
      <c r="A119" s="79"/>
      <c r="B119" s="80"/>
      <c r="C119" s="12" t="s">
        <v>98</v>
      </c>
      <c r="D119" s="58">
        <v>11.5</v>
      </c>
      <c r="E119" s="58">
        <v>11.5</v>
      </c>
      <c r="F119" s="58">
        <v>10</v>
      </c>
      <c r="G119" s="58"/>
      <c r="H119" s="13"/>
      <c r="I119" s="13"/>
      <c r="J119" s="11"/>
      <c r="K119" s="11">
        <f t="shared" si="4"/>
        <v>33</v>
      </c>
    </row>
    <row r="120" s="4" customFormat="1" ht="21.75" customHeight="1" spans="1:11">
      <c r="A120" s="11" t="s">
        <v>128</v>
      </c>
      <c r="B120" s="11">
        <v>10.5</v>
      </c>
      <c r="C120" s="11" t="s">
        <v>129</v>
      </c>
      <c r="D120" s="58">
        <v>9</v>
      </c>
      <c r="E120" s="58">
        <v>9</v>
      </c>
      <c r="F120" s="58"/>
      <c r="G120" s="58"/>
      <c r="H120" s="13"/>
      <c r="I120" s="11"/>
      <c r="J120" s="11"/>
      <c r="K120" s="11">
        <f t="shared" si="4"/>
        <v>18</v>
      </c>
    </row>
    <row r="121" s="4" customFormat="1" ht="21.75" customHeight="1" spans="1:11">
      <c r="A121" s="11"/>
      <c r="B121" s="11"/>
      <c r="C121" s="11" t="s">
        <v>101</v>
      </c>
      <c r="D121" s="58">
        <v>40</v>
      </c>
      <c r="E121" s="58">
        <v>40</v>
      </c>
      <c r="F121" s="58"/>
      <c r="G121" s="58"/>
      <c r="H121" s="13"/>
      <c r="I121" s="11"/>
      <c r="J121" s="11"/>
      <c r="K121" s="11">
        <f t="shared" si="4"/>
        <v>80</v>
      </c>
    </row>
    <row r="122" s="4" customFormat="1" ht="21.75" customHeight="1" spans="1:11">
      <c r="A122" s="11" t="s">
        <v>130</v>
      </c>
      <c r="B122" s="11">
        <v>11.5</v>
      </c>
      <c r="C122" s="12" t="s">
        <v>103</v>
      </c>
      <c r="D122" s="58">
        <v>19.5</v>
      </c>
      <c r="E122" s="58">
        <v>20</v>
      </c>
      <c r="F122" s="58">
        <v>10</v>
      </c>
      <c r="G122" s="58"/>
      <c r="H122" s="13"/>
      <c r="I122" s="11"/>
      <c r="J122" s="11"/>
      <c r="K122" s="11">
        <f t="shared" si="4"/>
        <v>49.5</v>
      </c>
    </row>
    <row r="123" s="4" customFormat="1" ht="21.75" customHeight="1" spans="1:11">
      <c r="A123" s="11"/>
      <c r="B123" s="11"/>
      <c r="C123" s="12" t="s">
        <v>104</v>
      </c>
      <c r="D123" s="58">
        <v>9</v>
      </c>
      <c r="E123" s="58">
        <v>13</v>
      </c>
      <c r="F123" s="58">
        <v>10</v>
      </c>
      <c r="G123" s="58"/>
      <c r="H123" s="13"/>
      <c r="I123" s="11"/>
      <c r="J123" s="11"/>
      <c r="K123" s="11">
        <f t="shared" si="4"/>
        <v>32</v>
      </c>
    </row>
    <row r="124" s="4" customFormat="1" ht="21.75" customHeight="1" spans="1:11">
      <c r="A124" s="11"/>
      <c r="B124" s="11"/>
      <c r="C124" s="12" t="s">
        <v>131</v>
      </c>
      <c r="D124" s="58">
        <v>40</v>
      </c>
      <c r="E124" s="58">
        <v>40</v>
      </c>
      <c r="F124" s="65">
        <v>10</v>
      </c>
      <c r="G124" s="65"/>
      <c r="H124" s="13"/>
      <c r="I124" s="11"/>
      <c r="J124" s="11"/>
      <c r="K124" s="11">
        <f t="shared" si="4"/>
        <v>90</v>
      </c>
    </row>
    <row r="125" s="4" customFormat="1" ht="21.75" customHeight="1" spans="1:11">
      <c r="A125" s="11"/>
      <c r="B125" s="11"/>
      <c r="C125" s="12" t="s">
        <v>106</v>
      </c>
      <c r="D125" s="67">
        <v>77.85</v>
      </c>
      <c r="E125" s="67">
        <v>80</v>
      </c>
      <c r="F125" s="67"/>
      <c r="G125" s="67"/>
      <c r="H125" s="13"/>
      <c r="I125" s="11"/>
      <c r="J125" s="11"/>
      <c r="K125" s="11">
        <f t="shared" si="4"/>
        <v>157.85</v>
      </c>
    </row>
    <row r="126" s="4" customFormat="1" ht="21.75" customHeight="1" spans="1:11">
      <c r="A126" s="21" t="s">
        <v>107</v>
      </c>
      <c r="B126" s="21">
        <v>10.5</v>
      </c>
      <c r="C126" s="11" t="s">
        <v>108</v>
      </c>
      <c r="D126" s="58">
        <v>23</v>
      </c>
      <c r="E126" s="58">
        <v>25</v>
      </c>
      <c r="F126" s="58">
        <v>10</v>
      </c>
      <c r="G126" s="58"/>
      <c r="H126" s="13"/>
      <c r="I126" s="11"/>
      <c r="J126" s="11"/>
      <c r="K126" s="11">
        <f t="shared" si="4"/>
        <v>58</v>
      </c>
    </row>
    <row r="127" s="4" customFormat="1" ht="21.75" customHeight="1" spans="1:11">
      <c r="A127" s="21"/>
      <c r="B127" s="21"/>
      <c r="C127" s="11" t="s">
        <v>132</v>
      </c>
      <c r="D127" s="58">
        <v>40</v>
      </c>
      <c r="E127" s="58">
        <v>40</v>
      </c>
      <c r="F127" s="58"/>
      <c r="G127" s="58"/>
      <c r="H127" s="13"/>
      <c r="I127" s="11"/>
      <c r="J127" s="11"/>
      <c r="K127" s="11">
        <f t="shared" si="4"/>
        <v>80</v>
      </c>
    </row>
    <row r="128" s="4" customFormat="1" ht="21.75" customHeight="1" spans="1:11">
      <c r="A128" s="21"/>
      <c r="B128" s="21"/>
      <c r="C128" s="11" t="s">
        <v>111</v>
      </c>
      <c r="D128" s="58">
        <v>40</v>
      </c>
      <c r="E128" s="58">
        <v>40</v>
      </c>
      <c r="F128" s="58"/>
      <c r="G128" s="58"/>
      <c r="H128" s="13"/>
      <c r="I128" s="11"/>
      <c r="J128" s="11"/>
      <c r="K128" s="11">
        <f t="shared" si="4"/>
        <v>80</v>
      </c>
    </row>
    <row r="129" s="4" customFormat="1" ht="21.75" customHeight="1" spans="1:11">
      <c r="A129" s="21"/>
      <c r="B129" s="21"/>
      <c r="C129" s="11" t="s">
        <v>112</v>
      </c>
      <c r="D129" s="58">
        <v>12</v>
      </c>
      <c r="E129" s="58">
        <v>13</v>
      </c>
      <c r="F129" s="58"/>
      <c r="G129" s="58"/>
      <c r="H129" s="13"/>
      <c r="I129" s="11"/>
      <c r="J129" s="30"/>
      <c r="K129" s="11">
        <f t="shared" si="4"/>
        <v>25</v>
      </c>
    </row>
    <row r="130" s="4" customFormat="1" ht="21.75" customHeight="1" spans="1:11">
      <c r="A130" s="21"/>
      <c r="B130" s="21"/>
      <c r="C130" s="11" t="s">
        <v>113</v>
      </c>
      <c r="D130" s="58">
        <v>12</v>
      </c>
      <c r="E130" s="58">
        <v>13</v>
      </c>
      <c r="F130" s="58"/>
      <c r="G130" s="58"/>
      <c r="H130" s="13"/>
      <c r="I130" s="11"/>
      <c r="J130" s="30"/>
      <c r="K130" s="11">
        <f t="shared" si="4"/>
        <v>25</v>
      </c>
    </row>
    <row r="131" s="4" customFormat="1" ht="21.75" customHeight="1" spans="1:11">
      <c r="A131" s="13" t="s">
        <v>133</v>
      </c>
      <c r="B131" s="13">
        <v>10.5</v>
      </c>
      <c r="C131" s="11" t="s">
        <v>115</v>
      </c>
      <c r="D131" s="58">
        <v>10.5</v>
      </c>
      <c r="E131" s="58">
        <v>10.5</v>
      </c>
      <c r="F131" s="58">
        <v>10</v>
      </c>
      <c r="G131" s="58"/>
      <c r="H131" s="11"/>
      <c r="I131" s="11"/>
      <c r="J131" s="30"/>
      <c r="K131" s="11">
        <f t="shared" si="4"/>
        <v>31</v>
      </c>
    </row>
    <row r="132" s="4" customFormat="1" ht="21.75" customHeight="1" spans="1:11">
      <c r="A132" s="11" t="s">
        <v>116</v>
      </c>
      <c r="B132" s="11">
        <v>12</v>
      </c>
      <c r="C132" s="11" t="s">
        <v>134</v>
      </c>
      <c r="D132" s="63">
        <v>12</v>
      </c>
      <c r="E132" s="63">
        <v>12</v>
      </c>
      <c r="F132" s="63">
        <v>10</v>
      </c>
      <c r="G132" s="63"/>
      <c r="H132" s="11"/>
      <c r="I132" s="11"/>
      <c r="J132" s="30"/>
      <c r="K132" s="11">
        <f t="shared" si="4"/>
        <v>34</v>
      </c>
    </row>
    <row r="133" s="4" customFormat="1" ht="21.75" customHeight="1" spans="1:11">
      <c r="A133" s="12"/>
      <c r="B133" s="81"/>
      <c r="C133" s="81"/>
      <c r="D133" s="81"/>
      <c r="E133" s="81"/>
      <c r="F133" s="81"/>
      <c r="G133" s="81"/>
      <c r="H133" s="81"/>
      <c r="I133" s="81"/>
      <c r="J133" s="30"/>
      <c r="K133" s="82">
        <f>SUM(K112:K132)</f>
        <v>1040.35</v>
      </c>
    </row>
    <row r="137" s="2" customFormat="1" ht="21" customHeight="1" spans="1:11">
      <c r="A137" s="83" t="s">
        <v>173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</row>
    <row r="138" s="2" customFormat="1" ht="21" customHeight="1" spans="1:11">
      <c r="A138" s="84" t="s">
        <v>154</v>
      </c>
      <c r="B138" s="84"/>
      <c r="C138" s="84"/>
      <c r="D138" s="85" t="s">
        <v>174</v>
      </c>
      <c r="E138" s="84"/>
      <c r="F138" s="84"/>
      <c r="G138" s="84"/>
      <c r="H138" s="84"/>
      <c r="I138" s="84"/>
      <c r="J138" s="84"/>
      <c r="K138" s="84"/>
    </row>
    <row r="139" s="2" customFormat="1" ht="21" customHeight="1" spans="1:11">
      <c r="A139" s="86" t="s">
        <v>83</v>
      </c>
      <c r="B139" s="86" t="s">
        <v>84</v>
      </c>
      <c r="C139" s="87" t="s">
        <v>120</v>
      </c>
      <c r="D139" s="88" t="s">
        <v>6</v>
      </c>
      <c r="E139" s="88" t="s">
        <v>6</v>
      </c>
      <c r="F139" s="86" t="s">
        <v>6</v>
      </c>
      <c r="G139" s="86" t="s">
        <v>6</v>
      </c>
      <c r="H139" s="86" t="s">
        <v>6</v>
      </c>
      <c r="I139" s="86" t="s">
        <v>6</v>
      </c>
      <c r="J139" s="86" t="s">
        <v>121</v>
      </c>
      <c r="K139" s="86" t="s">
        <v>87</v>
      </c>
    </row>
    <row r="140" s="2" customFormat="1" ht="21" customHeight="1" spans="1:11">
      <c r="A140" s="31" t="s">
        <v>122</v>
      </c>
      <c r="B140" s="31">
        <v>12</v>
      </c>
      <c r="C140" s="31" t="s">
        <v>134</v>
      </c>
      <c r="D140" s="89">
        <v>12</v>
      </c>
      <c r="E140" s="90">
        <v>10</v>
      </c>
      <c r="F140" s="90"/>
      <c r="G140" s="91"/>
      <c r="H140" s="91"/>
      <c r="I140" s="92"/>
      <c r="J140" s="82"/>
      <c r="K140" s="31">
        <f t="shared" ref="K140:K160" si="5">SUM(D140:J140)</f>
        <v>22</v>
      </c>
    </row>
    <row r="141" s="2" customFormat="1" ht="21" customHeight="1" spans="1:11">
      <c r="A141" s="93" t="s">
        <v>90</v>
      </c>
      <c r="B141" s="31">
        <v>11.5</v>
      </c>
      <c r="C141" s="43" t="s">
        <v>124</v>
      </c>
      <c r="D141" s="89">
        <v>17.5</v>
      </c>
      <c r="E141" s="90">
        <v>15</v>
      </c>
      <c r="F141" s="90"/>
      <c r="G141" s="91"/>
      <c r="H141" s="91"/>
      <c r="I141" s="92"/>
      <c r="J141" s="82"/>
      <c r="K141" s="31">
        <f t="shared" si="5"/>
        <v>32.5</v>
      </c>
    </row>
    <row r="142" s="2" customFormat="1" ht="21" customHeight="1" spans="1:11">
      <c r="A142" s="93"/>
      <c r="B142" s="31"/>
      <c r="C142" s="43" t="s">
        <v>92</v>
      </c>
      <c r="D142" s="89">
        <v>17.5</v>
      </c>
      <c r="E142" s="90">
        <v>15</v>
      </c>
      <c r="F142" s="90"/>
      <c r="G142" s="91"/>
      <c r="H142" s="91"/>
      <c r="I142" s="92"/>
      <c r="J142" s="82"/>
      <c r="K142" s="31">
        <f t="shared" si="5"/>
        <v>32.5</v>
      </c>
    </row>
    <row r="143" s="2" customFormat="1" ht="21" customHeight="1" spans="1:11">
      <c r="A143" s="42" t="s">
        <v>125</v>
      </c>
      <c r="B143" s="31">
        <v>11.5</v>
      </c>
      <c r="C143" s="43" t="s">
        <v>94</v>
      </c>
      <c r="D143" s="89">
        <v>30</v>
      </c>
      <c r="E143" s="90">
        <v>11</v>
      </c>
      <c r="F143" s="90"/>
      <c r="G143" s="91"/>
      <c r="H143" s="91"/>
      <c r="I143" s="92"/>
      <c r="J143" s="82"/>
      <c r="K143" s="31">
        <f t="shared" si="5"/>
        <v>41</v>
      </c>
    </row>
    <row r="144" s="2" customFormat="1" ht="21" customHeight="1" spans="1:11">
      <c r="A144" s="44"/>
      <c r="B144" s="31"/>
      <c r="C144" s="2" t="s">
        <v>98</v>
      </c>
      <c r="D144" s="89">
        <v>45.5</v>
      </c>
      <c r="E144" s="90">
        <v>0</v>
      </c>
      <c r="F144" s="90"/>
      <c r="G144" s="91"/>
      <c r="H144" s="91"/>
      <c r="I144" s="92"/>
      <c r="J144" s="82"/>
      <c r="K144" s="31">
        <f t="shared" si="5"/>
        <v>45.5</v>
      </c>
    </row>
    <row r="145" s="2" customFormat="1" ht="21" customHeight="1" spans="1:11">
      <c r="A145" s="45" t="s">
        <v>126</v>
      </c>
      <c r="B145" s="31"/>
      <c r="C145" s="43" t="s">
        <v>95</v>
      </c>
      <c r="D145" s="89">
        <v>45.5</v>
      </c>
      <c r="E145" s="90">
        <v>0</v>
      </c>
      <c r="F145" s="90"/>
      <c r="G145" s="91"/>
      <c r="H145" s="91"/>
      <c r="I145" s="92"/>
      <c r="J145" s="82"/>
      <c r="K145" s="31">
        <f t="shared" si="5"/>
        <v>45.5</v>
      </c>
    </row>
    <row r="146" s="2" customFormat="1" ht="21" customHeight="1" spans="1:11">
      <c r="A146" s="46"/>
      <c r="B146" s="31"/>
      <c r="C146" s="43" t="s">
        <v>97</v>
      </c>
      <c r="D146" s="89">
        <v>45.5</v>
      </c>
      <c r="E146" s="90">
        <v>0</v>
      </c>
      <c r="F146" s="90"/>
      <c r="G146" s="91"/>
      <c r="H146" s="91"/>
      <c r="I146" s="94"/>
      <c r="J146" s="82"/>
      <c r="K146" s="31">
        <f t="shared" si="5"/>
        <v>45.5</v>
      </c>
    </row>
    <row r="147" s="2" customFormat="1" ht="21" customHeight="1" spans="1:11">
      <c r="A147" s="47" t="s">
        <v>127</v>
      </c>
      <c r="B147" s="31"/>
      <c r="C147" s="31" t="s">
        <v>96</v>
      </c>
      <c r="D147" s="89">
        <v>19</v>
      </c>
      <c r="E147" s="90">
        <v>11</v>
      </c>
      <c r="F147" s="90"/>
      <c r="G147" s="91"/>
      <c r="H147" s="91"/>
      <c r="I147" s="94"/>
      <c r="J147" s="82"/>
      <c r="K147" s="31">
        <f t="shared" si="5"/>
        <v>30</v>
      </c>
    </row>
    <row r="148" s="2" customFormat="1" ht="21" customHeight="1" spans="1:11">
      <c r="A148" s="31" t="s">
        <v>128</v>
      </c>
      <c r="B148" s="31">
        <v>10.5</v>
      </c>
      <c r="C148" s="31" t="s">
        <v>129</v>
      </c>
      <c r="D148" s="82">
        <v>31.8</v>
      </c>
      <c r="E148" s="90">
        <v>5</v>
      </c>
      <c r="F148" s="90"/>
      <c r="G148" s="91"/>
      <c r="H148" s="91"/>
      <c r="I148" s="92"/>
      <c r="J148" s="82"/>
      <c r="K148" s="31">
        <f t="shared" si="5"/>
        <v>36.8</v>
      </c>
    </row>
    <row r="149" s="2" customFormat="1" ht="21" customHeight="1" spans="1:11">
      <c r="A149" s="31"/>
      <c r="B149" s="31"/>
      <c r="C149" s="31" t="s">
        <v>101</v>
      </c>
      <c r="D149" s="89">
        <v>36</v>
      </c>
      <c r="E149" s="90">
        <v>0</v>
      </c>
      <c r="F149" s="90"/>
      <c r="G149" s="91"/>
      <c r="H149" s="91"/>
      <c r="I149" s="92"/>
      <c r="J149" s="82"/>
      <c r="K149" s="31">
        <f t="shared" si="5"/>
        <v>36</v>
      </c>
    </row>
    <row r="150" s="2" customFormat="1" ht="21" customHeight="1" spans="1:11">
      <c r="A150" s="31" t="s">
        <v>130</v>
      </c>
      <c r="B150" s="31">
        <v>11.5</v>
      </c>
      <c r="C150" s="43" t="s">
        <v>103</v>
      </c>
      <c r="D150" s="89">
        <v>48</v>
      </c>
      <c r="E150" s="90">
        <v>5</v>
      </c>
      <c r="F150" s="90"/>
      <c r="G150" s="91"/>
      <c r="H150" s="91"/>
      <c r="I150" s="92"/>
      <c r="J150" s="82"/>
      <c r="K150" s="31">
        <f t="shared" si="5"/>
        <v>53</v>
      </c>
    </row>
    <row r="151" s="2" customFormat="1" ht="21" customHeight="1" spans="1:11">
      <c r="A151" s="31"/>
      <c r="B151" s="31"/>
      <c r="C151" s="43" t="s">
        <v>104</v>
      </c>
      <c r="D151" s="82">
        <v>36</v>
      </c>
      <c r="E151" s="90">
        <v>5</v>
      </c>
      <c r="F151" s="90"/>
      <c r="G151" s="91"/>
      <c r="H151" s="91"/>
      <c r="I151" s="92"/>
      <c r="J151" s="82"/>
      <c r="K151" s="31">
        <f t="shared" si="5"/>
        <v>41</v>
      </c>
    </row>
    <row r="152" s="2" customFormat="1" ht="21" customHeight="1" spans="1:11">
      <c r="A152" s="31"/>
      <c r="B152" s="31"/>
      <c r="C152" s="43" t="s">
        <v>131</v>
      </c>
      <c r="D152" s="89">
        <v>34.6</v>
      </c>
      <c r="E152" s="90">
        <v>0</v>
      </c>
      <c r="F152" s="90"/>
      <c r="G152" s="91"/>
      <c r="H152" s="91"/>
      <c r="I152" s="92"/>
      <c r="J152" s="82"/>
      <c r="K152" s="31">
        <f t="shared" si="5"/>
        <v>34.6</v>
      </c>
    </row>
    <row r="153" s="2" customFormat="1" ht="21" customHeight="1" spans="1:11">
      <c r="A153" s="31"/>
      <c r="B153" s="31"/>
      <c r="C153" s="43" t="s">
        <v>106</v>
      </c>
      <c r="D153" s="82">
        <v>24.5</v>
      </c>
      <c r="E153" s="90">
        <v>5</v>
      </c>
      <c r="F153" s="90"/>
      <c r="G153" s="91"/>
      <c r="H153" s="91"/>
      <c r="I153" s="92"/>
      <c r="J153" s="82"/>
      <c r="K153" s="31">
        <f t="shared" si="5"/>
        <v>29.5</v>
      </c>
    </row>
    <row r="154" s="2" customFormat="1" ht="21" customHeight="1" spans="1:11">
      <c r="A154" s="95" t="s">
        <v>107</v>
      </c>
      <c r="B154" s="95">
        <v>10.5</v>
      </c>
      <c r="C154" s="31" t="s">
        <v>108</v>
      </c>
      <c r="D154" s="89">
        <v>36</v>
      </c>
      <c r="E154" s="90">
        <v>10</v>
      </c>
      <c r="F154" s="90"/>
      <c r="G154" s="91"/>
      <c r="H154" s="91"/>
      <c r="I154" s="92"/>
      <c r="J154" s="82"/>
      <c r="K154" s="31">
        <f t="shared" si="5"/>
        <v>46</v>
      </c>
    </row>
    <row r="155" s="2" customFormat="1" ht="21" customHeight="1" spans="1:11">
      <c r="A155" s="95"/>
      <c r="B155" s="95"/>
      <c r="C155" s="31" t="s">
        <v>132</v>
      </c>
      <c r="D155" s="89">
        <v>36</v>
      </c>
      <c r="E155" s="90">
        <v>0</v>
      </c>
      <c r="F155" s="90"/>
      <c r="G155" s="91"/>
      <c r="H155" s="91"/>
      <c r="I155" s="92"/>
      <c r="J155" s="82"/>
      <c r="K155" s="31">
        <f t="shared" si="5"/>
        <v>36</v>
      </c>
    </row>
    <row r="156" s="2" customFormat="1" ht="21" customHeight="1" spans="1:11">
      <c r="A156" s="95"/>
      <c r="B156" s="95"/>
      <c r="C156" s="43" t="s">
        <v>111</v>
      </c>
      <c r="D156" s="89">
        <v>36</v>
      </c>
      <c r="E156" s="90">
        <v>0</v>
      </c>
      <c r="F156" s="90"/>
      <c r="G156" s="91"/>
      <c r="H156" s="91"/>
      <c r="I156" s="92"/>
      <c r="J156" s="82"/>
      <c r="K156" s="31">
        <f t="shared" si="5"/>
        <v>36</v>
      </c>
    </row>
    <row r="157" s="2" customFormat="1" ht="21" customHeight="1" spans="1:11">
      <c r="A157" s="95"/>
      <c r="B157" s="95"/>
      <c r="C157" s="43" t="s">
        <v>113</v>
      </c>
      <c r="D157" s="96">
        <v>36</v>
      </c>
      <c r="E157" s="90">
        <v>5</v>
      </c>
      <c r="F157" s="90"/>
      <c r="G157" s="91"/>
      <c r="H157" s="91"/>
      <c r="I157" s="92"/>
      <c r="J157" s="92"/>
      <c r="K157" s="31">
        <f t="shared" si="5"/>
        <v>41</v>
      </c>
    </row>
    <row r="158" s="2" customFormat="1" ht="21" customHeight="1" spans="1:11">
      <c r="A158" s="95"/>
      <c r="B158" s="95"/>
      <c r="C158" s="31" t="s">
        <v>112</v>
      </c>
      <c r="D158" s="97">
        <v>36</v>
      </c>
      <c r="E158" s="90">
        <v>5</v>
      </c>
      <c r="F158" s="90"/>
      <c r="G158" s="91"/>
      <c r="H158" s="91"/>
      <c r="I158" s="92"/>
      <c r="J158" s="92"/>
      <c r="K158" s="31">
        <f t="shared" si="5"/>
        <v>41</v>
      </c>
    </row>
    <row r="159" s="2" customFormat="1" ht="21" customHeight="1" spans="1:11">
      <c r="A159" s="50" t="s">
        <v>133</v>
      </c>
      <c r="B159" s="50">
        <v>10.5</v>
      </c>
      <c r="C159" s="31" t="s">
        <v>115</v>
      </c>
      <c r="D159" s="89">
        <v>10.5</v>
      </c>
      <c r="E159" s="90">
        <v>10.5</v>
      </c>
      <c r="F159" s="90"/>
      <c r="G159" s="91"/>
      <c r="H159" s="91"/>
      <c r="I159" s="92"/>
      <c r="J159" s="92"/>
      <c r="K159" s="31">
        <f t="shared" si="5"/>
        <v>21</v>
      </c>
    </row>
    <row r="160" s="2" customFormat="1" ht="21" customHeight="1" spans="1:11">
      <c r="A160" s="31" t="s">
        <v>116</v>
      </c>
      <c r="B160" s="31">
        <v>12</v>
      </c>
      <c r="C160" s="31" t="s">
        <v>134</v>
      </c>
      <c r="D160" s="82">
        <v>12</v>
      </c>
      <c r="E160" s="98">
        <v>12</v>
      </c>
      <c r="F160" s="98"/>
      <c r="G160" s="91"/>
      <c r="H160" s="91"/>
      <c r="I160" s="92"/>
      <c r="J160" s="92"/>
      <c r="K160" s="31">
        <f t="shared" si="5"/>
        <v>24</v>
      </c>
    </row>
    <row r="161" s="2" customFormat="1" ht="21" customHeight="1" spans="1:1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82">
        <f>SUM(K140:K160)</f>
        <v>770.4</v>
      </c>
    </row>
    <row r="165" s="4" customFormat="1" ht="21.75" customHeight="1" spans="1:11">
      <c r="A165" s="99" t="s">
        <v>168</v>
      </c>
      <c r="B165" s="99"/>
      <c r="C165" s="99"/>
      <c r="D165" s="99"/>
      <c r="E165" s="99"/>
      <c r="F165" s="99"/>
      <c r="G165" s="99"/>
      <c r="H165" s="99"/>
      <c r="I165" s="99"/>
      <c r="J165" s="99"/>
      <c r="K165" s="99"/>
    </row>
    <row r="166" s="4" customFormat="1" ht="21.75" customHeight="1" spans="1:11">
      <c r="A166" s="100" t="s">
        <v>156</v>
      </c>
      <c r="B166" s="100"/>
      <c r="C166" s="100"/>
      <c r="D166" s="101" t="s">
        <v>175</v>
      </c>
      <c r="E166" s="100"/>
      <c r="F166" s="100"/>
      <c r="G166" s="100"/>
      <c r="H166" s="100"/>
      <c r="I166" s="100"/>
      <c r="J166" s="100"/>
      <c r="K166" s="100"/>
    </row>
    <row r="167" s="4" customFormat="1" ht="21.75" customHeight="1" spans="1:11">
      <c r="A167" s="102" t="s">
        <v>83</v>
      </c>
      <c r="B167" s="102" t="s">
        <v>84</v>
      </c>
      <c r="C167" s="103" t="s">
        <v>120</v>
      </c>
      <c r="D167" s="104" t="s">
        <v>6</v>
      </c>
      <c r="E167" s="104" t="s">
        <v>6</v>
      </c>
      <c r="F167" s="102" t="s">
        <v>6</v>
      </c>
      <c r="G167" s="102" t="s">
        <v>6</v>
      </c>
      <c r="H167" s="102" t="s">
        <v>6</v>
      </c>
      <c r="I167" s="102" t="s">
        <v>6</v>
      </c>
      <c r="J167" s="102" t="s">
        <v>121</v>
      </c>
      <c r="K167" s="102" t="s">
        <v>87</v>
      </c>
    </row>
    <row r="168" s="4" customFormat="1" ht="21.75" customHeight="1" spans="1:11">
      <c r="A168" s="14" t="s">
        <v>122</v>
      </c>
      <c r="B168" s="14">
        <v>12</v>
      </c>
      <c r="C168" s="14" t="s">
        <v>134</v>
      </c>
      <c r="D168" s="72">
        <v>15</v>
      </c>
      <c r="E168" s="72">
        <v>15</v>
      </c>
      <c r="F168" s="14">
        <v>10</v>
      </c>
      <c r="G168" s="14">
        <v>10</v>
      </c>
      <c r="H168" s="14"/>
      <c r="I168" s="105"/>
      <c r="J168" s="106"/>
      <c r="K168" s="14">
        <f t="shared" ref="K168:K188" si="6">SUM(D168:J168)</f>
        <v>50</v>
      </c>
    </row>
    <row r="169" s="4" customFormat="1" ht="21.75" customHeight="1" spans="1:11">
      <c r="A169" s="107" t="s">
        <v>90</v>
      </c>
      <c r="B169" s="14">
        <v>11.5</v>
      </c>
      <c r="C169" s="20" t="s">
        <v>124</v>
      </c>
      <c r="D169" s="108">
        <v>21.5</v>
      </c>
      <c r="E169" s="108">
        <v>21.5</v>
      </c>
      <c r="F169" s="14">
        <v>0</v>
      </c>
      <c r="G169" s="14">
        <v>0</v>
      </c>
      <c r="H169" s="14"/>
      <c r="I169" s="105"/>
      <c r="J169" s="106"/>
      <c r="K169" s="14">
        <f t="shared" si="6"/>
        <v>43</v>
      </c>
    </row>
    <row r="170" s="4" customFormat="1" ht="21.75" customHeight="1" spans="1:11">
      <c r="A170" s="107"/>
      <c r="B170" s="14"/>
      <c r="C170" s="20" t="s">
        <v>92</v>
      </c>
      <c r="D170" s="108">
        <v>21.5</v>
      </c>
      <c r="E170" s="108">
        <v>21.5</v>
      </c>
      <c r="F170" s="14">
        <v>10</v>
      </c>
      <c r="G170" s="14">
        <v>10</v>
      </c>
      <c r="H170" s="14"/>
      <c r="I170" s="105"/>
      <c r="J170" s="106"/>
      <c r="K170" s="14">
        <f t="shared" si="6"/>
        <v>63</v>
      </c>
    </row>
    <row r="171" s="4" customFormat="1" ht="21.75" customHeight="1" spans="1:11">
      <c r="A171" s="25" t="s">
        <v>93</v>
      </c>
      <c r="B171" s="72">
        <v>11.5</v>
      </c>
      <c r="C171" s="20" t="s">
        <v>94</v>
      </c>
      <c r="D171" s="108">
        <v>14.3</v>
      </c>
      <c r="E171" s="108">
        <v>14.3</v>
      </c>
      <c r="F171" s="14">
        <v>11.5</v>
      </c>
      <c r="G171" s="14">
        <v>11.5</v>
      </c>
      <c r="H171" s="14"/>
      <c r="I171" s="105"/>
      <c r="J171" s="106"/>
      <c r="K171" s="14">
        <f t="shared" si="6"/>
        <v>51.6</v>
      </c>
    </row>
    <row r="172" s="4" customFormat="1" ht="21.75" customHeight="1" spans="1:11">
      <c r="A172" s="109"/>
      <c r="B172" s="110"/>
      <c r="C172" s="20" t="s">
        <v>95</v>
      </c>
      <c r="D172" s="108">
        <v>14.3</v>
      </c>
      <c r="E172" s="108">
        <v>14.3</v>
      </c>
      <c r="F172" s="14">
        <v>11.5</v>
      </c>
      <c r="G172" s="14">
        <v>11.5</v>
      </c>
      <c r="H172" s="14"/>
      <c r="I172" s="105"/>
      <c r="J172" s="106"/>
      <c r="K172" s="14">
        <f t="shared" si="6"/>
        <v>51.6</v>
      </c>
    </row>
    <row r="173" s="4" customFormat="1" ht="21.75" customHeight="1" spans="1:11">
      <c r="A173" s="109"/>
      <c r="B173" s="110"/>
      <c r="C173" s="14" t="s">
        <v>96</v>
      </c>
      <c r="D173" s="111">
        <v>14.3</v>
      </c>
      <c r="E173" s="111">
        <v>14.3</v>
      </c>
      <c r="F173" s="14">
        <v>11.5</v>
      </c>
      <c r="G173" s="14">
        <v>11.5</v>
      </c>
      <c r="H173" s="14"/>
      <c r="I173" s="105"/>
      <c r="J173" s="106"/>
      <c r="K173" s="14">
        <f t="shared" si="6"/>
        <v>51.6</v>
      </c>
    </row>
    <row r="174" s="4" customFormat="1" ht="21.75" customHeight="1" spans="1:11">
      <c r="A174" s="109"/>
      <c r="B174" s="110"/>
      <c r="C174" s="20" t="s">
        <v>97</v>
      </c>
      <c r="D174" s="108">
        <v>0</v>
      </c>
      <c r="E174" s="108">
        <v>0</v>
      </c>
      <c r="F174" s="14">
        <v>0</v>
      </c>
      <c r="G174" s="14">
        <v>0</v>
      </c>
      <c r="H174" s="14"/>
      <c r="I174" s="105"/>
      <c r="J174" s="106"/>
      <c r="K174" s="14">
        <f t="shared" si="6"/>
        <v>0</v>
      </c>
    </row>
    <row r="175" s="4" customFormat="1" ht="21.75" customHeight="1" spans="1:11">
      <c r="A175" s="27"/>
      <c r="B175" s="112"/>
      <c r="C175" s="20" t="s">
        <v>98</v>
      </c>
      <c r="D175" s="108">
        <v>14.3</v>
      </c>
      <c r="E175" s="108">
        <v>14.3</v>
      </c>
      <c r="F175" s="14">
        <v>11.5</v>
      </c>
      <c r="G175" s="14">
        <v>11.5</v>
      </c>
      <c r="H175" s="14"/>
      <c r="I175" s="105"/>
      <c r="J175" s="106"/>
      <c r="K175" s="14">
        <f t="shared" si="6"/>
        <v>51.6</v>
      </c>
    </row>
    <row r="176" s="4" customFormat="1" ht="21.75" customHeight="1" spans="1:11">
      <c r="A176" s="14" t="s">
        <v>128</v>
      </c>
      <c r="B176" s="14">
        <v>10.5</v>
      </c>
      <c r="C176" s="14" t="s">
        <v>129</v>
      </c>
      <c r="D176" s="108">
        <v>16.7</v>
      </c>
      <c r="E176" s="108">
        <v>16.7</v>
      </c>
      <c r="F176" s="14">
        <v>10</v>
      </c>
      <c r="G176" s="14">
        <v>10</v>
      </c>
      <c r="H176" s="14"/>
      <c r="I176" s="105"/>
      <c r="J176" s="106"/>
      <c r="K176" s="14">
        <f t="shared" si="6"/>
        <v>53.4</v>
      </c>
    </row>
    <row r="177" s="4" customFormat="1" ht="21.75" customHeight="1" spans="1:11">
      <c r="A177" s="14"/>
      <c r="B177" s="14"/>
      <c r="C177" s="14" t="s">
        <v>101</v>
      </c>
      <c r="D177" s="72">
        <v>16.7</v>
      </c>
      <c r="E177" s="72">
        <v>16.7</v>
      </c>
      <c r="F177" s="14">
        <v>10</v>
      </c>
      <c r="G177" s="14">
        <v>10</v>
      </c>
      <c r="H177" s="14"/>
      <c r="I177" s="105"/>
      <c r="J177" s="106"/>
      <c r="K177" s="14">
        <f t="shared" si="6"/>
        <v>53.4</v>
      </c>
    </row>
    <row r="178" s="4" customFormat="1" ht="21.75" customHeight="1" spans="1:11">
      <c r="A178" s="14" t="s">
        <v>130</v>
      </c>
      <c r="B178" s="14">
        <v>11.5</v>
      </c>
      <c r="C178" s="20" t="s">
        <v>103</v>
      </c>
      <c r="D178" s="72">
        <v>0</v>
      </c>
      <c r="E178" s="72">
        <v>0</v>
      </c>
      <c r="F178" s="14">
        <v>0</v>
      </c>
      <c r="G178" s="14">
        <v>0</v>
      </c>
      <c r="H178" s="14"/>
      <c r="I178" s="105"/>
      <c r="J178" s="106"/>
      <c r="K178" s="14">
        <f t="shared" si="6"/>
        <v>0</v>
      </c>
    </row>
    <row r="179" s="4" customFormat="1" ht="21.75" customHeight="1" spans="1:11">
      <c r="A179" s="14"/>
      <c r="B179" s="14"/>
      <c r="C179" s="20" t="s">
        <v>104</v>
      </c>
      <c r="D179" s="72">
        <v>16.7</v>
      </c>
      <c r="E179" s="72">
        <v>16.7</v>
      </c>
      <c r="F179" s="14">
        <v>10</v>
      </c>
      <c r="G179" s="14">
        <v>10</v>
      </c>
      <c r="H179" s="14"/>
      <c r="I179" s="105"/>
      <c r="J179" s="106"/>
      <c r="K179" s="14">
        <f t="shared" si="6"/>
        <v>53.4</v>
      </c>
    </row>
    <row r="180" s="4" customFormat="1" ht="21.75" customHeight="1" spans="1:11">
      <c r="A180" s="14"/>
      <c r="B180" s="14"/>
      <c r="C180" s="20" t="s">
        <v>131</v>
      </c>
      <c r="D180" s="72">
        <v>16.7</v>
      </c>
      <c r="E180" s="72">
        <v>16.7</v>
      </c>
      <c r="F180" s="14">
        <v>5</v>
      </c>
      <c r="G180" s="14">
        <v>5</v>
      </c>
      <c r="H180" s="14"/>
      <c r="I180" s="105"/>
      <c r="J180" s="106"/>
      <c r="K180" s="14">
        <f t="shared" si="6"/>
        <v>43.4</v>
      </c>
    </row>
    <row r="181" s="4" customFormat="1" ht="21.75" customHeight="1" spans="1:11">
      <c r="A181" s="14"/>
      <c r="B181" s="14"/>
      <c r="C181" s="20" t="s">
        <v>106</v>
      </c>
      <c r="D181" s="72">
        <v>0</v>
      </c>
      <c r="E181" s="72">
        <v>0</v>
      </c>
      <c r="F181" s="14">
        <v>0</v>
      </c>
      <c r="G181" s="14">
        <v>0</v>
      </c>
      <c r="H181" s="14"/>
      <c r="I181" s="105"/>
      <c r="J181" s="106"/>
      <c r="K181" s="14">
        <f t="shared" si="6"/>
        <v>0</v>
      </c>
    </row>
    <row r="182" s="4" customFormat="1" ht="21.75" customHeight="1" spans="1:11">
      <c r="A182" s="95" t="s">
        <v>107</v>
      </c>
      <c r="B182" s="95">
        <v>10.5</v>
      </c>
      <c r="C182" s="14" t="s">
        <v>108</v>
      </c>
      <c r="D182" s="72">
        <v>16.7</v>
      </c>
      <c r="E182" s="72">
        <v>16.7</v>
      </c>
      <c r="F182" s="72">
        <v>0</v>
      </c>
      <c r="G182" s="72">
        <v>0</v>
      </c>
      <c r="H182" s="72"/>
      <c r="I182" s="105"/>
      <c r="J182" s="106"/>
      <c r="K182" s="14">
        <f t="shared" si="6"/>
        <v>33.4</v>
      </c>
    </row>
    <row r="183" s="4" customFormat="1" ht="21.75" customHeight="1" spans="1:11">
      <c r="A183" s="95"/>
      <c r="B183" s="95"/>
      <c r="C183" s="14" t="s">
        <v>132</v>
      </c>
      <c r="D183" s="72">
        <v>16.7</v>
      </c>
      <c r="E183" s="72">
        <v>16.7</v>
      </c>
      <c r="F183" s="14">
        <v>10</v>
      </c>
      <c r="G183" s="14">
        <v>10</v>
      </c>
      <c r="H183" s="14"/>
      <c r="I183" s="105"/>
      <c r="J183" s="106"/>
      <c r="K183" s="14">
        <f t="shared" si="6"/>
        <v>53.4</v>
      </c>
    </row>
    <row r="184" s="4" customFormat="1" ht="21.75" customHeight="1" spans="1:11">
      <c r="A184" s="95"/>
      <c r="B184" s="95"/>
      <c r="C184" s="14" t="s">
        <v>111</v>
      </c>
      <c r="D184" s="72">
        <v>0</v>
      </c>
      <c r="E184" s="72">
        <v>0</v>
      </c>
      <c r="F184" s="14">
        <v>5</v>
      </c>
      <c r="G184" s="14">
        <v>5</v>
      </c>
      <c r="H184" s="14"/>
      <c r="I184" s="105"/>
      <c r="J184" s="106"/>
      <c r="K184" s="14">
        <f t="shared" si="6"/>
        <v>10</v>
      </c>
    </row>
    <row r="185" s="4" customFormat="1" ht="21.75" customHeight="1" spans="1:11">
      <c r="A185" s="95"/>
      <c r="B185" s="95"/>
      <c r="C185" s="14" t="s">
        <v>112</v>
      </c>
      <c r="D185" s="72">
        <v>16.7</v>
      </c>
      <c r="E185" s="72">
        <v>16.7</v>
      </c>
      <c r="F185" s="14">
        <v>5</v>
      </c>
      <c r="G185" s="14">
        <v>5</v>
      </c>
      <c r="H185" s="14"/>
      <c r="I185" s="105"/>
      <c r="J185" s="106"/>
      <c r="K185" s="14">
        <f t="shared" si="6"/>
        <v>43.4</v>
      </c>
    </row>
    <row r="186" s="4" customFormat="1" ht="21.75" customHeight="1" spans="1:11">
      <c r="A186" s="95"/>
      <c r="B186" s="95"/>
      <c r="C186" s="14" t="s">
        <v>113</v>
      </c>
      <c r="D186" s="72">
        <v>16.7</v>
      </c>
      <c r="E186" s="72">
        <v>16.7</v>
      </c>
      <c r="F186" s="14">
        <v>5</v>
      </c>
      <c r="G186" s="14">
        <v>5</v>
      </c>
      <c r="H186" s="14"/>
      <c r="I186" s="105"/>
      <c r="J186" s="106"/>
      <c r="K186" s="14">
        <f t="shared" si="6"/>
        <v>43.4</v>
      </c>
    </row>
    <row r="187" s="4" customFormat="1" ht="21.75" customHeight="1" spans="1:11">
      <c r="A187" s="72" t="s">
        <v>133</v>
      </c>
      <c r="B187" s="72">
        <v>10.5</v>
      </c>
      <c r="C187" s="14" t="s">
        <v>115</v>
      </c>
      <c r="D187" s="14">
        <v>10</v>
      </c>
      <c r="E187" s="14">
        <v>10</v>
      </c>
      <c r="F187" s="14">
        <v>10</v>
      </c>
      <c r="G187" s="14">
        <v>10</v>
      </c>
      <c r="H187" s="14"/>
      <c r="I187" s="105"/>
      <c r="J187" s="106"/>
      <c r="K187" s="14">
        <f t="shared" si="6"/>
        <v>40</v>
      </c>
    </row>
    <row r="188" s="4" customFormat="1" ht="21.75" customHeight="1" spans="1:11">
      <c r="A188" s="14" t="s">
        <v>116</v>
      </c>
      <c r="B188" s="14">
        <v>12</v>
      </c>
      <c r="C188" s="14" t="s">
        <v>134</v>
      </c>
      <c r="D188" s="14">
        <v>12</v>
      </c>
      <c r="E188" s="14">
        <v>12</v>
      </c>
      <c r="F188" s="14">
        <v>12</v>
      </c>
      <c r="G188" s="14">
        <v>12</v>
      </c>
      <c r="H188" s="14"/>
      <c r="I188" s="105"/>
      <c r="J188" s="106"/>
      <c r="K188" s="14">
        <f t="shared" si="6"/>
        <v>48</v>
      </c>
    </row>
    <row r="189" s="4" customFormat="1" ht="21.75" customHeight="1" spans="1:11">
      <c r="A189" s="20"/>
      <c r="B189" s="73"/>
      <c r="C189" s="73"/>
      <c r="D189" s="73"/>
      <c r="E189" s="73"/>
      <c r="F189" s="73"/>
      <c r="G189" s="73"/>
      <c r="H189" s="73"/>
      <c r="I189" s="73"/>
      <c r="J189" s="73"/>
      <c r="K189" s="14">
        <f>SUM(K168:K188)</f>
        <v>837.6</v>
      </c>
    </row>
    <row r="193" ht="26" customHeight="1" spans="1:11">
      <c r="A193" s="76" t="s">
        <v>168</v>
      </c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ht="26" customHeight="1" spans="1:11">
      <c r="A194" s="113" t="s">
        <v>151</v>
      </c>
      <c r="B194" s="11"/>
      <c r="C194" s="11"/>
      <c r="D194" s="10" t="s">
        <v>176</v>
      </c>
      <c r="E194" s="9"/>
      <c r="F194" s="9"/>
      <c r="G194" s="9"/>
      <c r="H194" s="9"/>
      <c r="I194" s="9"/>
      <c r="J194" s="9"/>
      <c r="K194" s="9"/>
    </row>
    <row r="195" ht="26" customHeight="1" spans="1:11">
      <c r="A195" s="11" t="s">
        <v>83</v>
      </c>
      <c r="B195" s="11" t="s">
        <v>84</v>
      </c>
      <c r="C195" s="12" t="s">
        <v>120</v>
      </c>
      <c r="D195" s="13" t="s">
        <v>6</v>
      </c>
      <c r="E195" s="13" t="s">
        <v>6</v>
      </c>
      <c r="F195" s="11" t="s">
        <v>6</v>
      </c>
      <c r="G195" s="11" t="s">
        <v>6</v>
      </c>
      <c r="H195" s="11" t="s">
        <v>6</v>
      </c>
      <c r="I195" s="11" t="s">
        <v>6</v>
      </c>
      <c r="J195" s="11" t="s">
        <v>121</v>
      </c>
      <c r="K195" s="11" t="s">
        <v>87</v>
      </c>
    </row>
    <row r="196" ht="26" customHeight="1" spans="1:11">
      <c r="A196" s="11" t="s">
        <v>122</v>
      </c>
      <c r="B196" s="11">
        <v>12</v>
      </c>
      <c r="C196" s="14" t="s">
        <v>134</v>
      </c>
      <c r="D196" s="13">
        <v>12</v>
      </c>
      <c r="E196" s="13">
        <v>12</v>
      </c>
      <c r="F196" s="13">
        <v>20</v>
      </c>
      <c r="G196" s="13">
        <v>20</v>
      </c>
      <c r="H196" s="13">
        <v>20</v>
      </c>
      <c r="I196" s="13"/>
      <c r="J196" s="13"/>
      <c r="K196" s="11">
        <f t="shared" ref="K196:K216" si="7">SUM(D196:J196)</f>
        <v>84</v>
      </c>
    </row>
    <row r="197" ht="26" customHeight="1" spans="1:11">
      <c r="A197" s="18" t="s">
        <v>90</v>
      </c>
      <c r="B197" s="11">
        <v>11.5</v>
      </c>
      <c r="C197" s="12" t="s">
        <v>124</v>
      </c>
      <c r="D197" s="13">
        <v>17.5</v>
      </c>
      <c r="E197" s="13">
        <v>17.5</v>
      </c>
      <c r="F197" s="13">
        <v>20</v>
      </c>
      <c r="G197" s="13">
        <v>20</v>
      </c>
      <c r="H197" s="13">
        <v>20</v>
      </c>
      <c r="I197" s="13"/>
      <c r="J197" s="13"/>
      <c r="K197" s="11">
        <f t="shared" si="7"/>
        <v>95</v>
      </c>
    </row>
    <row r="198" ht="26" customHeight="1" spans="1:11">
      <c r="A198" s="18"/>
      <c r="B198" s="11"/>
      <c r="C198" s="12" t="s">
        <v>92</v>
      </c>
      <c r="D198" s="13">
        <v>17.5</v>
      </c>
      <c r="E198" s="13">
        <v>17.5</v>
      </c>
      <c r="F198" s="13">
        <v>20</v>
      </c>
      <c r="G198" s="13">
        <v>20</v>
      </c>
      <c r="H198" s="13">
        <v>20</v>
      </c>
      <c r="I198" s="13"/>
      <c r="J198" s="13"/>
      <c r="K198" s="11">
        <f t="shared" si="7"/>
        <v>95</v>
      </c>
    </row>
    <row r="199" ht="26" customHeight="1" spans="1:11">
      <c r="A199" s="19" t="s">
        <v>125</v>
      </c>
      <c r="B199" s="14">
        <v>11.5</v>
      </c>
      <c r="C199" s="20" t="s">
        <v>94</v>
      </c>
      <c r="D199" s="11">
        <v>10</v>
      </c>
      <c r="E199" s="11">
        <v>10</v>
      </c>
      <c r="F199" s="13">
        <v>20</v>
      </c>
      <c r="G199" s="13">
        <v>20</v>
      </c>
      <c r="H199" s="13">
        <v>20</v>
      </c>
      <c r="I199" s="11"/>
      <c r="J199" s="13"/>
      <c r="K199" s="11">
        <f t="shared" si="7"/>
        <v>80</v>
      </c>
    </row>
    <row r="200" ht="26" customHeight="1" spans="1:11">
      <c r="A200" s="22"/>
      <c r="B200" s="14"/>
      <c r="C200" s="1" t="s">
        <v>98</v>
      </c>
      <c r="D200" s="11">
        <v>11.5</v>
      </c>
      <c r="E200" s="11">
        <v>11.5</v>
      </c>
      <c r="F200" s="13">
        <v>0</v>
      </c>
      <c r="G200" s="13">
        <v>0</v>
      </c>
      <c r="H200" s="13">
        <v>0</v>
      </c>
      <c r="I200" s="13"/>
      <c r="J200" s="13"/>
      <c r="K200" s="11">
        <f t="shared" si="7"/>
        <v>23</v>
      </c>
    </row>
    <row r="201" ht="26" customHeight="1" spans="1:11">
      <c r="A201" s="25" t="s">
        <v>126</v>
      </c>
      <c r="B201" s="14"/>
      <c r="C201" s="20" t="s">
        <v>95</v>
      </c>
      <c r="D201" s="11">
        <v>10</v>
      </c>
      <c r="E201" s="11">
        <v>10</v>
      </c>
      <c r="F201" s="13">
        <v>20</v>
      </c>
      <c r="G201" s="13">
        <v>20</v>
      </c>
      <c r="H201" s="13">
        <v>20</v>
      </c>
      <c r="I201" s="11"/>
      <c r="J201" s="13"/>
      <c r="K201" s="11">
        <f t="shared" si="7"/>
        <v>80</v>
      </c>
    </row>
    <row r="202" ht="26" customHeight="1" spans="1:11">
      <c r="A202" s="27"/>
      <c r="B202" s="14"/>
      <c r="C202" s="20" t="s">
        <v>97</v>
      </c>
      <c r="D202" s="11">
        <v>10</v>
      </c>
      <c r="E202" s="11">
        <v>10</v>
      </c>
      <c r="F202" s="13">
        <v>0</v>
      </c>
      <c r="G202" s="13">
        <v>0</v>
      </c>
      <c r="H202" s="13">
        <v>0</v>
      </c>
      <c r="I202" s="11"/>
      <c r="J202" s="13"/>
      <c r="K202" s="11">
        <f t="shared" si="7"/>
        <v>20</v>
      </c>
    </row>
    <row r="203" ht="26" customHeight="1" spans="1:11">
      <c r="A203" s="18" t="s">
        <v>127</v>
      </c>
      <c r="B203" s="14"/>
      <c r="C203" s="14" t="s">
        <v>96</v>
      </c>
      <c r="D203" s="11">
        <v>11.5</v>
      </c>
      <c r="E203" s="11">
        <v>11.5</v>
      </c>
      <c r="F203" s="13">
        <v>0</v>
      </c>
      <c r="G203" s="13">
        <v>0</v>
      </c>
      <c r="H203" s="13">
        <v>0</v>
      </c>
      <c r="I203" s="13"/>
      <c r="J203" s="13"/>
      <c r="K203" s="11">
        <f t="shared" si="7"/>
        <v>23</v>
      </c>
    </row>
    <row r="204" ht="26" customHeight="1" spans="1:11">
      <c r="A204" s="11" t="s">
        <v>128</v>
      </c>
      <c r="B204" s="11">
        <v>10.5</v>
      </c>
      <c r="C204" s="11" t="s">
        <v>129</v>
      </c>
      <c r="D204" s="11">
        <v>10</v>
      </c>
      <c r="E204" s="11">
        <v>10</v>
      </c>
      <c r="F204" s="13">
        <v>0</v>
      </c>
      <c r="G204" s="13">
        <v>0</v>
      </c>
      <c r="H204" s="13">
        <v>0</v>
      </c>
      <c r="I204" s="11"/>
      <c r="J204" s="13"/>
      <c r="K204" s="11">
        <f t="shared" si="7"/>
        <v>20</v>
      </c>
    </row>
    <row r="205" ht="26" customHeight="1" spans="1:11">
      <c r="A205" s="11"/>
      <c r="B205" s="11"/>
      <c r="C205" s="11" t="s">
        <v>101</v>
      </c>
      <c r="D205" s="11">
        <v>10</v>
      </c>
      <c r="E205" s="11">
        <v>10</v>
      </c>
      <c r="F205" s="13">
        <v>0</v>
      </c>
      <c r="G205" s="13">
        <v>0</v>
      </c>
      <c r="H205" s="13">
        <v>0</v>
      </c>
      <c r="I205" s="11"/>
      <c r="J205" s="13"/>
      <c r="K205" s="11">
        <f t="shared" si="7"/>
        <v>20</v>
      </c>
    </row>
    <row r="206" ht="26" customHeight="1" spans="1:11">
      <c r="A206" s="11" t="s">
        <v>130</v>
      </c>
      <c r="B206" s="11">
        <v>11.5</v>
      </c>
      <c r="C206" s="12" t="s">
        <v>103</v>
      </c>
      <c r="D206" s="13">
        <v>29</v>
      </c>
      <c r="E206" s="13">
        <v>15</v>
      </c>
      <c r="F206" s="13">
        <v>10</v>
      </c>
      <c r="G206" s="13">
        <v>10</v>
      </c>
      <c r="H206" s="13">
        <v>10</v>
      </c>
      <c r="I206" s="13"/>
      <c r="J206" s="13"/>
      <c r="K206" s="11">
        <f t="shared" si="7"/>
        <v>74</v>
      </c>
    </row>
    <row r="207" ht="26" customHeight="1" spans="1:11">
      <c r="A207" s="11"/>
      <c r="B207" s="11"/>
      <c r="C207" s="12" t="s">
        <v>104</v>
      </c>
      <c r="D207" s="13">
        <v>9</v>
      </c>
      <c r="E207" s="13">
        <v>10</v>
      </c>
      <c r="F207" s="13">
        <v>10</v>
      </c>
      <c r="G207" s="13">
        <v>10</v>
      </c>
      <c r="H207" s="13">
        <v>10</v>
      </c>
      <c r="I207" s="13"/>
      <c r="J207" s="13"/>
      <c r="K207" s="11">
        <f t="shared" si="7"/>
        <v>49</v>
      </c>
    </row>
    <row r="208" ht="26" customHeight="1" spans="1:11">
      <c r="A208" s="11"/>
      <c r="B208" s="11"/>
      <c r="C208" s="12" t="s">
        <v>131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/>
      <c r="J208" s="13"/>
      <c r="K208" s="11">
        <f t="shared" si="7"/>
        <v>0</v>
      </c>
    </row>
    <row r="209" ht="26" customHeight="1" spans="1:11">
      <c r="A209" s="11"/>
      <c r="B209" s="11"/>
      <c r="C209" s="12" t="s">
        <v>106</v>
      </c>
      <c r="D209" s="13">
        <v>10</v>
      </c>
      <c r="E209" s="13">
        <v>10</v>
      </c>
      <c r="F209" s="13">
        <v>0</v>
      </c>
      <c r="G209" s="13">
        <v>0</v>
      </c>
      <c r="H209" s="13">
        <v>0</v>
      </c>
      <c r="I209" s="13"/>
      <c r="J209" s="13"/>
      <c r="K209" s="11">
        <f t="shared" si="7"/>
        <v>20</v>
      </c>
    </row>
    <row r="210" ht="26" customHeight="1" spans="1:11">
      <c r="A210" s="21" t="s">
        <v>107</v>
      </c>
      <c r="B210" s="21">
        <v>10.5</v>
      </c>
      <c r="C210" s="11" t="s">
        <v>108</v>
      </c>
      <c r="D210" s="13">
        <v>12</v>
      </c>
      <c r="E210" s="13">
        <v>12</v>
      </c>
      <c r="F210" s="13">
        <v>20</v>
      </c>
      <c r="G210" s="13">
        <v>20</v>
      </c>
      <c r="H210" s="13">
        <v>20</v>
      </c>
      <c r="I210" s="13"/>
      <c r="J210" s="13"/>
      <c r="K210" s="11">
        <f t="shared" si="7"/>
        <v>84</v>
      </c>
    </row>
    <row r="211" ht="26" customHeight="1" spans="1:11">
      <c r="A211" s="21"/>
      <c r="B211" s="21"/>
      <c r="C211" s="11" t="s">
        <v>132</v>
      </c>
      <c r="D211" s="13">
        <v>10</v>
      </c>
      <c r="E211" s="13">
        <v>10</v>
      </c>
      <c r="F211" s="13">
        <v>0</v>
      </c>
      <c r="G211" s="13">
        <v>0</v>
      </c>
      <c r="H211" s="13">
        <v>0</v>
      </c>
      <c r="I211" s="13"/>
      <c r="J211" s="13"/>
      <c r="K211" s="11">
        <f t="shared" si="7"/>
        <v>20</v>
      </c>
    </row>
    <row r="212" ht="26" customHeight="1" spans="1:11">
      <c r="A212" s="21"/>
      <c r="B212" s="21"/>
      <c r="C212" s="11" t="s">
        <v>153</v>
      </c>
      <c r="D212" s="13">
        <v>5</v>
      </c>
      <c r="E212" s="13">
        <v>5</v>
      </c>
      <c r="F212" s="13">
        <v>0</v>
      </c>
      <c r="G212" s="13">
        <v>0</v>
      </c>
      <c r="H212" s="13">
        <v>0</v>
      </c>
      <c r="I212" s="13"/>
      <c r="J212" s="13"/>
      <c r="K212" s="11">
        <f t="shared" si="7"/>
        <v>10</v>
      </c>
    </row>
    <row r="213" ht="26" customHeight="1" spans="1:11">
      <c r="A213" s="21"/>
      <c r="B213" s="21"/>
      <c r="C213" s="11" t="s">
        <v>112</v>
      </c>
      <c r="D213" s="13">
        <v>8</v>
      </c>
      <c r="E213" s="13">
        <v>8</v>
      </c>
      <c r="F213" s="13">
        <v>10</v>
      </c>
      <c r="G213" s="13">
        <v>10</v>
      </c>
      <c r="H213" s="13">
        <v>10</v>
      </c>
      <c r="I213" s="13"/>
      <c r="J213" s="13"/>
      <c r="K213" s="11">
        <f t="shared" si="7"/>
        <v>46</v>
      </c>
    </row>
    <row r="214" ht="26" customHeight="1" spans="1:11">
      <c r="A214" s="21"/>
      <c r="B214" s="21"/>
      <c r="C214" s="11" t="s">
        <v>113</v>
      </c>
      <c r="D214" s="13">
        <v>8</v>
      </c>
      <c r="E214" s="13">
        <v>8</v>
      </c>
      <c r="F214" s="13">
        <v>10</v>
      </c>
      <c r="G214" s="13">
        <v>10</v>
      </c>
      <c r="H214" s="13">
        <v>10</v>
      </c>
      <c r="I214" s="13"/>
      <c r="J214" s="13"/>
      <c r="K214" s="11">
        <f t="shared" si="7"/>
        <v>46</v>
      </c>
    </row>
    <row r="215" ht="26" customHeight="1" spans="1:11">
      <c r="A215" s="13" t="s">
        <v>133</v>
      </c>
      <c r="B215" s="13">
        <v>10.5</v>
      </c>
      <c r="C215" s="11" t="s">
        <v>115</v>
      </c>
      <c r="D215" s="11">
        <v>10.5</v>
      </c>
      <c r="E215" s="11">
        <v>10.5</v>
      </c>
      <c r="F215" s="11">
        <v>10.5</v>
      </c>
      <c r="G215" s="11">
        <v>10.5</v>
      </c>
      <c r="H215" s="11">
        <v>10.5</v>
      </c>
      <c r="I215" s="13"/>
      <c r="J215" s="11"/>
      <c r="K215" s="11">
        <f t="shared" si="7"/>
        <v>52.5</v>
      </c>
    </row>
    <row r="216" ht="26" customHeight="1" spans="1:11">
      <c r="A216" s="11" t="s">
        <v>116</v>
      </c>
      <c r="B216" s="11">
        <v>12</v>
      </c>
      <c r="C216" s="11" t="s">
        <v>134</v>
      </c>
      <c r="D216" s="11">
        <v>12</v>
      </c>
      <c r="E216" s="11">
        <v>12</v>
      </c>
      <c r="F216" s="11">
        <v>12</v>
      </c>
      <c r="G216" s="11">
        <v>12</v>
      </c>
      <c r="H216" s="11">
        <v>12</v>
      </c>
      <c r="I216" s="11"/>
      <c r="J216" s="11"/>
      <c r="K216" s="11">
        <f t="shared" si="7"/>
        <v>60</v>
      </c>
    </row>
    <row r="217" ht="26" customHeight="1" spans="1:11">
      <c r="A217" s="12"/>
      <c r="B217" s="81"/>
      <c r="C217" s="81"/>
      <c r="D217" s="81"/>
      <c r="E217" s="81"/>
      <c r="F217" s="81"/>
      <c r="G217" s="81"/>
      <c r="H217" s="81"/>
      <c r="I217" s="81"/>
      <c r="J217" s="30"/>
      <c r="K217" s="11">
        <f>SUM(K196:K216)</f>
        <v>1001.5</v>
      </c>
    </row>
    <row r="221" s="4" customFormat="1" ht="24" customHeight="1" spans="1:11">
      <c r="A221" s="114" t="s">
        <v>168</v>
      </c>
      <c r="B221" s="115"/>
      <c r="C221" s="115"/>
      <c r="D221" s="115"/>
      <c r="E221" s="115"/>
      <c r="F221" s="115"/>
      <c r="G221" s="115"/>
      <c r="H221" s="115"/>
      <c r="I221" s="115"/>
      <c r="J221" s="115"/>
      <c r="K221" s="116"/>
    </row>
    <row r="222" s="4" customFormat="1" ht="24" customHeight="1" spans="1:11">
      <c r="A222" s="117" t="s">
        <v>151</v>
      </c>
      <c r="B222" s="118"/>
      <c r="C222" s="118"/>
      <c r="D222" s="119" t="s">
        <v>177</v>
      </c>
      <c r="E222" s="118"/>
      <c r="F222" s="118"/>
      <c r="G222" s="118"/>
      <c r="H222" s="118"/>
      <c r="I222" s="118"/>
      <c r="J222" s="118"/>
      <c r="K222" s="118"/>
    </row>
    <row r="223" s="4" customFormat="1" ht="24" customHeight="1" spans="1:11">
      <c r="A223" s="82" t="s">
        <v>83</v>
      </c>
      <c r="B223" s="82" t="s">
        <v>84</v>
      </c>
      <c r="C223" s="98" t="s">
        <v>120</v>
      </c>
      <c r="D223" s="89" t="s">
        <v>6</v>
      </c>
      <c r="E223" s="89" t="s">
        <v>6</v>
      </c>
      <c r="F223" s="82" t="s">
        <v>6</v>
      </c>
      <c r="G223" s="82" t="s">
        <v>6</v>
      </c>
      <c r="H223" s="82" t="s">
        <v>6</v>
      </c>
      <c r="I223" s="82" t="s">
        <v>6</v>
      </c>
      <c r="J223" s="82" t="s">
        <v>121</v>
      </c>
      <c r="K223" s="82" t="s">
        <v>87</v>
      </c>
    </row>
    <row r="224" s="4" customFormat="1" ht="24" customHeight="1" spans="1:11">
      <c r="A224" s="89" t="s">
        <v>122</v>
      </c>
      <c r="B224" s="82">
        <v>12</v>
      </c>
      <c r="C224" s="14" t="s">
        <v>134</v>
      </c>
      <c r="D224" s="13">
        <v>12</v>
      </c>
      <c r="E224" s="13">
        <v>5</v>
      </c>
      <c r="F224" s="14"/>
      <c r="G224" s="89"/>
      <c r="H224" s="89"/>
      <c r="I224" s="82"/>
      <c r="J224" s="82"/>
      <c r="K224" s="31">
        <f t="shared" ref="K224:K244" si="8">SUM(D224:J224)</f>
        <v>17</v>
      </c>
    </row>
    <row r="225" s="4" customFormat="1" ht="24" customHeight="1" spans="1:11">
      <c r="A225" s="120" t="s">
        <v>90</v>
      </c>
      <c r="B225" s="92">
        <v>11.5</v>
      </c>
      <c r="C225" s="98" t="s">
        <v>124</v>
      </c>
      <c r="D225" s="13">
        <v>11.5</v>
      </c>
      <c r="E225" s="13">
        <v>5</v>
      </c>
      <c r="F225" s="14"/>
      <c r="G225" s="89"/>
      <c r="H225" s="89"/>
      <c r="I225" s="82"/>
      <c r="J225" s="82"/>
      <c r="K225" s="31">
        <f t="shared" si="8"/>
        <v>16.5</v>
      </c>
    </row>
    <row r="226" s="4" customFormat="1" ht="24" customHeight="1" spans="1:11">
      <c r="A226" s="120"/>
      <c r="B226" s="92"/>
      <c r="C226" s="98" t="s">
        <v>92</v>
      </c>
      <c r="D226" s="13">
        <v>23</v>
      </c>
      <c r="E226" s="13">
        <v>5</v>
      </c>
      <c r="F226" s="14"/>
      <c r="G226" s="89"/>
      <c r="H226" s="89"/>
      <c r="I226" s="82"/>
      <c r="J226" s="82"/>
      <c r="K226" s="31">
        <f t="shared" si="8"/>
        <v>28</v>
      </c>
    </row>
    <row r="227" s="4" customFormat="1" ht="24" customHeight="1" spans="1:11">
      <c r="A227" s="121" t="s">
        <v>125</v>
      </c>
      <c r="B227" s="122">
        <v>11.5</v>
      </c>
      <c r="C227" s="43" t="s">
        <v>94</v>
      </c>
      <c r="D227" s="11">
        <v>11.5</v>
      </c>
      <c r="E227" s="13">
        <v>5</v>
      </c>
      <c r="F227" s="14"/>
      <c r="G227" s="89"/>
      <c r="H227" s="89"/>
      <c r="I227" s="82"/>
      <c r="J227" s="82"/>
      <c r="K227" s="31">
        <f t="shared" si="8"/>
        <v>16.5</v>
      </c>
    </row>
    <row r="228" s="4" customFormat="1" ht="24" customHeight="1" spans="1:11">
      <c r="A228" s="121"/>
      <c r="B228" s="122"/>
      <c r="C228" s="2" t="s">
        <v>98</v>
      </c>
      <c r="D228" s="11">
        <v>10</v>
      </c>
      <c r="E228" s="13">
        <v>0</v>
      </c>
      <c r="F228" s="14"/>
      <c r="G228" s="89"/>
      <c r="H228" s="89"/>
      <c r="I228" s="82"/>
      <c r="J228" s="82"/>
      <c r="K228" s="31">
        <f t="shared" si="8"/>
        <v>10</v>
      </c>
    </row>
    <row r="229" s="4" customFormat="1" ht="24" customHeight="1" spans="1:11">
      <c r="A229" s="123" t="s">
        <v>126</v>
      </c>
      <c r="B229" s="122"/>
      <c r="C229" s="43" t="s">
        <v>95</v>
      </c>
      <c r="D229" s="11">
        <v>11.5</v>
      </c>
      <c r="E229" s="13"/>
      <c r="F229" s="14"/>
      <c r="G229" s="89"/>
      <c r="H229" s="89"/>
      <c r="I229" s="82"/>
      <c r="J229" s="82"/>
      <c r="K229" s="31">
        <f t="shared" si="8"/>
        <v>11.5</v>
      </c>
    </row>
    <row r="230" s="4" customFormat="1" ht="24" customHeight="1" spans="1:11">
      <c r="A230" s="123"/>
      <c r="B230" s="122"/>
      <c r="C230" s="43" t="s">
        <v>97</v>
      </c>
      <c r="D230" s="11">
        <v>10</v>
      </c>
      <c r="E230" s="13">
        <v>5</v>
      </c>
      <c r="F230" s="14"/>
      <c r="G230" s="89"/>
      <c r="H230" s="89"/>
      <c r="I230" s="89"/>
      <c r="J230" s="82"/>
      <c r="K230" s="31">
        <f t="shared" si="8"/>
        <v>15</v>
      </c>
    </row>
    <row r="231" s="4" customFormat="1" ht="24" customHeight="1" spans="1:11">
      <c r="A231" s="120" t="s">
        <v>127</v>
      </c>
      <c r="B231" s="122"/>
      <c r="C231" s="31" t="s">
        <v>96</v>
      </c>
      <c r="D231" s="11">
        <v>10</v>
      </c>
      <c r="E231" s="13">
        <v>0</v>
      </c>
      <c r="F231" s="14"/>
      <c r="G231" s="89"/>
      <c r="H231" s="89"/>
      <c r="I231" s="89"/>
      <c r="J231" s="82"/>
      <c r="K231" s="31">
        <f t="shared" si="8"/>
        <v>10</v>
      </c>
    </row>
    <row r="232" s="4" customFormat="1" ht="24" customHeight="1" spans="1:11">
      <c r="A232" s="124" t="s">
        <v>128</v>
      </c>
      <c r="B232" s="82">
        <v>10.5</v>
      </c>
      <c r="C232" s="82" t="s">
        <v>129</v>
      </c>
      <c r="D232" s="11">
        <v>0</v>
      </c>
      <c r="E232" s="13">
        <v>0</v>
      </c>
      <c r="F232" s="14"/>
      <c r="G232" s="89"/>
      <c r="H232" s="89"/>
      <c r="I232" s="82"/>
      <c r="J232" s="82"/>
      <c r="K232" s="31">
        <f t="shared" si="8"/>
        <v>0</v>
      </c>
    </row>
    <row r="233" s="4" customFormat="1" ht="24" customHeight="1" spans="1:11">
      <c r="A233" s="82"/>
      <c r="B233" s="82"/>
      <c r="C233" s="82" t="s">
        <v>101</v>
      </c>
      <c r="D233" s="11">
        <v>0</v>
      </c>
      <c r="E233" s="13">
        <v>0</v>
      </c>
      <c r="F233" s="14"/>
      <c r="G233" s="89"/>
      <c r="H233" s="89"/>
      <c r="I233" s="82"/>
      <c r="J233" s="82"/>
      <c r="K233" s="31">
        <f t="shared" si="8"/>
        <v>0</v>
      </c>
    </row>
    <row r="234" s="4" customFormat="1" ht="24" customHeight="1" spans="1:11">
      <c r="A234" s="82" t="s">
        <v>130</v>
      </c>
      <c r="B234" s="82">
        <v>11.5</v>
      </c>
      <c r="C234" s="98" t="s">
        <v>103</v>
      </c>
      <c r="D234" s="13">
        <v>20</v>
      </c>
      <c r="E234" s="13">
        <v>5</v>
      </c>
      <c r="F234" s="14"/>
      <c r="G234" s="89"/>
      <c r="H234" s="89"/>
      <c r="I234" s="82"/>
      <c r="J234" s="82"/>
      <c r="K234" s="31">
        <f t="shared" si="8"/>
        <v>25</v>
      </c>
    </row>
    <row r="235" s="4" customFormat="1" ht="24" customHeight="1" spans="1:11">
      <c r="A235" s="82"/>
      <c r="B235" s="82"/>
      <c r="C235" s="98" t="s">
        <v>104</v>
      </c>
      <c r="D235" s="13">
        <v>10</v>
      </c>
      <c r="E235" s="13">
        <v>0</v>
      </c>
      <c r="F235" s="14"/>
      <c r="G235" s="89"/>
      <c r="H235" s="89"/>
      <c r="I235" s="82"/>
      <c r="J235" s="82"/>
      <c r="K235" s="31">
        <f t="shared" si="8"/>
        <v>10</v>
      </c>
    </row>
    <row r="236" s="4" customFormat="1" ht="24" customHeight="1" spans="1:11">
      <c r="A236" s="82"/>
      <c r="B236" s="82"/>
      <c r="C236" s="98" t="s">
        <v>131</v>
      </c>
      <c r="D236" s="13">
        <v>10</v>
      </c>
      <c r="E236" s="13">
        <v>5</v>
      </c>
      <c r="F236" s="14"/>
      <c r="G236" s="89"/>
      <c r="H236" s="89"/>
      <c r="I236" s="82"/>
      <c r="J236" s="82"/>
      <c r="K236" s="31">
        <f t="shared" si="8"/>
        <v>15</v>
      </c>
    </row>
    <row r="237" s="4" customFormat="1" ht="24" customHeight="1" spans="1:11">
      <c r="A237" s="82"/>
      <c r="B237" s="82"/>
      <c r="C237" s="98" t="s">
        <v>106</v>
      </c>
      <c r="D237" s="13">
        <v>70</v>
      </c>
      <c r="E237" s="13">
        <v>5</v>
      </c>
      <c r="F237" s="14"/>
      <c r="G237" s="89"/>
      <c r="H237" s="89"/>
      <c r="I237" s="82"/>
      <c r="J237" s="82"/>
      <c r="K237" s="31">
        <f t="shared" si="8"/>
        <v>75</v>
      </c>
    </row>
    <row r="238" s="4" customFormat="1" ht="24" customHeight="1" spans="1:11">
      <c r="A238" s="97" t="s">
        <v>107</v>
      </c>
      <c r="B238" s="97">
        <v>10.5</v>
      </c>
      <c r="C238" s="82" t="s">
        <v>108</v>
      </c>
      <c r="D238" s="13">
        <v>6</v>
      </c>
      <c r="E238" s="13">
        <v>5</v>
      </c>
      <c r="F238" s="72"/>
      <c r="G238" s="89"/>
      <c r="H238" s="89"/>
      <c r="I238" s="82"/>
      <c r="J238" s="82"/>
      <c r="K238" s="31">
        <f t="shared" si="8"/>
        <v>11</v>
      </c>
    </row>
    <row r="239" s="4" customFormat="1" ht="24" customHeight="1" spans="1:11">
      <c r="A239" s="97"/>
      <c r="B239" s="97"/>
      <c r="C239" s="82" t="s">
        <v>132</v>
      </c>
      <c r="D239" s="13">
        <v>6</v>
      </c>
      <c r="E239" s="13">
        <v>0</v>
      </c>
      <c r="F239" s="14"/>
      <c r="G239" s="89"/>
      <c r="H239" s="89"/>
      <c r="I239" s="82"/>
      <c r="J239" s="82"/>
      <c r="K239" s="31">
        <f t="shared" si="8"/>
        <v>6</v>
      </c>
    </row>
    <row r="240" s="4" customFormat="1" ht="24" customHeight="1" spans="1:11">
      <c r="A240" s="97"/>
      <c r="B240" s="97"/>
      <c r="C240" s="82" t="s">
        <v>111</v>
      </c>
      <c r="D240" s="13">
        <v>5</v>
      </c>
      <c r="E240" s="13">
        <v>0</v>
      </c>
      <c r="F240" s="14"/>
      <c r="G240" s="89"/>
      <c r="H240" s="89"/>
      <c r="I240" s="82"/>
      <c r="J240" s="82"/>
      <c r="K240" s="31">
        <f t="shared" si="8"/>
        <v>5</v>
      </c>
    </row>
    <row r="241" s="4" customFormat="1" ht="24" customHeight="1" spans="1:11">
      <c r="A241" s="97"/>
      <c r="B241" s="97"/>
      <c r="C241" s="82" t="s">
        <v>112</v>
      </c>
      <c r="D241" s="13">
        <v>6</v>
      </c>
      <c r="E241" s="13">
        <v>5</v>
      </c>
      <c r="F241" s="14"/>
      <c r="G241" s="89"/>
      <c r="H241" s="89"/>
      <c r="I241" s="82"/>
      <c r="J241" s="92"/>
      <c r="K241" s="31">
        <f t="shared" si="8"/>
        <v>11</v>
      </c>
    </row>
    <row r="242" s="4" customFormat="1" ht="24" customHeight="1" spans="1:11">
      <c r="A242" s="97"/>
      <c r="B242" s="97"/>
      <c r="C242" s="82" t="s">
        <v>113</v>
      </c>
      <c r="D242" s="13">
        <v>6</v>
      </c>
      <c r="E242" s="13">
        <v>5</v>
      </c>
      <c r="F242" s="14"/>
      <c r="G242" s="89"/>
      <c r="H242" s="89"/>
      <c r="I242" s="82"/>
      <c r="J242" s="92"/>
      <c r="K242" s="31">
        <f t="shared" si="8"/>
        <v>11</v>
      </c>
    </row>
    <row r="243" s="4" customFormat="1" ht="24" customHeight="1" spans="1:11">
      <c r="A243" s="89" t="s">
        <v>133</v>
      </c>
      <c r="B243" s="89">
        <v>10.5</v>
      </c>
      <c r="C243" s="82" t="s">
        <v>115</v>
      </c>
      <c r="D243" s="11">
        <v>0</v>
      </c>
      <c r="E243" s="11">
        <v>0</v>
      </c>
      <c r="F243" s="14"/>
      <c r="G243" s="82"/>
      <c r="H243" s="82"/>
      <c r="I243" s="82"/>
      <c r="J243" s="92"/>
      <c r="K243" s="31">
        <f t="shared" si="8"/>
        <v>0</v>
      </c>
    </row>
    <row r="244" s="4" customFormat="1" ht="24" customHeight="1" spans="1:11">
      <c r="A244" s="82" t="s">
        <v>116</v>
      </c>
      <c r="B244" s="82">
        <v>12</v>
      </c>
      <c r="C244" s="82" t="s">
        <v>134</v>
      </c>
      <c r="D244" s="11">
        <v>0</v>
      </c>
      <c r="E244" s="11">
        <v>0</v>
      </c>
      <c r="F244" s="14"/>
      <c r="G244" s="82"/>
      <c r="H244" s="82"/>
      <c r="I244" s="82"/>
      <c r="J244" s="92"/>
      <c r="K244" s="31">
        <f t="shared" si="8"/>
        <v>0</v>
      </c>
    </row>
    <row r="245" s="4" customFormat="1" ht="24" customHeight="1" spans="1:11">
      <c r="A245" s="98"/>
      <c r="B245" s="125"/>
      <c r="C245" s="125"/>
      <c r="D245" s="126">
        <f>SUM(D224:D244)</f>
        <v>238.5</v>
      </c>
      <c r="E245" s="126">
        <f>SUM(E224:E244)</f>
        <v>55</v>
      </c>
      <c r="F245" s="126"/>
      <c r="G245" s="125"/>
      <c r="H245" s="125"/>
      <c r="I245" s="125"/>
      <c r="J245" s="127"/>
      <c r="K245" s="28">
        <f>SUM(K224:K244)</f>
        <v>293.5</v>
      </c>
    </row>
    <row r="246" ht="26" customHeight="1" spans="1:1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</row>
    <row r="247" ht="26" customHeight="1" spans="1:1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</row>
    <row r="248" ht="26" customHeight="1" spans="1:11">
      <c r="A248" s="76" t="s">
        <v>168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</row>
    <row r="249" ht="26" customHeight="1" spans="1:11">
      <c r="A249" s="113" t="s">
        <v>151</v>
      </c>
      <c r="B249" s="11"/>
      <c r="C249" s="11"/>
      <c r="D249" s="10" t="s">
        <v>178</v>
      </c>
      <c r="E249" s="9"/>
      <c r="F249" s="9"/>
      <c r="G249" s="9"/>
      <c r="H249" s="9"/>
      <c r="I249" s="9"/>
      <c r="J249" s="9"/>
      <c r="K249" s="9"/>
    </row>
    <row r="250" ht="26" customHeight="1" spans="1:11">
      <c r="A250" s="11" t="s">
        <v>83</v>
      </c>
      <c r="B250" s="11" t="s">
        <v>84</v>
      </c>
      <c r="C250" s="12" t="s">
        <v>120</v>
      </c>
      <c r="D250" s="13" t="s">
        <v>6</v>
      </c>
      <c r="E250" s="13" t="s">
        <v>6</v>
      </c>
      <c r="F250" s="11" t="s">
        <v>6</v>
      </c>
      <c r="G250" s="11" t="s">
        <v>6</v>
      </c>
      <c r="H250" s="11" t="s">
        <v>6</v>
      </c>
      <c r="I250" s="11" t="s">
        <v>6</v>
      </c>
      <c r="J250" s="11" t="s">
        <v>121</v>
      </c>
      <c r="K250" s="11" t="s">
        <v>87</v>
      </c>
    </row>
    <row r="251" ht="26" customHeight="1" spans="1:11">
      <c r="A251" s="11" t="s">
        <v>122</v>
      </c>
      <c r="B251" s="11">
        <v>12</v>
      </c>
      <c r="C251" s="14" t="s">
        <v>134</v>
      </c>
      <c r="D251" s="13"/>
      <c r="E251" s="13">
        <v>20</v>
      </c>
      <c r="F251" s="13"/>
      <c r="G251" s="13"/>
      <c r="H251" s="13"/>
      <c r="I251" s="13"/>
      <c r="J251" s="13"/>
      <c r="K251" s="11">
        <f t="shared" ref="K251:K271" si="9">SUM(D251:J251)</f>
        <v>20</v>
      </c>
    </row>
    <row r="252" ht="26" customHeight="1" spans="1:11">
      <c r="A252" s="18" t="s">
        <v>90</v>
      </c>
      <c r="B252" s="11">
        <v>11.5</v>
      </c>
      <c r="C252" s="12" t="s">
        <v>124</v>
      </c>
      <c r="D252" s="13"/>
      <c r="E252" s="13">
        <v>30</v>
      </c>
      <c r="F252" s="13"/>
      <c r="G252" s="13"/>
      <c r="H252" s="13"/>
      <c r="I252" s="13"/>
      <c r="J252" s="13"/>
      <c r="K252" s="11">
        <f t="shared" si="9"/>
        <v>30</v>
      </c>
    </row>
    <row r="253" ht="26" customHeight="1" spans="1:11">
      <c r="A253" s="18"/>
      <c r="B253" s="11"/>
      <c r="C253" s="12" t="s">
        <v>92</v>
      </c>
      <c r="D253" s="13"/>
      <c r="E253" s="13">
        <v>30</v>
      </c>
      <c r="F253" s="13"/>
      <c r="G253" s="13"/>
      <c r="H253" s="13"/>
      <c r="I253" s="13"/>
      <c r="J253" s="13"/>
      <c r="K253" s="11">
        <f t="shared" si="9"/>
        <v>30</v>
      </c>
    </row>
    <row r="254" ht="26" customHeight="1" spans="1:11">
      <c r="A254" s="19" t="s">
        <v>125</v>
      </c>
      <c r="B254" s="14">
        <v>11.5</v>
      </c>
      <c r="C254" s="20" t="s">
        <v>94</v>
      </c>
      <c r="D254" s="11"/>
      <c r="E254" s="13">
        <v>22</v>
      </c>
      <c r="F254" s="13"/>
      <c r="G254" s="11"/>
      <c r="H254" s="11"/>
      <c r="I254" s="11"/>
      <c r="J254" s="13"/>
      <c r="K254" s="11">
        <f t="shared" si="9"/>
        <v>22</v>
      </c>
    </row>
    <row r="255" ht="26" customHeight="1" spans="1:11">
      <c r="A255" s="22"/>
      <c r="B255" s="14"/>
      <c r="C255" s="1" t="s">
        <v>98</v>
      </c>
      <c r="D255" s="11"/>
      <c r="E255" s="13">
        <v>0</v>
      </c>
      <c r="F255" s="13"/>
      <c r="G255" s="13"/>
      <c r="H255" s="13"/>
      <c r="I255" s="13"/>
      <c r="J255" s="13"/>
      <c r="K255" s="11">
        <f t="shared" si="9"/>
        <v>0</v>
      </c>
    </row>
    <row r="256" ht="26" customHeight="1" spans="1:11">
      <c r="A256" s="25" t="s">
        <v>126</v>
      </c>
      <c r="B256" s="14"/>
      <c r="C256" s="20" t="s">
        <v>95</v>
      </c>
      <c r="D256" s="11"/>
      <c r="E256" s="13">
        <v>22</v>
      </c>
      <c r="F256" s="13"/>
      <c r="G256" s="11"/>
      <c r="H256" s="11"/>
      <c r="I256" s="11"/>
      <c r="J256" s="13"/>
      <c r="K256" s="11">
        <f t="shared" si="9"/>
        <v>22</v>
      </c>
    </row>
    <row r="257" ht="26" customHeight="1" spans="1:11">
      <c r="A257" s="27"/>
      <c r="B257" s="14"/>
      <c r="C257" s="20" t="s">
        <v>97</v>
      </c>
      <c r="D257" s="11"/>
      <c r="E257" s="13">
        <v>0</v>
      </c>
      <c r="F257" s="13"/>
      <c r="G257" s="11"/>
      <c r="H257" s="11"/>
      <c r="I257" s="11"/>
      <c r="J257" s="13"/>
      <c r="K257" s="11">
        <f t="shared" si="9"/>
        <v>0</v>
      </c>
    </row>
    <row r="258" ht="26" customHeight="1" spans="1:11">
      <c r="A258" s="18" t="s">
        <v>127</v>
      </c>
      <c r="B258" s="14"/>
      <c r="C258" s="14" t="s">
        <v>96</v>
      </c>
      <c r="D258" s="11"/>
      <c r="E258" s="13">
        <v>0</v>
      </c>
      <c r="F258" s="13"/>
      <c r="G258" s="13"/>
      <c r="H258" s="13"/>
      <c r="I258" s="13"/>
      <c r="J258" s="13"/>
      <c r="K258" s="11">
        <f t="shared" si="9"/>
        <v>0</v>
      </c>
    </row>
    <row r="259" ht="26" customHeight="1" spans="1:11">
      <c r="A259" s="11" t="s">
        <v>128</v>
      </c>
      <c r="B259" s="11">
        <v>10.5</v>
      </c>
      <c r="C259" s="11" t="s">
        <v>129</v>
      </c>
      <c r="D259" s="11"/>
      <c r="E259" s="13">
        <v>0</v>
      </c>
      <c r="F259" s="13"/>
      <c r="G259" s="11"/>
      <c r="H259" s="11"/>
      <c r="I259" s="11"/>
      <c r="J259" s="13"/>
      <c r="K259" s="11">
        <f t="shared" si="9"/>
        <v>0</v>
      </c>
    </row>
    <row r="260" ht="26" customHeight="1" spans="1:11">
      <c r="A260" s="11"/>
      <c r="B260" s="11"/>
      <c r="C260" s="11" t="s">
        <v>101</v>
      </c>
      <c r="D260" s="11"/>
      <c r="E260" s="13">
        <v>0</v>
      </c>
      <c r="F260" s="13"/>
      <c r="G260" s="11"/>
      <c r="H260" s="11"/>
      <c r="I260" s="11"/>
      <c r="J260" s="13"/>
      <c r="K260" s="11">
        <f t="shared" si="9"/>
        <v>0</v>
      </c>
    </row>
    <row r="261" ht="26" customHeight="1" spans="1:11">
      <c r="A261" s="11" t="s">
        <v>130</v>
      </c>
      <c r="B261" s="11">
        <v>11.5</v>
      </c>
      <c r="C261" s="12" t="s">
        <v>103</v>
      </c>
      <c r="D261" s="13">
        <v>20</v>
      </c>
      <c r="E261" s="13">
        <v>10</v>
      </c>
      <c r="F261" s="13"/>
      <c r="G261" s="13"/>
      <c r="H261" s="13"/>
      <c r="I261" s="13"/>
      <c r="J261" s="13"/>
      <c r="K261" s="11">
        <f t="shared" si="9"/>
        <v>30</v>
      </c>
    </row>
    <row r="262" ht="26" customHeight="1" spans="1:11">
      <c r="A262" s="11"/>
      <c r="B262" s="11"/>
      <c r="C262" s="12" t="s">
        <v>104</v>
      </c>
      <c r="D262" s="13">
        <v>10</v>
      </c>
      <c r="E262" s="13">
        <v>10</v>
      </c>
      <c r="F262" s="13"/>
      <c r="G262" s="13"/>
      <c r="H262" s="13"/>
      <c r="I262" s="13"/>
      <c r="J262" s="13"/>
      <c r="K262" s="11">
        <f t="shared" si="9"/>
        <v>20</v>
      </c>
    </row>
    <row r="263" ht="26" customHeight="1" spans="1:11">
      <c r="A263" s="11"/>
      <c r="B263" s="11"/>
      <c r="C263" s="12" t="s">
        <v>131</v>
      </c>
      <c r="D263" s="13">
        <v>20</v>
      </c>
      <c r="E263" s="13">
        <v>0</v>
      </c>
      <c r="F263" s="13"/>
      <c r="G263" s="13"/>
      <c r="H263" s="13"/>
      <c r="I263" s="13"/>
      <c r="J263" s="13"/>
      <c r="K263" s="11">
        <f t="shared" si="9"/>
        <v>20</v>
      </c>
    </row>
    <row r="264" ht="26" customHeight="1" spans="1:11">
      <c r="A264" s="11"/>
      <c r="B264" s="11"/>
      <c r="C264" s="12" t="s">
        <v>106</v>
      </c>
      <c r="D264" s="13">
        <v>99</v>
      </c>
      <c r="E264" s="13">
        <v>0</v>
      </c>
      <c r="F264" s="13"/>
      <c r="G264" s="13"/>
      <c r="H264" s="13"/>
      <c r="I264" s="13"/>
      <c r="J264" s="13"/>
      <c r="K264" s="11">
        <f t="shared" si="9"/>
        <v>99</v>
      </c>
    </row>
    <row r="265" ht="26" customHeight="1" spans="1:11">
      <c r="A265" s="21" t="s">
        <v>107</v>
      </c>
      <c r="B265" s="21">
        <v>10.5</v>
      </c>
      <c r="C265" s="11" t="s">
        <v>108</v>
      </c>
      <c r="D265" s="13">
        <v>12</v>
      </c>
      <c r="E265" s="13">
        <v>20</v>
      </c>
      <c r="F265" s="13"/>
      <c r="G265" s="13"/>
      <c r="H265" s="13"/>
      <c r="I265" s="13"/>
      <c r="J265" s="13"/>
      <c r="K265" s="11">
        <f t="shared" si="9"/>
        <v>32</v>
      </c>
    </row>
    <row r="266" ht="26" customHeight="1" spans="1:11">
      <c r="A266" s="21"/>
      <c r="B266" s="21"/>
      <c r="C266" s="11" t="s">
        <v>132</v>
      </c>
      <c r="D266" s="13">
        <v>10</v>
      </c>
      <c r="E266" s="13">
        <v>0</v>
      </c>
      <c r="F266" s="13"/>
      <c r="G266" s="13"/>
      <c r="H266" s="13"/>
      <c r="I266" s="13"/>
      <c r="J266" s="13"/>
      <c r="K266" s="11">
        <f t="shared" si="9"/>
        <v>10</v>
      </c>
    </row>
    <row r="267" ht="26" customHeight="1" spans="1:11">
      <c r="A267" s="21"/>
      <c r="B267" s="21"/>
      <c r="C267" s="11" t="s">
        <v>153</v>
      </c>
      <c r="D267" s="13">
        <v>5</v>
      </c>
      <c r="E267" s="13">
        <v>0</v>
      </c>
      <c r="F267" s="13"/>
      <c r="G267" s="13"/>
      <c r="H267" s="13"/>
      <c r="I267" s="13"/>
      <c r="J267" s="13"/>
      <c r="K267" s="11">
        <f t="shared" si="9"/>
        <v>5</v>
      </c>
    </row>
    <row r="268" ht="26" customHeight="1" spans="1:11">
      <c r="A268" s="21"/>
      <c r="B268" s="21"/>
      <c r="C268" s="11" t="s">
        <v>112</v>
      </c>
      <c r="D268" s="13">
        <v>6</v>
      </c>
      <c r="E268" s="13">
        <v>10</v>
      </c>
      <c r="F268" s="13"/>
      <c r="G268" s="13"/>
      <c r="H268" s="13"/>
      <c r="I268" s="13"/>
      <c r="J268" s="13"/>
      <c r="K268" s="11">
        <f t="shared" si="9"/>
        <v>16</v>
      </c>
    </row>
    <row r="269" ht="26" customHeight="1" spans="1:11">
      <c r="A269" s="21"/>
      <c r="B269" s="21"/>
      <c r="C269" s="11" t="s">
        <v>113</v>
      </c>
      <c r="D269" s="13">
        <v>6</v>
      </c>
      <c r="E269" s="13">
        <v>10</v>
      </c>
      <c r="F269" s="13"/>
      <c r="G269" s="13"/>
      <c r="H269" s="13"/>
      <c r="I269" s="13"/>
      <c r="J269" s="13"/>
      <c r="K269" s="11">
        <f t="shared" si="9"/>
        <v>16</v>
      </c>
    </row>
    <row r="270" ht="26" customHeight="1" spans="1:11">
      <c r="A270" s="13" t="s">
        <v>133</v>
      </c>
      <c r="B270" s="13">
        <v>10.5</v>
      </c>
      <c r="C270" s="11" t="s">
        <v>115</v>
      </c>
      <c r="D270" s="11">
        <v>10.5</v>
      </c>
      <c r="E270" s="11">
        <v>20</v>
      </c>
      <c r="F270" s="11"/>
      <c r="G270" s="13"/>
      <c r="H270" s="13"/>
      <c r="I270" s="13"/>
      <c r="J270" s="11"/>
      <c r="K270" s="11">
        <f t="shared" si="9"/>
        <v>30.5</v>
      </c>
    </row>
    <row r="271" ht="26" customHeight="1" spans="1:11">
      <c r="A271" s="11" t="s">
        <v>116</v>
      </c>
      <c r="B271" s="11">
        <v>12</v>
      </c>
      <c r="C271" s="11" t="s">
        <v>134</v>
      </c>
      <c r="D271" s="11">
        <v>12</v>
      </c>
      <c r="E271" s="11">
        <v>20</v>
      </c>
      <c r="F271" s="11"/>
      <c r="G271" s="11"/>
      <c r="H271" s="11"/>
      <c r="I271" s="11"/>
      <c r="J271" s="11"/>
      <c r="K271" s="11">
        <f t="shared" si="9"/>
        <v>32</v>
      </c>
    </row>
    <row r="272" ht="26" customHeight="1" spans="1:11">
      <c r="A272" s="12"/>
      <c r="B272" s="81"/>
      <c r="C272" s="81"/>
      <c r="D272" s="81"/>
      <c r="E272" s="81"/>
      <c r="F272" s="81"/>
      <c r="G272" s="81"/>
      <c r="H272" s="81"/>
      <c r="I272" s="81"/>
      <c r="J272" s="30"/>
      <c r="K272" s="11">
        <f>SUM(K251:K271)</f>
        <v>434.5</v>
      </c>
    </row>
    <row r="276" s="1" customFormat="1" ht="21" customHeight="1" spans="1:11">
      <c r="A276" s="5" t="s">
        <v>168</v>
      </c>
      <c r="B276" s="6"/>
      <c r="C276" s="6"/>
      <c r="D276" s="6"/>
      <c r="E276" s="6"/>
      <c r="F276" s="6"/>
      <c r="G276" s="6"/>
      <c r="H276" s="6"/>
      <c r="I276" s="6"/>
      <c r="J276" s="6"/>
      <c r="K276" s="7"/>
    </row>
    <row r="277" s="1" customFormat="1" ht="21" customHeight="1" spans="1:11">
      <c r="A277" s="8" t="s">
        <v>145</v>
      </c>
      <c r="B277" s="9"/>
      <c r="C277" s="9"/>
      <c r="D277" s="10" t="s">
        <v>179</v>
      </c>
      <c r="E277" s="9"/>
      <c r="F277" s="9"/>
      <c r="G277" s="9"/>
      <c r="H277" s="9"/>
      <c r="I277" s="9"/>
      <c r="J277" s="9"/>
      <c r="K277" s="9"/>
    </row>
    <row r="278" s="1" customFormat="1" ht="21" customHeight="1" spans="1:11">
      <c r="A278" s="11" t="s">
        <v>83</v>
      </c>
      <c r="B278" s="11" t="s">
        <v>84</v>
      </c>
      <c r="C278" s="12" t="s">
        <v>120</v>
      </c>
      <c r="D278" s="13" t="s">
        <v>6</v>
      </c>
      <c r="E278" s="13" t="s">
        <v>6</v>
      </c>
      <c r="F278" s="13" t="s">
        <v>6</v>
      </c>
      <c r="G278" s="11" t="s">
        <v>6</v>
      </c>
      <c r="H278" s="11" t="s">
        <v>6</v>
      </c>
      <c r="I278" s="11" t="s">
        <v>6</v>
      </c>
      <c r="J278" s="11" t="s">
        <v>121</v>
      </c>
      <c r="K278" s="11" t="s">
        <v>87</v>
      </c>
    </row>
    <row r="279" s="1" customFormat="1" ht="21" customHeight="1" spans="1:11">
      <c r="A279" s="11" t="s">
        <v>122</v>
      </c>
      <c r="B279" s="11">
        <v>12</v>
      </c>
      <c r="C279" s="14" t="s">
        <v>134</v>
      </c>
      <c r="D279" s="15">
        <v>12</v>
      </c>
      <c r="E279" s="15">
        <v>10</v>
      </c>
      <c r="F279" s="16"/>
      <c r="G279" s="17"/>
      <c r="H279" s="13"/>
      <c r="I279" s="11"/>
      <c r="J279" s="11"/>
      <c r="K279" s="14">
        <f t="shared" ref="K279:K299" si="10">SUM(D279:J279)</f>
        <v>22</v>
      </c>
    </row>
    <row r="280" s="1" customFormat="1" ht="21" customHeight="1" spans="1:11">
      <c r="A280" s="18" t="s">
        <v>90</v>
      </c>
      <c r="B280" s="11">
        <v>11.5</v>
      </c>
      <c r="C280" s="12" t="s">
        <v>124</v>
      </c>
      <c r="D280" s="15">
        <v>17.5</v>
      </c>
      <c r="E280" s="15">
        <v>0</v>
      </c>
      <c r="F280" s="16"/>
      <c r="G280" s="17"/>
      <c r="H280" s="13"/>
      <c r="I280" s="11"/>
      <c r="J280" s="11"/>
      <c r="K280" s="14">
        <f t="shared" si="10"/>
        <v>17.5</v>
      </c>
    </row>
    <row r="281" s="1" customFormat="1" ht="21" customHeight="1" spans="1:11">
      <c r="A281" s="18"/>
      <c r="B281" s="11"/>
      <c r="C281" s="12" t="s">
        <v>92</v>
      </c>
      <c r="D281" s="15">
        <v>17.5</v>
      </c>
      <c r="E281" s="15">
        <v>10</v>
      </c>
      <c r="F281" s="16"/>
      <c r="G281" s="17"/>
      <c r="H281" s="13"/>
      <c r="I281" s="11"/>
      <c r="J281" s="11"/>
      <c r="K281" s="14">
        <f t="shared" si="10"/>
        <v>27.5</v>
      </c>
    </row>
    <row r="282" s="1" customFormat="1" ht="21" customHeight="1" spans="1:11">
      <c r="A282" s="19" t="s">
        <v>125</v>
      </c>
      <c r="B282" s="14">
        <v>11.5</v>
      </c>
      <c r="C282" s="20" t="s">
        <v>94</v>
      </c>
      <c r="D282" s="15">
        <v>15</v>
      </c>
      <c r="E282" s="15">
        <v>0</v>
      </c>
      <c r="F282" s="21"/>
      <c r="G282" s="13"/>
      <c r="H282" s="13"/>
      <c r="I282" s="11"/>
      <c r="J282" s="11"/>
      <c r="K282" s="14">
        <f t="shared" si="10"/>
        <v>15</v>
      </c>
    </row>
    <row r="283" s="1" customFormat="1" ht="21" customHeight="1" spans="1:11">
      <c r="A283" s="22"/>
      <c r="B283" s="14"/>
      <c r="C283" s="1" t="s">
        <v>98</v>
      </c>
      <c r="D283" s="23">
        <v>0</v>
      </c>
      <c r="E283" s="24">
        <v>10</v>
      </c>
      <c r="F283" s="13"/>
      <c r="G283" s="13"/>
      <c r="H283" s="13"/>
      <c r="I283" s="11"/>
      <c r="J283" s="11"/>
      <c r="K283" s="14">
        <f t="shared" si="10"/>
        <v>10</v>
      </c>
    </row>
    <row r="284" s="1" customFormat="1" ht="21" customHeight="1" spans="1:11">
      <c r="A284" s="25" t="s">
        <v>126</v>
      </c>
      <c r="B284" s="14"/>
      <c r="C284" s="20" t="s">
        <v>95</v>
      </c>
      <c r="D284" s="26">
        <v>11.5</v>
      </c>
      <c r="E284" s="15">
        <v>0</v>
      </c>
      <c r="F284" s="13"/>
      <c r="G284" s="13"/>
      <c r="H284" s="13"/>
      <c r="I284" s="11"/>
      <c r="J284" s="11"/>
      <c r="K284" s="14">
        <f t="shared" si="10"/>
        <v>11.5</v>
      </c>
    </row>
    <row r="285" s="1" customFormat="1" ht="21" customHeight="1" spans="1:11">
      <c r="A285" s="27"/>
      <c r="B285" s="14"/>
      <c r="C285" s="20" t="s">
        <v>97</v>
      </c>
      <c r="D285" s="28">
        <v>0</v>
      </c>
      <c r="E285" s="29">
        <v>10</v>
      </c>
      <c r="F285" s="13"/>
      <c r="G285" s="13"/>
      <c r="H285" s="13"/>
      <c r="I285" s="13"/>
      <c r="J285" s="11"/>
      <c r="K285" s="14">
        <f t="shared" si="10"/>
        <v>10</v>
      </c>
    </row>
    <row r="286" s="1" customFormat="1" ht="21" customHeight="1" spans="1:11">
      <c r="A286" s="18" t="s">
        <v>127</v>
      </c>
      <c r="B286" s="14"/>
      <c r="C286" s="14" t="s">
        <v>96</v>
      </c>
      <c r="D286" s="28">
        <v>11.5</v>
      </c>
      <c r="E286" s="29">
        <v>5</v>
      </c>
      <c r="F286" s="13"/>
      <c r="G286" s="13"/>
      <c r="H286" s="13"/>
      <c r="I286" s="13"/>
      <c r="J286" s="11"/>
      <c r="K286" s="14">
        <f t="shared" si="10"/>
        <v>16.5</v>
      </c>
    </row>
    <row r="287" s="1" customFormat="1" ht="21" customHeight="1" spans="1:11">
      <c r="A287" s="11" t="s">
        <v>128</v>
      </c>
      <c r="B287" s="11">
        <v>10.5</v>
      </c>
      <c r="C287" s="11" t="s">
        <v>129</v>
      </c>
      <c r="D287" s="28">
        <v>0</v>
      </c>
      <c r="E287" s="29">
        <v>10</v>
      </c>
      <c r="F287" s="13"/>
      <c r="G287" s="13"/>
      <c r="H287" s="13"/>
      <c r="I287" s="11"/>
      <c r="J287" s="11"/>
      <c r="K287" s="14">
        <f t="shared" si="10"/>
        <v>10</v>
      </c>
    </row>
    <row r="288" s="1" customFormat="1" ht="21" customHeight="1" spans="1:11">
      <c r="A288" s="11"/>
      <c r="B288" s="11"/>
      <c r="C288" s="11" t="s">
        <v>101</v>
      </c>
      <c r="D288" s="28">
        <v>0</v>
      </c>
      <c r="E288" s="29">
        <v>5</v>
      </c>
      <c r="F288" s="13"/>
      <c r="G288" s="13"/>
      <c r="H288" s="13"/>
      <c r="I288" s="11"/>
      <c r="J288" s="11"/>
      <c r="K288" s="14">
        <f t="shared" si="10"/>
        <v>5</v>
      </c>
    </row>
    <row r="289" s="1" customFormat="1" ht="21" customHeight="1" spans="1:11">
      <c r="A289" s="11" t="s">
        <v>130</v>
      </c>
      <c r="B289" s="11">
        <v>11.5</v>
      </c>
      <c r="C289" s="12" t="s">
        <v>103</v>
      </c>
      <c r="D289" s="15">
        <v>26</v>
      </c>
      <c r="E289" s="29">
        <v>10</v>
      </c>
      <c r="F289" s="13"/>
      <c r="G289" s="13"/>
      <c r="H289" s="13"/>
      <c r="I289" s="11"/>
      <c r="J289" s="11"/>
      <c r="K289" s="14">
        <f t="shared" si="10"/>
        <v>36</v>
      </c>
    </row>
    <row r="290" s="1" customFormat="1" ht="21" customHeight="1" spans="1:11">
      <c r="A290" s="11"/>
      <c r="B290" s="11"/>
      <c r="C290" s="12" t="s">
        <v>104</v>
      </c>
      <c r="D290" s="15">
        <v>15</v>
      </c>
      <c r="E290" s="29">
        <v>10</v>
      </c>
      <c r="F290" s="17"/>
      <c r="G290" s="13"/>
      <c r="H290" s="13"/>
      <c r="I290" s="11"/>
      <c r="J290" s="11"/>
      <c r="K290" s="14">
        <f t="shared" si="10"/>
        <v>25</v>
      </c>
    </row>
    <row r="291" s="1" customFormat="1" ht="21" customHeight="1" spans="1:11">
      <c r="A291" s="11"/>
      <c r="B291" s="11"/>
      <c r="C291" s="12" t="s">
        <v>131</v>
      </c>
      <c r="D291" s="15">
        <v>10</v>
      </c>
      <c r="E291" s="29">
        <v>20</v>
      </c>
      <c r="F291" s="17"/>
      <c r="G291" s="13"/>
      <c r="H291" s="13"/>
      <c r="I291" s="11"/>
      <c r="J291" s="11"/>
      <c r="K291" s="14">
        <f t="shared" si="10"/>
        <v>30</v>
      </c>
    </row>
    <row r="292" s="1" customFormat="1" ht="21" customHeight="1" spans="1:11">
      <c r="A292" s="11"/>
      <c r="B292" s="11"/>
      <c r="C292" s="12" t="s">
        <v>106</v>
      </c>
      <c r="D292" s="28">
        <v>131</v>
      </c>
      <c r="E292" s="15">
        <v>10</v>
      </c>
      <c r="F292" s="13"/>
      <c r="G292" s="13"/>
      <c r="H292" s="13"/>
      <c r="I292" s="11"/>
      <c r="J292" s="11"/>
      <c r="K292" s="14">
        <f t="shared" si="10"/>
        <v>141</v>
      </c>
    </row>
    <row r="293" s="1" customFormat="1" ht="21" customHeight="1" spans="1:11">
      <c r="A293" s="21" t="s">
        <v>107</v>
      </c>
      <c r="B293" s="21">
        <v>10.5</v>
      </c>
      <c r="C293" s="11" t="s">
        <v>108</v>
      </c>
      <c r="D293" s="15">
        <v>15</v>
      </c>
      <c r="E293" s="15">
        <v>10</v>
      </c>
      <c r="F293" s="13"/>
      <c r="G293" s="13"/>
      <c r="H293" s="13"/>
      <c r="I293" s="11"/>
      <c r="J293" s="11"/>
      <c r="K293" s="14">
        <f t="shared" si="10"/>
        <v>25</v>
      </c>
    </row>
    <row r="294" s="1" customFormat="1" ht="21" customHeight="1" spans="1:11">
      <c r="A294" s="21"/>
      <c r="B294" s="21"/>
      <c r="C294" s="11" t="s">
        <v>132</v>
      </c>
      <c r="D294" s="28">
        <v>15</v>
      </c>
      <c r="E294" s="15">
        <v>10</v>
      </c>
      <c r="F294" s="13"/>
      <c r="G294" s="13"/>
      <c r="H294" s="13"/>
      <c r="I294" s="11"/>
      <c r="J294" s="11"/>
      <c r="K294" s="14">
        <f t="shared" si="10"/>
        <v>25</v>
      </c>
    </row>
    <row r="295" s="1" customFormat="1" ht="21" customHeight="1" spans="1:11">
      <c r="A295" s="21"/>
      <c r="B295" s="21"/>
      <c r="C295" s="11" t="s">
        <v>111</v>
      </c>
      <c r="D295" s="15">
        <v>15</v>
      </c>
      <c r="E295" s="15">
        <v>0</v>
      </c>
      <c r="F295" s="13"/>
      <c r="G295" s="13"/>
      <c r="H295" s="13"/>
      <c r="I295" s="11"/>
      <c r="J295" s="11"/>
      <c r="K295" s="14">
        <f t="shared" si="10"/>
        <v>15</v>
      </c>
    </row>
    <row r="296" s="1" customFormat="1" ht="21" customHeight="1" spans="1:11">
      <c r="A296" s="21"/>
      <c r="B296" s="21"/>
      <c r="C296" s="11" t="s">
        <v>112</v>
      </c>
      <c r="D296" s="15">
        <v>15</v>
      </c>
      <c r="E296" s="15">
        <v>10</v>
      </c>
      <c r="F296" s="13"/>
      <c r="G296" s="13"/>
      <c r="H296" s="13"/>
      <c r="I296" s="11"/>
      <c r="J296" s="30"/>
      <c r="K296" s="14">
        <f t="shared" si="10"/>
        <v>25</v>
      </c>
    </row>
    <row r="297" s="1" customFormat="1" ht="21" customHeight="1" spans="1:11">
      <c r="A297" s="21"/>
      <c r="B297" s="21"/>
      <c r="C297" s="11" t="s">
        <v>113</v>
      </c>
      <c r="D297" s="15">
        <v>15</v>
      </c>
      <c r="E297" s="15">
        <v>5</v>
      </c>
      <c r="F297" s="13"/>
      <c r="G297" s="13"/>
      <c r="H297" s="13"/>
      <c r="I297" s="11"/>
      <c r="J297" s="30"/>
      <c r="K297" s="14">
        <f t="shared" si="10"/>
        <v>20</v>
      </c>
    </row>
    <row r="298" s="1" customFormat="1" ht="21" customHeight="1" spans="1:11">
      <c r="A298" s="13" t="s">
        <v>133</v>
      </c>
      <c r="B298" s="13">
        <v>10.5</v>
      </c>
      <c r="C298" s="11" t="s">
        <v>115</v>
      </c>
      <c r="D298" s="15">
        <v>10.5</v>
      </c>
      <c r="E298" s="15">
        <v>10</v>
      </c>
      <c r="F298" s="13"/>
      <c r="G298" s="11"/>
      <c r="H298" s="11"/>
      <c r="I298" s="11"/>
      <c r="J298" s="30"/>
      <c r="K298" s="14">
        <f t="shared" si="10"/>
        <v>20.5</v>
      </c>
    </row>
    <row r="299" s="1" customFormat="1" ht="21" customHeight="1" spans="1:11">
      <c r="A299" s="11" t="s">
        <v>116</v>
      </c>
      <c r="B299" s="11">
        <v>12</v>
      </c>
      <c r="C299" s="11" t="s">
        <v>134</v>
      </c>
      <c r="D299" s="31">
        <v>12</v>
      </c>
      <c r="E299" s="31">
        <v>5</v>
      </c>
      <c r="F299" s="11"/>
      <c r="G299" s="11"/>
      <c r="H299" s="11"/>
      <c r="I299" s="11"/>
      <c r="J299" s="30"/>
      <c r="K299" s="14">
        <f t="shared" si="10"/>
        <v>17</v>
      </c>
    </row>
    <row r="300" s="1" customFormat="1" ht="21" customHeight="1" spans="1:11">
      <c r="A300" s="32"/>
      <c r="B300" s="32"/>
      <c r="C300" s="32"/>
      <c r="D300" s="32"/>
      <c r="E300" s="32"/>
      <c r="F300" s="33"/>
      <c r="G300" s="32"/>
      <c r="H300" s="32"/>
      <c r="I300" s="32"/>
      <c r="J300" s="32"/>
      <c r="K300" s="34">
        <f>SUM(K279:K299)</f>
        <v>524.5</v>
      </c>
    </row>
    <row r="304" s="2" customFormat="1" ht="21" customHeight="1" spans="1:11">
      <c r="A304" s="35" t="s">
        <v>168</v>
      </c>
      <c r="B304" s="35"/>
      <c r="C304" s="35"/>
      <c r="D304" s="35"/>
      <c r="E304" s="35"/>
      <c r="F304" s="35"/>
      <c r="G304" s="35"/>
      <c r="H304" s="35"/>
      <c r="I304" s="35"/>
      <c r="J304" s="35"/>
      <c r="K304" s="35"/>
    </row>
    <row r="305" s="2" customFormat="1" ht="21" customHeight="1" spans="1:11">
      <c r="A305" s="36" t="s">
        <v>147</v>
      </c>
      <c r="B305" s="36"/>
      <c r="C305" s="36"/>
      <c r="D305" s="36" t="s">
        <v>180</v>
      </c>
      <c r="E305" s="36"/>
      <c r="F305" s="36"/>
      <c r="G305" s="36"/>
      <c r="H305" s="36"/>
      <c r="I305" s="36"/>
      <c r="J305" s="36"/>
      <c r="K305" s="36"/>
    </row>
    <row r="306" s="2" customFormat="1" ht="21" customHeight="1" spans="1:11">
      <c r="A306" s="37" t="s">
        <v>83</v>
      </c>
      <c r="B306" s="37" t="s">
        <v>84</v>
      </c>
      <c r="C306" s="38" t="s">
        <v>120</v>
      </c>
      <c r="D306" s="39" t="s">
        <v>6</v>
      </c>
      <c r="E306" s="39" t="s">
        <v>6</v>
      </c>
      <c r="F306" s="37" t="s">
        <v>6</v>
      </c>
      <c r="G306" s="37" t="s">
        <v>6</v>
      </c>
      <c r="H306" s="37" t="s">
        <v>6</v>
      </c>
      <c r="I306" s="37" t="s">
        <v>6</v>
      </c>
      <c r="J306" s="37" t="s">
        <v>121</v>
      </c>
      <c r="K306" s="37" t="s">
        <v>87</v>
      </c>
    </row>
    <row r="307" s="2" customFormat="1" ht="21" customHeight="1" spans="1:11">
      <c r="A307" s="28" t="s">
        <v>122</v>
      </c>
      <c r="B307" s="28">
        <v>12</v>
      </c>
      <c r="C307" s="14" t="s">
        <v>134</v>
      </c>
      <c r="D307" s="15">
        <v>12</v>
      </c>
      <c r="E307" s="15">
        <v>0</v>
      </c>
      <c r="F307" s="15"/>
      <c r="G307" s="15"/>
      <c r="H307" s="15"/>
      <c r="I307" s="28"/>
      <c r="J307" s="28"/>
      <c r="K307" s="31">
        <f t="shared" ref="K307:K328" si="11">SUM(D307:J307)</f>
        <v>12</v>
      </c>
    </row>
    <row r="308" s="2" customFormat="1" ht="21" customHeight="1" spans="1:11">
      <c r="A308" s="40" t="s">
        <v>90</v>
      </c>
      <c r="B308" s="28">
        <v>11.5</v>
      </c>
      <c r="C308" s="41" t="s">
        <v>124</v>
      </c>
      <c r="D308" s="15">
        <v>16.5</v>
      </c>
      <c r="E308" s="15">
        <v>0</v>
      </c>
      <c r="F308" s="15"/>
      <c r="G308" s="15"/>
      <c r="H308" s="15"/>
      <c r="I308" s="28"/>
      <c r="J308" s="28"/>
      <c r="K308" s="31">
        <f t="shared" si="11"/>
        <v>16.5</v>
      </c>
    </row>
    <row r="309" s="2" customFormat="1" ht="21" customHeight="1" spans="1:11">
      <c r="A309" s="40"/>
      <c r="B309" s="28"/>
      <c r="C309" s="41" t="s">
        <v>92</v>
      </c>
      <c r="D309" s="15">
        <v>16.5</v>
      </c>
      <c r="E309" s="15">
        <v>0</v>
      </c>
      <c r="F309" s="15"/>
      <c r="G309" s="15"/>
      <c r="H309" s="15"/>
      <c r="I309" s="28"/>
      <c r="J309" s="28"/>
      <c r="K309" s="31">
        <f t="shared" si="11"/>
        <v>16.5</v>
      </c>
    </row>
    <row r="310" s="2" customFormat="1" ht="21" customHeight="1" spans="1:11">
      <c r="A310" s="42" t="s">
        <v>125</v>
      </c>
      <c r="B310" s="31">
        <v>11.5</v>
      </c>
      <c r="C310" s="43" t="s">
        <v>94</v>
      </c>
      <c r="D310" s="15">
        <v>11.5</v>
      </c>
      <c r="E310" s="15">
        <v>0</v>
      </c>
      <c r="F310" s="15"/>
      <c r="G310" s="15"/>
      <c r="H310" s="15"/>
      <c r="I310" s="28"/>
      <c r="J310" s="28"/>
      <c r="K310" s="31">
        <f t="shared" si="11"/>
        <v>11.5</v>
      </c>
    </row>
    <row r="311" s="2" customFormat="1" ht="21" customHeight="1" spans="1:11">
      <c r="A311" s="44"/>
      <c r="B311" s="31"/>
      <c r="C311" s="2" t="s">
        <v>98</v>
      </c>
      <c r="D311" s="23">
        <v>11.5</v>
      </c>
      <c r="E311" s="24">
        <v>0</v>
      </c>
      <c r="F311" s="15"/>
      <c r="G311" s="15"/>
      <c r="H311" s="15"/>
      <c r="I311" s="28"/>
      <c r="J311" s="28"/>
      <c r="K311" s="31">
        <f t="shared" si="11"/>
        <v>11.5</v>
      </c>
    </row>
    <row r="312" s="2" customFormat="1" ht="21" customHeight="1" spans="1:11">
      <c r="A312" s="45" t="s">
        <v>126</v>
      </c>
      <c r="B312" s="31"/>
      <c r="C312" s="43" t="s">
        <v>95</v>
      </c>
      <c r="D312" s="26">
        <v>23</v>
      </c>
      <c r="E312" s="15">
        <v>0</v>
      </c>
      <c r="F312" s="15"/>
      <c r="G312" s="15"/>
      <c r="H312" s="15"/>
      <c r="I312" s="28"/>
      <c r="J312" s="28"/>
      <c r="K312" s="31">
        <f t="shared" si="11"/>
        <v>23</v>
      </c>
    </row>
    <row r="313" s="2" customFormat="1" ht="21" customHeight="1" spans="1:11">
      <c r="A313" s="46"/>
      <c r="B313" s="31"/>
      <c r="C313" s="43" t="s">
        <v>97</v>
      </c>
      <c r="D313" s="28">
        <v>23</v>
      </c>
      <c r="E313" s="15">
        <v>0</v>
      </c>
      <c r="F313" s="15"/>
      <c r="G313" s="15"/>
      <c r="H313" s="15"/>
      <c r="I313" s="15"/>
      <c r="J313" s="28"/>
      <c r="K313" s="31">
        <f t="shared" si="11"/>
        <v>23</v>
      </c>
    </row>
    <row r="314" s="2" customFormat="1" ht="21" customHeight="1" spans="1:11">
      <c r="A314" s="47" t="s">
        <v>127</v>
      </c>
      <c r="B314" s="31"/>
      <c r="C314" s="31" t="s">
        <v>96</v>
      </c>
      <c r="D314" s="28">
        <v>0</v>
      </c>
      <c r="E314" s="15">
        <v>15</v>
      </c>
      <c r="F314" s="15"/>
      <c r="G314" s="15"/>
      <c r="H314" s="15"/>
      <c r="I314" s="15"/>
      <c r="J314" s="28"/>
      <c r="K314" s="31">
        <f t="shared" si="11"/>
        <v>15</v>
      </c>
    </row>
    <row r="315" s="2" customFormat="1" ht="21" customHeight="1" spans="1:11">
      <c r="A315" s="28" t="s">
        <v>128</v>
      </c>
      <c r="B315" s="28">
        <v>10.5</v>
      </c>
      <c r="C315" s="28" t="s">
        <v>129</v>
      </c>
      <c r="D315" s="28">
        <v>0</v>
      </c>
      <c r="E315" s="15">
        <v>15</v>
      </c>
      <c r="F315" s="15"/>
      <c r="G315" s="15"/>
      <c r="H315" s="15"/>
      <c r="I315" s="28"/>
      <c r="J315" s="28"/>
      <c r="K315" s="31">
        <f t="shared" si="11"/>
        <v>15</v>
      </c>
    </row>
    <row r="316" s="2" customFormat="1" ht="21" customHeight="1" spans="1:11">
      <c r="A316" s="28"/>
      <c r="B316" s="28"/>
      <c r="C316" s="28" t="s">
        <v>101</v>
      </c>
      <c r="D316" s="28">
        <v>0</v>
      </c>
      <c r="E316" s="15">
        <v>15</v>
      </c>
      <c r="F316" s="15"/>
      <c r="G316" s="15"/>
      <c r="H316" s="15"/>
      <c r="I316" s="28"/>
      <c r="J316" s="28"/>
      <c r="K316" s="31">
        <f t="shared" si="11"/>
        <v>15</v>
      </c>
    </row>
    <row r="317" s="2" customFormat="1" ht="21" customHeight="1" spans="1:11">
      <c r="A317" s="28" t="s">
        <v>130</v>
      </c>
      <c r="B317" s="28">
        <v>11.5</v>
      </c>
      <c r="C317" s="41" t="s">
        <v>103</v>
      </c>
      <c r="D317" s="15">
        <v>26</v>
      </c>
      <c r="E317" s="15">
        <v>0</v>
      </c>
      <c r="F317" s="15"/>
      <c r="G317" s="15"/>
      <c r="H317" s="15"/>
      <c r="I317" s="28"/>
      <c r="J317" s="28"/>
      <c r="K317" s="31">
        <f t="shared" si="11"/>
        <v>26</v>
      </c>
    </row>
    <row r="318" s="2" customFormat="1" ht="21" customHeight="1" spans="1:11">
      <c r="A318" s="28"/>
      <c r="B318" s="28"/>
      <c r="C318" s="41" t="s">
        <v>104</v>
      </c>
      <c r="D318" s="15">
        <v>6.5</v>
      </c>
      <c r="E318" s="15">
        <v>0</v>
      </c>
      <c r="F318" s="15"/>
      <c r="G318" s="15"/>
      <c r="H318" s="15"/>
      <c r="I318" s="28"/>
      <c r="J318" s="28"/>
      <c r="K318" s="31">
        <f t="shared" si="11"/>
        <v>6.5</v>
      </c>
    </row>
    <row r="319" s="2" customFormat="1" ht="21" customHeight="1" spans="1:11">
      <c r="A319" s="28"/>
      <c r="B319" s="28"/>
      <c r="C319" s="41" t="s">
        <v>131</v>
      </c>
      <c r="D319" s="15">
        <v>10</v>
      </c>
      <c r="E319" s="15">
        <v>0</v>
      </c>
      <c r="F319" s="15"/>
      <c r="G319" s="15"/>
      <c r="H319" s="15"/>
      <c r="I319" s="28"/>
      <c r="J319" s="28"/>
      <c r="K319" s="31">
        <f t="shared" si="11"/>
        <v>10</v>
      </c>
    </row>
    <row r="320" s="2" customFormat="1" ht="21" customHeight="1" spans="1:11">
      <c r="A320" s="28"/>
      <c r="B320" s="28"/>
      <c r="C320" s="41" t="s">
        <v>106</v>
      </c>
      <c r="D320" s="28">
        <v>64.35</v>
      </c>
      <c r="E320" s="15">
        <v>0</v>
      </c>
      <c r="F320" s="15"/>
      <c r="G320" s="15"/>
      <c r="H320" s="15"/>
      <c r="I320" s="28"/>
      <c r="J320" s="28"/>
      <c r="K320" s="31">
        <f t="shared" si="11"/>
        <v>64.35</v>
      </c>
    </row>
    <row r="321" s="2" customFormat="1" ht="21" customHeight="1" spans="1:11">
      <c r="A321" s="48" t="s">
        <v>107</v>
      </c>
      <c r="B321" s="48">
        <v>10.5</v>
      </c>
      <c r="C321" s="28" t="s">
        <v>108</v>
      </c>
      <c r="D321" s="15">
        <v>12.5</v>
      </c>
      <c r="E321" s="15">
        <v>15</v>
      </c>
      <c r="F321" s="15"/>
      <c r="G321" s="15"/>
      <c r="H321" s="15"/>
      <c r="I321" s="28"/>
      <c r="J321" s="28"/>
      <c r="K321" s="31">
        <f t="shared" si="11"/>
        <v>27.5</v>
      </c>
    </row>
    <row r="322" s="2" customFormat="1" ht="21" customHeight="1" spans="1:11">
      <c r="A322" s="48"/>
      <c r="B322" s="48"/>
      <c r="C322" s="28" t="s">
        <v>132</v>
      </c>
      <c r="D322" s="15">
        <v>12.5</v>
      </c>
      <c r="E322" s="15">
        <v>15</v>
      </c>
      <c r="F322" s="15"/>
      <c r="G322" s="15"/>
      <c r="H322" s="15"/>
      <c r="I322" s="28"/>
      <c r="J322" s="28"/>
      <c r="K322" s="31">
        <f t="shared" si="11"/>
        <v>27.5</v>
      </c>
    </row>
    <row r="323" s="2" customFormat="1" ht="21" customHeight="1" spans="1:11">
      <c r="A323" s="48"/>
      <c r="B323" s="48"/>
      <c r="C323" s="28" t="s">
        <v>111</v>
      </c>
      <c r="D323" s="15">
        <v>8.5</v>
      </c>
      <c r="E323" s="15">
        <v>10</v>
      </c>
      <c r="F323" s="15"/>
      <c r="G323" s="15"/>
      <c r="H323" s="15"/>
      <c r="I323" s="28"/>
      <c r="J323" s="28"/>
      <c r="K323" s="31">
        <f t="shared" si="11"/>
        <v>18.5</v>
      </c>
    </row>
    <row r="324" s="2" customFormat="1" ht="21" customHeight="1" spans="1:11">
      <c r="A324" s="48"/>
      <c r="B324" s="48"/>
      <c r="C324" s="28" t="s">
        <v>113</v>
      </c>
      <c r="D324" s="15">
        <v>8.5</v>
      </c>
      <c r="E324" s="15">
        <v>10</v>
      </c>
      <c r="F324" s="15"/>
      <c r="G324" s="15"/>
      <c r="H324" s="15"/>
      <c r="I324" s="28"/>
      <c r="J324" s="49"/>
      <c r="K324" s="31">
        <f t="shared" si="11"/>
        <v>18.5</v>
      </c>
    </row>
    <row r="325" s="2" customFormat="1" ht="21" customHeight="1" spans="1:11">
      <c r="A325" s="48"/>
      <c r="B325" s="48"/>
      <c r="C325" s="28" t="s">
        <v>112</v>
      </c>
      <c r="D325" s="15">
        <v>8.5</v>
      </c>
      <c r="E325" s="15">
        <v>10</v>
      </c>
      <c r="F325" s="15"/>
      <c r="G325" s="15"/>
      <c r="H325" s="15"/>
      <c r="I325" s="28"/>
      <c r="J325" s="49"/>
      <c r="K325" s="31">
        <f t="shared" si="11"/>
        <v>18.5</v>
      </c>
    </row>
    <row r="326" s="2" customFormat="1" ht="21" customHeight="1" spans="1:11">
      <c r="A326" s="15" t="s">
        <v>133</v>
      </c>
      <c r="B326" s="15">
        <v>10.5</v>
      </c>
      <c r="C326" s="28" t="s">
        <v>115</v>
      </c>
      <c r="D326" s="28">
        <v>10.5</v>
      </c>
      <c r="E326" s="15">
        <v>0</v>
      </c>
      <c r="F326" s="28"/>
      <c r="G326" s="28"/>
      <c r="H326" s="28"/>
      <c r="I326" s="28"/>
      <c r="J326" s="49"/>
      <c r="K326" s="31">
        <f t="shared" si="11"/>
        <v>10.5</v>
      </c>
    </row>
    <row r="327" s="2" customFormat="1" ht="21" customHeight="1" spans="1:11">
      <c r="A327" s="28" t="s">
        <v>116</v>
      </c>
      <c r="B327" s="28">
        <v>12</v>
      </c>
      <c r="C327" s="28" t="s">
        <v>134</v>
      </c>
      <c r="D327" s="28">
        <v>12</v>
      </c>
      <c r="E327" s="28">
        <v>0</v>
      </c>
      <c r="F327" s="28"/>
      <c r="G327" s="28"/>
      <c r="H327" s="28"/>
      <c r="I327" s="28"/>
      <c r="J327" s="49"/>
      <c r="K327" s="31">
        <f t="shared" si="11"/>
        <v>12</v>
      </c>
    </row>
    <row r="328" s="2" customFormat="1" ht="21" customHeight="1" spans="1:11">
      <c r="A328" s="129"/>
      <c r="B328" s="130"/>
      <c r="C328" s="130"/>
      <c r="D328" s="130"/>
      <c r="E328" s="130"/>
      <c r="F328" s="130"/>
      <c r="G328" s="130"/>
      <c r="H328" s="130"/>
      <c r="I328" s="130"/>
      <c r="J328" s="131"/>
      <c r="K328" s="28">
        <f>SUM(K307:K327)</f>
        <v>398.85</v>
      </c>
    </row>
    <row r="329" s="3" customFormat="1" ht="16.5"/>
    <row r="330" s="2" customFormat="1" ht="21" customHeight="1" spans="1:11">
      <c r="A330" s="35" t="s">
        <v>168</v>
      </c>
      <c r="B330" s="35"/>
      <c r="C330" s="35"/>
      <c r="D330" s="35"/>
      <c r="E330" s="35"/>
      <c r="F330" s="35"/>
      <c r="G330" s="35"/>
      <c r="H330" s="35"/>
      <c r="I330" s="35"/>
      <c r="J330" s="35"/>
      <c r="K330" s="35"/>
    </row>
    <row r="331" s="2" customFormat="1" ht="21" customHeight="1" spans="1:11">
      <c r="A331" s="36" t="s">
        <v>147</v>
      </c>
      <c r="B331" s="36"/>
      <c r="C331" s="36"/>
      <c r="D331" s="36" t="s">
        <v>181</v>
      </c>
      <c r="E331" s="36"/>
      <c r="F331" s="36"/>
      <c r="G331" s="36"/>
      <c r="H331" s="36"/>
      <c r="I331" s="36"/>
      <c r="J331" s="36"/>
      <c r="K331" s="36"/>
    </row>
    <row r="332" s="2" customFormat="1" ht="21" customHeight="1" spans="1:11">
      <c r="A332" s="37" t="s">
        <v>83</v>
      </c>
      <c r="B332" s="37" t="s">
        <v>84</v>
      </c>
      <c r="C332" s="38" t="s">
        <v>120</v>
      </c>
      <c r="D332" s="39" t="s">
        <v>6</v>
      </c>
      <c r="E332" s="39" t="s">
        <v>6</v>
      </c>
      <c r="F332" s="37" t="s">
        <v>6</v>
      </c>
      <c r="G332" s="37" t="s">
        <v>6</v>
      </c>
      <c r="H332" s="37" t="s">
        <v>6</v>
      </c>
      <c r="I332" s="37" t="s">
        <v>6</v>
      </c>
      <c r="J332" s="37" t="s">
        <v>121</v>
      </c>
      <c r="K332" s="37" t="s">
        <v>87</v>
      </c>
    </row>
    <row r="333" s="2" customFormat="1" ht="21" customHeight="1" spans="1:11">
      <c r="A333" s="28" t="s">
        <v>122</v>
      </c>
      <c r="B333" s="28">
        <v>12</v>
      </c>
      <c r="C333" s="14" t="s">
        <v>134</v>
      </c>
      <c r="D333" s="15">
        <v>0</v>
      </c>
      <c r="E333" s="15">
        <v>10</v>
      </c>
      <c r="F333" s="15"/>
      <c r="G333" s="15"/>
      <c r="H333" s="15"/>
      <c r="I333" s="28"/>
      <c r="J333" s="28"/>
      <c r="K333" s="31">
        <f t="shared" ref="K333:K354" si="12">SUM(D333:J333)</f>
        <v>10</v>
      </c>
    </row>
    <row r="334" s="2" customFormat="1" ht="21" customHeight="1" spans="1:11">
      <c r="A334" s="40" t="s">
        <v>90</v>
      </c>
      <c r="B334" s="28">
        <v>11.5</v>
      </c>
      <c r="C334" s="41" t="s">
        <v>124</v>
      </c>
      <c r="D334" s="15">
        <v>0</v>
      </c>
      <c r="E334" s="15">
        <v>15</v>
      </c>
      <c r="F334" s="15"/>
      <c r="G334" s="15"/>
      <c r="H334" s="15"/>
      <c r="I334" s="28"/>
      <c r="J334" s="28"/>
      <c r="K334" s="31">
        <f t="shared" si="12"/>
        <v>15</v>
      </c>
    </row>
    <row r="335" s="2" customFormat="1" ht="21" customHeight="1" spans="1:11">
      <c r="A335" s="40"/>
      <c r="B335" s="28"/>
      <c r="C335" s="41" t="s">
        <v>92</v>
      </c>
      <c r="D335" s="15">
        <v>10</v>
      </c>
      <c r="E335" s="15">
        <v>15</v>
      </c>
      <c r="F335" s="15"/>
      <c r="G335" s="15"/>
      <c r="H335" s="15"/>
      <c r="I335" s="28"/>
      <c r="J335" s="28"/>
      <c r="K335" s="31">
        <f t="shared" si="12"/>
        <v>25</v>
      </c>
    </row>
    <row r="336" s="2" customFormat="1" ht="21" customHeight="1" spans="1:11">
      <c r="A336" s="42" t="s">
        <v>125</v>
      </c>
      <c r="B336" s="31">
        <v>11.5</v>
      </c>
      <c r="C336" s="43" t="s">
        <v>94</v>
      </c>
      <c r="D336" s="15">
        <v>0</v>
      </c>
      <c r="E336" s="15">
        <v>10</v>
      </c>
      <c r="F336" s="15"/>
      <c r="G336" s="15"/>
      <c r="H336" s="15"/>
      <c r="I336" s="28"/>
      <c r="J336" s="28"/>
      <c r="K336" s="31">
        <f t="shared" si="12"/>
        <v>10</v>
      </c>
    </row>
    <row r="337" s="2" customFormat="1" ht="21" customHeight="1" spans="1:11">
      <c r="A337" s="44"/>
      <c r="B337" s="31"/>
      <c r="C337" s="2" t="s">
        <v>98</v>
      </c>
      <c r="D337" s="23">
        <v>10</v>
      </c>
      <c r="E337" s="24">
        <v>10</v>
      </c>
      <c r="F337" s="15"/>
      <c r="G337" s="15"/>
      <c r="H337" s="15"/>
      <c r="I337" s="28"/>
      <c r="J337" s="28"/>
      <c r="K337" s="31">
        <f t="shared" si="12"/>
        <v>20</v>
      </c>
    </row>
    <row r="338" s="2" customFormat="1" ht="21" customHeight="1" spans="1:11">
      <c r="A338" s="45" t="s">
        <v>126</v>
      </c>
      <c r="B338" s="31"/>
      <c r="C338" s="43" t="s">
        <v>95</v>
      </c>
      <c r="D338" s="26">
        <v>10</v>
      </c>
      <c r="E338" s="15">
        <v>0</v>
      </c>
      <c r="F338" s="15"/>
      <c r="G338" s="15"/>
      <c r="H338" s="15"/>
      <c r="I338" s="28"/>
      <c r="J338" s="28"/>
      <c r="K338" s="31">
        <f t="shared" si="12"/>
        <v>10</v>
      </c>
    </row>
    <row r="339" s="2" customFormat="1" ht="21" customHeight="1" spans="1:11">
      <c r="A339" s="46"/>
      <c r="B339" s="31"/>
      <c r="C339" s="43" t="s">
        <v>97</v>
      </c>
      <c r="D339" s="28">
        <v>0</v>
      </c>
      <c r="E339" s="15">
        <v>10</v>
      </c>
      <c r="F339" s="15"/>
      <c r="G339" s="15"/>
      <c r="H339" s="15"/>
      <c r="I339" s="15"/>
      <c r="J339" s="28"/>
      <c r="K339" s="31">
        <f t="shared" si="12"/>
        <v>10</v>
      </c>
    </row>
    <row r="340" s="2" customFormat="1" ht="21" customHeight="1" spans="1:11">
      <c r="A340" s="47" t="s">
        <v>127</v>
      </c>
      <c r="B340" s="31"/>
      <c r="C340" s="31" t="s">
        <v>96</v>
      </c>
      <c r="D340" s="28">
        <v>15</v>
      </c>
      <c r="E340" s="15">
        <v>0</v>
      </c>
      <c r="F340" s="15"/>
      <c r="G340" s="15"/>
      <c r="H340" s="15"/>
      <c r="I340" s="15"/>
      <c r="J340" s="28"/>
      <c r="K340" s="31">
        <f t="shared" si="12"/>
        <v>15</v>
      </c>
    </row>
    <row r="341" s="2" customFormat="1" ht="21" customHeight="1" spans="1:11">
      <c r="A341" s="28" t="s">
        <v>128</v>
      </c>
      <c r="B341" s="28">
        <v>10.5</v>
      </c>
      <c r="C341" s="28" t="s">
        <v>129</v>
      </c>
      <c r="D341" s="28">
        <v>15</v>
      </c>
      <c r="E341" s="15">
        <v>0</v>
      </c>
      <c r="F341" s="15"/>
      <c r="G341" s="15"/>
      <c r="H341" s="15"/>
      <c r="I341" s="28"/>
      <c r="J341" s="28"/>
      <c r="K341" s="31">
        <f t="shared" si="12"/>
        <v>15</v>
      </c>
    </row>
    <row r="342" s="2" customFormat="1" ht="21" customHeight="1" spans="1:11">
      <c r="A342" s="28"/>
      <c r="B342" s="28"/>
      <c r="C342" s="28" t="s">
        <v>101</v>
      </c>
      <c r="D342" s="28">
        <v>15</v>
      </c>
      <c r="E342" s="15">
        <v>0</v>
      </c>
      <c r="F342" s="15"/>
      <c r="G342" s="15"/>
      <c r="H342" s="15"/>
      <c r="I342" s="28"/>
      <c r="J342" s="28"/>
      <c r="K342" s="31">
        <f t="shared" si="12"/>
        <v>15</v>
      </c>
    </row>
    <row r="343" s="2" customFormat="1" ht="21" customHeight="1" spans="1:11">
      <c r="A343" s="28" t="s">
        <v>130</v>
      </c>
      <c r="B343" s="28">
        <v>11.5</v>
      </c>
      <c r="C343" s="41" t="s">
        <v>103</v>
      </c>
      <c r="D343" s="15">
        <v>20</v>
      </c>
      <c r="E343" s="15">
        <v>5</v>
      </c>
      <c r="F343" s="15"/>
      <c r="G343" s="15"/>
      <c r="H343" s="15"/>
      <c r="I343" s="28"/>
      <c r="J343" s="28"/>
      <c r="K343" s="31">
        <f t="shared" si="12"/>
        <v>25</v>
      </c>
    </row>
    <row r="344" s="2" customFormat="1" ht="21" customHeight="1" spans="1:11">
      <c r="A344" s="28"/>
      <c r="B344" s="28"/>
      <c r="C344" s="41" t="s">
        <v>104</v>
      </c>
      <c r="D344" s="15">
        <v>10</v>
      </c>
      <c r="E344" s="15">
        <v>5</v>
      </c>
      <c r="F344" s="15"/>
      <c r="G344" s="15"/>
      <c r="H344" s="15"/>
      <c r="I344" s="28"/>
      <c r="J344" s="28"/>
      <c r="K344" s="31">
        <f t="shared" si="12"/>
        <v>15</v>
      </c>
    </row>
    <row r="345" s="2" customFormat="1" ht="21" customHeight="1" spans="1:11">
      <c r="A345" s="28"/>
      <c r="B345" s="28"/>
      <c r="C345" s="41" t="s">
        <v>131</v>
      </c>
      <c r="D345" s="15">
        <v>10</v>
      </c>
      <c r="E345" s="15">
        <v>0</v>
      </c>
      <c r="F345" s="15"/>
      <c r="G345" s="15"/>
      <c r="H345" s="15"/>
      <c r="I345" s="28"/>
      <c r="J345" s="28"/>
      <c r="K345" s="31">
        <f t="shared" si="12"/>
        <v>10</v>
      </c>
    </row>
    <row r="346" s="2" customFormat="1" ht="21" customHeight="1" spans="1:11">
      <c r="A346" s="28"/>
      <c r="B346" s="28"/>
      <c r="C346" s="41" t="s">
        <v>106</v>
      </c>
      <c r="D346" s="28">
        <v>66.2</v>
      </c>
      <c r="E346" s="15">
        <v>0</v>
      </c>
      <c r="F346" s="15"/>
      <c r="G346" s="15"/>
      <c r="H346" s="15"/>
      <c r="I346" s="28"/>
      <c r="J346" s="28"/>
      <c r="K346" s="31">
        <f t="shared" si="12"/>
        <v>66.2</v>
      </c>
    </row>
    <row r="347" s="2" customFormat="1" ht="21" customHeight="1" spans="1:11">
      <c r="A347" s="48" t="s">
        <v>107</v>
      </c>
      <c r="B347" s="48">
        <v>10.5</v>
      </c>
      <c r="C347" s="28" t="s">
        <v>108</v>
      </c>
      <c r="D347" s="15">
        <v>36</v>
      </c>
      <c r="E347" s="15">
        <v>10</v>
      </c>
      <c r="F347" s="15"/>
      <c r="G347" s="15"/>
      <c r="H347" s="15"/>
      <c r="I347" s="28"/>
      <c r="J347" s="28"/>
      <c r="K347" s="31">
        <f t="shared" si="12"/>
        <v>46</v>
      </c>
    </row>
    <row r="348" s="2" customFormat="1" ht="21" customHeight="1" spans="1:11">
      <c r="A348" s="48"/>
      <c r="B348" s="48"/>
      <c r="C348" s="28" t="s">
        <v>132</v>
      </c>
      <c r="D348" s="96">
        <v>24</v>
      </c>
      <c r="E348" s="15">
        <v>0</v>
      </c>
      <c r="F348" s="15"/>
      <c r="G348" s="15"/>
      <c r="H348" s="15"/>
      <c r="I348" s="28"/>
      <c r="J348" s="28"/>
      <c r="K348" s="31">
        <f t="shared" si="12"/>
        <v>24</v>
      </c>
    </row>
    <row r="349" s="2" customFormat="1" ht="21" customHeight="1" spans="1:11">
      <c r="A349" s="48"/>
      <c r="B349" s="48"/>
      <c r="C349" s="28" t="s">
        <v>111</v>
      </c>
      <c r="D349" s="15">
        <v>24</v>
      </c>
      <c r="E349" s="15">
        <v>5</v>
      </c>
      <c r="F349" s="15"/>
      <c r="G349" s="15"/>
      <c r="H349" s="15"/>
      <c r="I349" s="28"/>
      <c r="J349" s="28"/>
      <c r="K349" s="31">
        <f t="shared" si="12"/>
        <v>29</v>
      </c>
    </row>
    <row r="350" s="2" customFormat="1" ht="21" customHeight="1" spans="1:11">
      <c r="A350" s="48"/>
      <c r="B350" s="48"/>
      <c r="C350" s="28" t="s">
        <v>113</v>
      </c>
      <c r="D350" s="28">
        <v>24</v>
      </c>
      <c r="E350" s="15">
        <v>0</v>
      </c>
      <c r="F350" s="15"/>
      <c r="G350" s="15"/>
      <c r="H350" s="15"/>
      <c r="I350" s="28"/>
      <c r="J350" s="49"/>
      <c r="K350" s="31">
        <f t="shared" si="12"/>
        <v>24</v>
      </c>
    </row>
    <row r="351" s="2" customFormat="1" ht="21" customHeight="1" spans="1:11">
      <c r="A351" s="48"/>
      <c r="B351" s="48"/>
      <c r="C351" s="28" t="s">
        <v>112</v>
      </c>
      <c r="D351" s="15">
        <v>24</v>
      </c>
      <c r="E351" s="15">
        <v>5</v>
      </c>
      <c r="F351" s="15"/>
      <c r="G351" s="15"/>
      <c r="H351" s="15"/>
      <c r="I351" s="28"/>
      <c r="J351" s="49"/>
      <c r="K351" s="31">
        <f t="shared" si="12"/>
        <v>29</v>
      </c>
    </row>
    <row r="352" s="2" customFormat="1" ht="21" customHeight="1" spans="1:11">
      <c r="A352" s="15" t="s">
        <v>133</v>
      </c>
      <c r="B352" s="15">
        <v>10.5</v>
      </c>
      <c r="C352" s="28" t="s">
        <v>115</v>
      </c>
      <c r="D352" s="28">
        <v>10.5</v>
      </c>
      <c r="E352" s="15">
        <v>10.5</v>
      </c>
      <c r="F352" s="28"/>
      <c r="G352" s="28"/>
      <c r="H352" s="28"/>
      <c r="I352" s="28"/>
      <c r="J352" s="49"/>
      <c r="K352" s="31">
        <f t="shared" si="12"/>
        <v>21</v>
      </c>
    </row>
    <row r="353" s="2" customFormat="1" ht="21" customHeight="1" spans="1:11">
      <c r="A353" s="15" t="s">
        <v>116</v>
      </c>
      <c r="B353" s="15">
        <v>12</v>
      </c>
      <c r="C353" s="15" t="s">
        <v>134</v>
      </c>
      <c r="D353" s="15">
        <v>12</v>
      </c>
      <c r="E353" s="15">
        <v>12</v>
      </c>
      <c r="F353" s="15"/>
      <c r="G353" s="15"/>
      <c r="H353" s="15"/>
      <c r="I353" s="15"/>
      <c r="J353" s="24"/>
      <c r="K353" s="50">
        <f t="shared" si="12"/>
        <v>24</v>
      </c>
    </row>
    <row r="354" s="2" customFormat="1" ht="21" customHeight="1" spans="1:11">
      <c r="A354" s="43"/>
      <c r="B354" s="51"/>
      <c r="C354" s="51"/>
      <c r="D354" s="51"/>
      <c r="E354" s="51"/>
      <c r="F354" s="51"/>
      <c r="G354" s="51"/>
      <c r="H354" s="51"/>
      <c r="I354" s="51"/>
      <c r="J354" s="51"/>
      <c r="K354" s="52">
        <f>SUM(K333:K353)</f>
        <v>458.2</v>
      </c>
    </row>
    <row r="356" s="1" customFormat="1" ht="21" customHeight="1" spans="1:11">
      <c r="A356" s="5" t="s">
        <v>168</v>
      </c>
      <c r="B356" s="6"/>
      <c r="C356" s="6"/>
      <c r="D356" s="6"/>
      <c r="E356" s="6"/>
      <c r="F356" s="6"/>
      <c r="G356" s="6"/>
      <c r="H356" s="6"/>
      <c r="I356" s="6"/>
      <c r="J356" s="6"/>
      <c r="K356" s="7"/>
    </row>
    <row r="357" s="1" customFormat="1" ht="21" customHeight="1" spans="1:11">
      <c r="A357" s="8" t="s">
        <v>162</v>
      </c>
      <c r="B357" s="9"/>
      <c r="C357" s="9"/>
      <c r="D357" s="10" t="s">
        <v>182</v>
      </c>
      <c r="E357" s="9"/>
      <c r="F357" s="9"/>
      <c r="G357" s="9"/>
      <c r="H357" s="9"/>
      <c r="I357" s="9"/>
      <c r="J357" s="9"/>
      <c r="K357" s="9"/>
    </row>
    <row r="358" s="1" customFormat="1" ht="21" customHeight="1" spans="1:11">
      <c r="A358" s="11" t="s">
        <v>83</v>
      </c>
      <c r="B358" s="11" t="s">
        <v>84</v>
      </c>
      <c r="C358" s="12" t="s">
        <v>120</v>
      </c>
      <c r="D358" s="13" t="s">
        <v>6</v>
      </c>
      <c r="E358" s="13" t="s">
        <v>6</v>
      </c>
      <c r="F358" s="11" t="s">
        <v>6</v>
      </c>
      <c r="G358" s="11" t="s">
        <v>6</v>
      </c>
      <c r="H358" s="11" t="s">
        <v>6</v>
      </c>
      <c r="I358" s="11" t="s">
        <v>6</v>
      </c>
      <c r="J358" s="11" t="s">
        <v>121</v>
      </c>
      <c r="K358" s="11" t="s">
        <v>87</v>
      </c>
    </row>
    <row r="359" s="1" customFormat="1" ht="21" customHeight="1" spans="1:11">
      <c r="A359" s="11" t="s">
        <v>122</v>
      </c>
      <c r="B359" s="11">
        <v>12</v>
      </c>
      <c r="C359" s="12" t="s">
        <v>123</v>
      </c>
      <c r="D359" s="13">
        <v>15</v>
      </c>
      <c r="E359" s="13">
        <v>15</v>
      </c>
      <c r="F359" s="13">
        <v>15</v>
      </c>
      <c r="G359" s="13">
        <v>10</v>
      </c>
      <c r="H359" s="13"/>
      <c r="I359" s="11"/>
      <c r="J359" s="11"/>
      <c r="K359" s="14">
        <f t="shared" ref="K359:K381" si="13">SUM(D359:J359)</f>
        <v>55</v>
      </c>
    </row>
    <row r="360" s="1" customFormat="1" ht="21" customHeight="1" spans="1:11">
      <c r="A360" s="18" t="s">
        <v>90</v>
      </c>
      <c r="B360" s="11">
        <v>11.5</v>
      </c>
      <c r="C360" s="12" t="s">
        <v>124</v>
      </c>
      <c r="D360" s="13">
        <v>14.3</v>
      </c>
      <c r="E360" s="13">
        <v>14.3</v>
      </c>
      <c r="F360" s="13">
        <v>14.3</v>
      </c>
      <c r="G360" s="13">
        <v>10</v>
      </c>
      <c r="H360" s="13"/>
      <c r="I360" s="11"/>
      <c r="J360" s="11"/>
      <c r="K360" s="14">
        <f t="shared" si="13"/>
        <v>52.9</v>
      </c>
    </row>
    <row r="361" s="1" customFormat="1" ht="21" customHeight="1" spans="1:11">
      <c r="A361" s="18"/>
      <c r="B361" s="11"/>
      <c r="C361" s="11" t="s">
        <v>183</v>
      </c>
      <c r="D361" s="13">
        <v>14.3</v>
      </c>
      <c r="E361" s="13">
        <v>14.3</v>
      </c>
      <c r="F361" s="13">
        <v>14.3</v>
      </c>
      <c r="G361" s="13">
        <v>10</v>
      </c>
      <c r="H361" s="13"/>
      <c r="I361" s="11"/>
      <c r="J361" s="11"/>
      <c r="K361" s="14">
        <f t="shared" si="13"/>
        <v>52.9</v>
      </c>
    </row>
    <row r="362" s="1" customFormat="1" ht="21" customHeight="1" spans="1:11">
      <c r="A362" s="18"/>
      <c r="B362" s="11"/>
      <c r="C362" s="12" t="s">
        <v>92</v>
      </c>
      <c r="D362" s="13">
        <v>14.3</v>
      </c>
      <c r="E362" s="13">
        <v>14.3</v>
      </c>
      <c r="F362" s="13">
        <v>14.3</v>
      </c>
      <c r="G362" s="13">
        <v>10</v>
      </c>
      <c r="H362" s="13"/>
      <c r="I362" s="11"/>
      <c r="J362" s="11"/>
      <c r="K362" s="14">
        <f t="shared" si="13"/>
        <v>52.9</v>
      </c>
    </row>
    <row r="363" s="1" customFormat="1" ht="21" customHeight="1" spans="1:11">
      <c r="A363" s="19" t="s">
        <v>125</v>
      </c>
      <c r="B363" s="14">
        <v>11.5</v>
      </c>
      <c r="C363" s="20" t="s">
        <v>94</v>
      </c>
      <c r="D363" s="13">
        <v>14.3</v>
      </c>
      <c r="E363" s="13">
        <v>14.3</v>
      </c>
      <c r="F363" s="13">
        <v>14.3</v>
      </c>
      <c r="G363" s="13">
        <v>11</v>
      </c>
      <c r="H363" s="13"/>
      <c r="I363" s="11"/>
      <c r="J363" s="11"/>
      <c r="K363" s="14">
        <f t="shared" si="13"/>
        <v>53.9</v>
      </c>
    </row>
    <row r="364" s="1" customFormat="1" ht="21" customHeight="1" spans="1:11">
      <c r="A364" s="22"/>
      <c r="B364" s="14"/>
      <c r="C364" s="1" t="s">
        <v>98</v>
      </c>
      <c r="D364" s="13">
        <v>14.3</v>
      </c>
      <c r="E364" s="13">
        <v>14.3</v>
      </c>
      <c r="F364" s="13">
        <v>14.3</v>
      </c>
      <c r="G364" s="13">
        <v>11</v>
      </c>
      <c r="H364" s="13"/>
      <c r="I364" s="11"/>
      <c r="J364" s="11"/>
      <c r="K364" s="14">
        <f t="shared" si="13"/>
        <v>53.9</v>
      </c>
    </row>
    <row r="365" s="1" customFormat="1" ht="21" customHeight="1" spans="1:11">
      <c r="A365" s="25" t="s">
        <v>126</v>
      </c>
      <c r="B365" s="14"/>
      <c r="C365" s="20" t="s">
        <v>95</v>
      </c>
      <c r="D365" s="13">
        <v>14.3</v>
      </c>
      <c r="E365" s="13">
        <v>14.3</v>
      </c>
      <c r="F365" s="13">
        <v>14.3</v>
      </c>
      <c r="G365" s="13">
        <v>11</v>
      </c>
      <c r="H365" s="13"/>
      <c r="I365" s="11"/>
      <c r="J365" s="11"/>
      <c r="K365" s="14">
        <f t="shared" si="13"/>
        <v>53.9</v>
      </c>
    </row>
    <row r="366" s="1" customFormat="1" ht="21" customHeight="1" spans="1:11">
      <c r="A366" s="27"/>
      <c r="B366" s="14"/>
      <c r="C366" s="20" t="s">
        <v>97</v>
      </c>
      <c r="D366" s="13">
        <v>14.3</v>
      </c>
      <c r="E366" s="13">
        <v>14.3</v>
      </c>
      <c r="F366" s="13">
        <v>14.3</v>
      </c>
      <c r="G366" s="13">
        <v>11</v>
      </c>
      <c r="H366" s="13"/>
      <c r="I366" s="13"/>
      <c r="J366" s="11"/>
      <c r="K366" s="14">
        <f t="shared" si="13"/>
        <v>53.9</v>
      </c>
    </row>
    <row r="367" s="1" customFormat="1" ht="21" customHeight="1" spans="1:11">
      <c r="A367" s="18" t="s">
        <v>127</v>
      </c>
      <c r="B367" s="14"/>
      <c r="C367" s="14" t="s">
        <v>96</v>
      </c>
      <c r="D367" s="13">
        <v>14.3</v>
      </c>
      <c r="E367" s="13">
        <v>14.3</v>
      </c>
      <c r="F367" s="13">
        <v>14.3</v>
      </c>
      <c r="G367" s="13">
        <v>11</v>
      </c>
      <c r="H367" s="13"/>
      <c r="I367" s="13"/>
      <c r="J367" s="11"/>
      <c r="K367" s="14">
        <f t="shared" si="13"/>
        <v>53.9</v>
      </c>
    </row>
    <row r="368" s="1" customFormat="1" ht="21" customHeight="1" spans="1:11">
      <c r="A368" s="11" t="s">
        <v>128</v>
      </c>
      <c r="B368" s="11">
        <v>10.5</v>
      </c>
      <c r="C368" s="11" t="s">
        <v>129</v>
      </c>
      <c r="D368" s="13">
        <v>17</v>
      </c>
      <c r="E368" s="13">
        <v>17</v>
      </c>
      <c r="F368" s="13">
        <v>17</v>
      </c>
      <c r="G368" s="13">
        <v>10</v>
      </c>
      <c r="H368" s="13"/>
      <c r="I368" s="11"/>
      <c r="J368" s="11"/>
      <c r="K368" s="14">
        <f t="shared" si="13"/>
        <v>61</v>
      </c>
    </row>
    <row r="369" s="1" customFormat="1" ht="21" customHeight="1" spans="1:11">
      <c r="A369" s="11"/>
      <c r="B369" s="11"/>
      <c r="C369" s="11" t="s">
        <v>101</v>
      </c>
      <c r="D369" s="13">
        <v>16.7</v>
      </c>
      <c r="E369" s="13">
        <v>16.7</v>
      </c>
      <c r="F369" s="13">
        <v>16.7</v>
      </c>
      <c r="G369" s="13">
        <v>10</v>
      </c>
      <c r="H369" s="13"/>
      <c r="I369" s="11"/>
      <c r="J369" s="11"/>
      <c r="K369" s="14">
        <f t="shared" si="13"/>
        <v>60.1</v>
      </c>
    </row>
    <row r="370" s="1" customFormat="1" ht="21" customHeight="1" spans="1:11">
      <c r="A370" s="11" t="s">
        <v>130</v>
      </c>
      <c r="B370" s="11">
        <v>11.5</v>
      </c>
      <c r="C370" s="12" t="s">
        <v>103</v>
      </c>
      <c r="D370" s="13">
        <v>16.7</v>
      </c>
      <c r="E370" s="13">
        <v>16.7</v>
      </c>
      <c r="F370" s="13">
        <v>16.7</v>
      </c>
      <c r="G370" s="13">
        <v>10</v>
      </c>
      <c r="H370" s="13"/>
      <c r="I370" s="11"/>
      <c r="J370" s="11"/>
      <c r="K370" s="14">
        <f t="shared" si="13"/>
        <v>60.1</v>
      </c>
    </row>
    <row r="371" s="1" customFormat="1" ht="21" customHeight="1" spans="1:11">
      <c r="A371" s="11"/>
      <c r="B371" s="11"/>
      <c r="C371" s="12" t="s">
        <v>104</v>
      </c>
      <c r="D371" s="13">
        <v>16.7</v>
      </c>
      <c r="E371" s="13">
        <v>16.7</v>
      </c>
      <c r="F371" s="13">
        <v>16.7</v>
      </c>
      <c r="G371" s="13">
        <v>10</v>
      </c>
      <c r="H371" s="13"/>
      <c r="I371" s="11"/>
      <c r="J371" s="11"/>
      <c r="K371" s="14">
        <f t="shared" si="13"/>
        <v>60.1</v>
      </c>
    </row>
    <row r="372" s="1" customFormat="1" ht="21" customHeight="1" spans="1:11">
      <c r="A372" s="11"/>
      <c r="B372" s="11"/>
      <c r="C372" s="12" t="s">
        <v>131</v>
      </c>
      <c r="D372" s="13">
        <v>16.7</v>
      </c>
      <c r="E372" s="13">
        <v>16.7</v>
      </c>
      <c r="F372" s="13">
        <v>16.7</v>
      </c>
      <c r="G372" s="13">
        <v>5</v>
      </c>
      <c r="H372" s="13"/>
      <c r="I372" s="11"/>
      <c r="J372" s="11"/>
      <c r="K372" s="14">
        <f t="shared" si="13"/>
        <v>55.1</v>
      </c>
    </row>
    <row r="373" s="1" customFormat="1" ht="21" customHeight="1" spans="1:11">
      <c r="A373" s="11"/>
      <c r="B373" s="11"/>
      <c r="C373" s="12" t="s">
        <v>106</v>
      </c>
      <c r="D373" s="13">
        <v>0</v>
      </c>
      <c r="E373" s="13">
        <v>0</v>
      </c>
      <c r="F373" s="13">
        <v>0</v>
      </c>
      <c r="G373" s="13">
        <v>0</v>
      </c>
      <c r="H373" s="13"/>
      <c r="I373" s="11"/>
      <c r="J373" s="11"/>
      <c r="K373" s="14">
        <f t="shared" si="13"/>
        <v>0</v>
      </c>
    </row>
    <row r="374" s="1" customFormat="1" ht="21" customHeight="1" spans="1:11">
      <c r="A374" s="21" t="s">
        <v>107</v>
      </c>
      <c r="B374" s="21">
        <v>10.5</v>
      </c>
      <c r="C374" s="11" t="s">
        <v>108</v>
      </c>
      <c r="D374" s="13">
        <v>16.7</v>
      </c>
      <c r="E374" s="13">
        <v>16.7</v>
      </c>
      <c r="F374" s="13">
        <v>16.7</v>
      </c>
      <c r="G374" s="13">
        <v>5</v>
      </c>
      <c r="H374" s="13"/>
      <c r="I374" s="11"/>
      <c r="J374" s="11"/>
      <c r="K374" s="14">
        <f t="shared" si="13"/>
        <v>55.1</v>
      </c>
    </row>
    <row r="375" s="1" customFormat="1" ht="21" customHeight="1" spans="1:11">
      <c r="A375" s="21"/>
      <c r="B375" s="21"/>
      <c r="C375" s="11" t="s">
        <v>109</v>
      </c>
      <c r="D375" s="13">
        <v>16.7</v>
      </c>
      <c r="E375" s="13">
        <v>16.7</v>
      </c>
      <c r="F375" s="13">
        <v>16.7</v>
      </c>
      <c r="G375" s="13">
        <v>5</v>
      </c>
      <c r="H375" s="13"/>
      <c r="I375" s="11"/>
      <c r="J375" s="11"/>
      <c r="K375" s="14">
        <f t="shared" si="13"/>
        <v>55.1</v>
      </c>
    </row>
    <row r="376" s="1" customFormat="1" ht="21" customHeight="1" spans="1:11">
      <c r="A376" s="21"/>
      <c r="B376" s="21"/>
      <c r="C376" s="11" t="s">
        <v>132</v>
      </c>
      <c r="D376" s="13">
        <v>16.7</v>
      </c>
      <c r="E376" s="13">
        <v>16.7</v>
      </c>
      <c r="F376" s="13">
        <v>16.7</v>
      </c>
      <c r="G376" s="13">
        <v>5</v>
      </c>
      <c r="H376" s="13"/>
      <c r="I376" s="11"/>
      <c r="J376" s="11"/>
      <c r="K376" s="14">
        <f t="shared" si="13"/>
        <v>55.1</v>
      </c>
    </row>
    <row r="377" s="1" customFormat="1" ht="21" customHeight="1" spans="1:11">
      <c r="A377" s="21"/>
      <c r="B377" s="21"/>
      <c r="C377" s="11" t="s">
        <v>111</v>
      </c>
      <c r="D377" s="13">
        <v>0</v>
      </c>
      <c r="E377" s="13">
        <v>0</v>
      </c>
      <c r="F377" s="13">
        <v>0</v>
      </c>
      <c r="G377" s="13">
        <v>0</v>
      </c>
      <c r="H377" s="13"/>
      <c r="I377" s="11"/>
      <c r="J377" s="11"/>
      <c r="K377" s="14">
        <f t="shared" si="13"/>
        <v>0</v>
      </c>
    </row>
    <row r="378" s="1" customFormat="1" ht="21" customHeight="1" spans="1:11">
      <c r="A378" s="21"/>
      <c r="B378" s="21"/>
      <c r="C378" s="11" t="s">
        <v>112</v>
      </c>
      <c r="D378" s="13">
        <v>0</v>
      </c>
      <c r="E378" s="13">
        <v>0</v>
      </c>
      <c r="F378" s="13">
        <v>0</v>
      </c>
      <c r="G378" s="13">
        <v>0</v>
      </c>
      <c r="H378" s="13"/>
      <c r="I378" s="11"/>
      <c r="J378" s="30"/>
      <c r="K378" s="14">
        <f t="shared" si="13"/>
        <v>0</v>
      </c>
    </row>
    <row r="379" s="1" customFormat="1" ht="21" customHeight="1" spans="1:11">
      <c r="A379" s="21"/>
      <c r="B379" s="21"/>
      <c r="C379" s="11" t="s">
        <v>113</v>
      </c>
      <c r="D379" s="13">
        <v>16.7</v>
      </c>
      <c r="E379" s="13">
        <v>16.7</v>
      </c>
      <c r="F379" s="13">
        <v>16.7</v>
      </c>
      <c r="G379" s="13">
        <v>5</v>
      </c>
      <c r="H379" s="13"/>
      <c r="I379" s="11"/>
      <c r="J379" s="30"/>
      <c r="K379" s="14">
        <f t="shared" si="13"/>
        <v>55.1</v>
      </c>
    </row>
    <row r="380" s="1" customFormat="1" ht="21" customHeight="1" spans="1:11">
      <c r="A380" s="13" t="s">
        <v>133</v>
      </c>
      <c r="B380" s="13">
        <v>10.5</v>
      </c>
      <c r="C380" s="11" t="s">
        <v>115</v>
      </c>
      <c r="D380" s="11">
        <v>10</v>
      </c>
      <c r="E380" s="11">
        <v>10</v>
      </c>
      <c r="F380" s="11">
        <v>10</v>
      </c>
      <c r="G380" s="11">
        <v>10</v>
      </c>
      <c r="H380" s="11"/>
      <c r="I380" s="11"/>
      <c r="J380" s="30"/>
      <c r="K380" s="14">
        <f t="shared" si="13"/>
        <v>40</v>
      </c>
    </row>
    <row r="381" s="1" customFormat="1" ht="21" customHeight="1" spans="1:11">
      <c r="A381" s="11" t="s">
        <v>116</v>
      </c>
      <c r="B381" s="11">
        <v>12</v>
      </c>
      <c r="C381" s="11" t="s">
        <v>134</v>
      </c>
      <c r="D381" s="11">
        <v>12</v>
      </c>
      <c r="E381" s="11">
        <v>12</v>
      </c>
      <c r="F381" s="11">
        <v>12</v>
      </c>
      <c r="G381" s="11">
        <v>12</v>
      </c>
      <c r="H381" s="11"/>
      <c r="I381" s="11"/>
      <c r="J381" s="30"/>
      <c r="K381" s="14">
        <f t="shared" si="13"/>
        <v>48</v>
      </c>
    </row>
    <row r="382" s="1" customFormat="1" ht="21" customHeight="1" spans="1:11">
      <c r="A382" s="12"/>
      <c r="B382" s="81"/>
      <c r="C382" s="81"/>
      <c r="D382" s="81"/>
      <c r="E382" s="81"/>
      <c r="F382" s="74"/>
      <c r="G382" s="81"/>
      <c r="H382" s="81"/>
      <c r="I382" s="81"/>
      <c r="J382" s="81"/>
      <c r="K382" s="75">
        <f>SUM(K359:K381)</f>
        <v>1088</v>
      </c>
    </row>
  </sheetData>
  <mergeCells count="197">
    <mergeCell ref="A1:K1"/>
    <mergeCell ref="A2:C2"/>
    <mergeCell ref="D2:K2"/>
    <mergeCell ref="A28:K28"/>
    <mergeCell ref="A29:C29"/>
    <mergeCell ref="D29:K29"/>
    <mergeCell ref="A55:K55"/>
    <mergeCell ref="A56:C56"/>
    <mergeCell ref="D56:K56"/>
    <mergeCell ref="A82:K82"/>
    <mergeCell ref="A83:C83"/>
    <mergeCell ref="D83:K83"/>
    <mergeCell ref="A109:K109"/>
    <mergeCell ref="A110:C110"/>
    <mergeCell ref="D110:K110"/>
    <mergeCell ref="A133:J133"/>
    <mergeCell ref="A137:K137"/>
    <mergeCell ref="A138:C138"/>
    <mergeCell ref="D138:K138"/>
    <mergeCell ref="A161:J161"/>
    <mergeCell ref="A165:K165"/>
    <mergeCell ref="A166:C166"/>
    <mergeCell ref="D166:K166"/>
    <mergeCell ref="A193:K193"/>
    <mergeCell ref="A194:C194"/>
    <mergeCell ref="D194:K194"/>
    <mergeCell ref="A221:K221"/>
    <mergeCell ref="A222:C222"/>
    <mergeCell ref="D222:K222"/>
    <mergeCell ref="A248:K248"/>
    <mergeCell ref="A249:C249"/>
    <mergeCell ref="D249:K249"/>
    <mergeCell ref="A276:K276"/>
    <mergeCell ref="A277:C277"/>
    <mergeCell ref="D277:K277"/>
    <mergeCell ref="A304:K304"/>
    <mergeCell ref="A305:C305"/>
    <mergeCell ref="D305:K305"/>
    <mergeCell ref="A328:J328"/>
    <mergeCell ref="A330:K330"/>
    <mergeCell ref="A331:C331"/>
    <mergeCell ref="D331:K331"/>
    <mergeCell ref="A356:K356"/>
    <mergeCell ref="A357:C357"/>
    <mergeCell ref="D357:K357"/>
    <mergeCell ref="A5:A6"/>
    <mergeCell ref="A7:A8"/>
    <mergeCell ref="A9:A10"/>
    <mergeCell ref="A12:A13"/>
    <mergeCell ref="A14:A17"/>
    <mergeCell ref="A18:A22"/>
    <mergeCell ref="A32:A33"/>
    <mergeCell ref="A34:A35"/>
    <mergeCell ref="A36:A37"/>
    <mergeCell ref="A39:A40"/>
    <mergeCell ref="A41:A44"/>
    <mergeCell ref="A45:A47"/>
    <mergeCell ref="A59:A60"/>
    <mergeCell ref="A61:A62"/>
    <mergeCell ref="A63:A64"/>
    <mergeCell ref="A66:A67"/>
    <mergeCell ref="A68:A71"/>
    <mergeCell ref="A72:A74"/>
    <mergeCell ref="A86:A87"/>
    <mergeCell ref="A88:A89"/>
    <mergeCell ref="A90:A91"/>
    <mergeCell ref="A93:A94"/>
    <mergeCell ref="A95:A98"/>
    <mergeCell ref="A99:A101"/>
    <mergeCell ref="A113:A114"/>
    <mergeCell ref="A115:A119"/>
    <mergeCell ref="A120:A121"/>
    <mergeCell ref="A122:A125"/>
    <mergeCell ref="A126:A130"/>
    <mergeCell ref="A141:A142"/>
    <mergeCell ref="A143:A144"/>
    <mergeCell ref="A145:A146"/>
    <mergeCell ref="A148:A149"/>
    <mergeCell ref="A150:A153"/>
    <mergeCell ref="A154:A158"/>
    <mergeCell ref="A169:A170"/>
    <mergeCell ref="A171:A175"/>
    <mergeCell ref="A176:A177"/>
    <mergeCell ref="A178:A181"/>
    <mergeCell ref="A182:A186"/>
    <mergeCell ref="A197:A198"/>
    <mergeCell ref="A199:A200"/>
    <mergeCell ref="A201:A202"/>
    <mergeCell ref="A204:A205"/>
    <mergeCell ref="A206:A209"/>
    <mergeCell ref="A210:A214"/>
    <mergeCell ref="A225:A226"/>
    <mergeCell ref="A227:A228"/>
    <mergeCell ref="A229:A230"/>
    <mergeCell ref="A232:A233"/>
    <mergeCell ref="A234:A237"/>
    <mergeCell ref="A238:A242"/>
    <mergeCell ref="A252:A253"/>
    <mergeCell ref="A254:A255"/>
    <mergeCell ref="A256:A257"/>
    <mergeCell ref="A259:A260"/>
    <mergeCell ref="A261:A264"/>
    <mergeCell ref="A265:A269"/>
    <mergeCell ref="A280:A281"/>
    <mergeCell ref="A282:A283"/>
    <mergeCell ref="A284:A285"/>
    <mergeCell ref="A287:A288"/>
    <mergeCell ref="A289:A292"/>
    <mergeCell ref="A293:A297"/>
    <mergeCell ref="A308:A309"/>
    <mergeCell ref="A310:A311"/>
    <mergeCell ref="A312:A313"/>
    <mergeCell ref="A315:A316"/>
    <mergeCell ref="A317:A320"/>
    <mergeCell ref="A321:A323"/>
    <mergeCell ref="A334:A335"/>
    <mergeCell ref="A336:A337"/>
    <mergeCell ref="A338:A339"/>
    <mergeCell ref="A341:A342"/>
    <mergeCell ref="A343:A346"/>
    <mergeCell ref="A347:A349"/>
    <mergeCell ref="A360:A362"/>
    <mergeCell ref="A363:A364"/>
    <mergeCell ref="A365:A366"/>
    <mergeCell ref="A368:A369"/>
    <mergeCell ref="A370:A373"/>
    <mergeCell ref="A374:A379"/>
    <mergeCell ref="B5:B6"/>
    <mergeCell ref="B7:B11"/>
    <mergeCell ref="B12:B13"/>
    <mergeCell ref="B14:B17"/>
    <mergeCell ref="B18:B22"/>
    <mergeCell ref="B32:B33"/>
    <mergeCell ref="B34:B38"/>
    <mergeCell ref="B39:B40"/>
    <mergeCell ref="B41:B44"/>
    <mergeCell ref="B45:B47"/>
    <mergeCell ref="B59:B60"/>
    <mergeCell ref="B61:B65"/>
    <mergeCell ref="B66:B67"/>
    <mergeCell ref="B68:B71"/>
    <mergeCell ref="B72:B74"/>
    <mergeCell ref="B86:B87"/>
    <mergeCell ref="B88:B92"/>
    <mergeCell ref="B93:B94"/>
    <mergeCell ref="B95:B98"/>
    <mergeCell ref="B99:B101"/>
    <mergeCell ref="B113:B114"/>
    <mergeCell ref="B115:B119"/>
    <mergeCell ref="B120:B121"/>
    <mergeCell ref="B122:B125"/>
    <mergeCell ref="B126:B130"/>
    <mergeCell ref="B141:B142"/>
    <mergeCell ref="B143:B147"/>
    <mergeCell ref="B148:B149"/>
    <mergeCell ref="B150:B153"/>
    <mergeCell ref="B154:B158"/>
    <mergeCell ref="B169:B170"/>
    <mergeCell ref="B171:B175"/>
    <mergeCell ref="B176:B177"/>
    <mergeCell ref="B178:B181"/>
    <mergeCell ref="B182:B186"/>
    <mergeCell ref="B197:B198"/>
    <mergeCell ref="B199:B203"/>
    <mergeCell ref="B204:B205"/>
    <mergeCell ref="B206:B209"/>
    <mergeCell ref="B210:B214"/>
    <mergeCell ref="B225:B226"/>
    <mergeCell ref="B227:B231"/>
    <mergeCell ref="B232:B233"/>
    <mergeCell ref="B234:B237"/>
    <mergeCell ref="B238:B242"/>
    <mergeCell ref="B252:B253"/>
    <mergeCell ref="B254:B258"/>
    <mergeCell ref="B259:B260"/>
    <mergeCell ref="B261:B264"/>
    <mergeCell ref="B265:B269"/>
    <mergeCell ref="B280:B281"/>
    <mergeCell ref="B282:B286"/>
    <mergeCell ref="B287:B288"/>
    <mergeCell ref="B289:B292"/>
    <mergeCell ref="B293:B297"/>
    <mergeCell ref="B308:B309"/>
    <mergeCell ref="B310:B314"/>
    <mergeCell ref="B315:B316"/>
    <mergeCell ref="B317:B320"/>
    <mergeCell ref="B321:B323"/>
    <mergeCell ref="B334:B335"/>
    <mergeCell ref="B336:B340"/>
    <mergeCell ref="B341:B342"/>
    <mergeCell ref="B343:B346"/>
    <mergeCell ref="B347:B349"/>
    <mergeCell ref="B360:B362"/>
    <mergeCell ref="B363:B367"/>
    <mergeCell ref="B368:B369"/>
    <mergeCell ref="B370:B373"/>
    <mergeCell ref="B374:B37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2026年财务报表</vt:lpstr>
      <vt:lpstr>1月工分明细</vt:lpstr>
      <vt:lpstr>2月工分明细</vt:lpstr>
      <vt:lpstr>3月工分明细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琦乐麻麻（带娃回复慢）</cp:lastModifiedBy>
  <dcterms:created xsi:type="dcterms:W3CDTF">2023-05-12T11:15:00Z</dcterms:created>
  <dcterms:modified xsi:type="dcterms:W3CDTF">2026-04-13T05:03:09Z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69F3455796654AACA537C80A6CCD6FEC_13</vt:lpwstr>
  </property>
  <property fmtid="{D5CDD505-2E9C-101B-9397-08002B2CF9AE}" pid="4" name="CalculationRule">
    <vt:i4>0</vt:i4>
  </property>
</Properties>
</file>