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2025年财务报表" sheetId="1" r:id="rId1"/>
    <sheet name="1月工分明细" sheetId="2" r:id="rId2"/>
    <sheet name="2月工分明细" sheetId="3" r:id="rId3"/>
    <sheet name="3月工分明细" sheetId="4" r:id="rId4"/>
    <sheet name="4月工分明细" sheetId="5" r:id="rId5"/>
    <sheet name="5月工分明细" sheetId="6" r:id="rId6"/>
    <sheet name="6月工分明细" sheetId="7" r:id="rId7"/>
    <sheet name="7月工分明细" sheetId="8" r:id="rId8"/>
    <sheet name="8月工分明细" sheetId="9" r:id="rId9"/>
    <sheet name="9月工分明细" sheetId="10" r:id="rId10"/>
    <sheet name="10月工分明细" sheetId="11" r:id="rId11"/>
    <sheet name="11月工分明细" sheetId="12" r:id="rId12"/>
    <sheet name="12月工分明细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HP</author>
  </authors>
  <commentList>
    <comment ref="G92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127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159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182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208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240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263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299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  <comment ref="G326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未算零头</t>
        </r>
      </text>
    </comment>
  </commentList>
</comments>
</file>

<file path=xl/sharedStrings.xml><?xml version="1.0" encoding="utf-8"?>
<sst xmlns="http://schemas.openxmlformats.org/spreadsheetml/2006/main" count="7355" uniqueCount="476">
  <si>
    <t>2025年01月片剂车间生产品种入库报表</t>
  </si>
  <si>
    <t>序号</t>
  </si>
  <si>
    <t>品   种</t>
  </si>
  <si>
    <t>规 格</t>
  </si>
  <si>
    <t>批
号</t>
  </si>
  <si>
    <t>投料量
(万粒/片）</t>
  </si>
  <si>
    <t>工 分</t>
  </si>
  <si>
    <t>生产数量(件)</t>
  </si>
  <si>
    <t>折合
(盒\瓶)</t>
  </si>
  <si>
    <t>折合
（万粒/片）</t>
  </si>
  <si>
    <t>备  注</t>
  </si>
  <si>
    <t>盐酸特拉唑嗪胶囊</t>
  </si>
  <si>
    <t>2mg</t>
  </si>
  <si>
    <t>290件</t>
  </si>
  <si>
    <t>12粒/板*400盒/件</t>
  </si>
  <si>
    <t>泮托拉唑钠肠溶片</t>
  </si>
  <si>
    <t>40mg</t>
  </si>
  <si>
    <t>99件280盒</t>
  </si>
  <si>
    <t>12片/板*400盒/件</t>
  </si>
  <si>
    <t>100件270盒</t>
  </si>
  <si>
    <t>8片/板*2*300盒/件</t>
  </si>
  <si>
    <t>82件330盒</t>
  </si>
  <si>
    <t>8片/板*400盒/件</t>
  </si>
  <si>
    <t>162件</t>
  </si>
  <si>
    <t>7片/板*200盒/件</t>
  </si>
  <si>
    <t>347件</t>
  </si>
  <si>
    <t>盐酸氧氟沙星胶囊</t>
  </si>
  <si>
    <t>0.1g</t>
  </si>
  <si>
    <t>129件</t>
  </si>
  <si>
    <t>10粒/板*3*300盒/件</t>
  </si>
  <si>
    <t>122件</t>
  </si>
  <si>
    <t>12片/板*2*400盒/件</t>
  </si>
  <si>
    <t>143件300盒</t>
  </si>
  <si>
    <t>10粒/板*2*400盒/件</t>
  </si>
  <si>
    <t>186件170盒</t>
  </si>
  <si>
    <t>8粒/板*2*400盒/件</t>
  </si>
  <si>
    <t>硝酸异山梨酯片</t>
  </si>
  <si>
    <t>5mg</t>
  </si>
  <si>
    <t>103件</t>
  </si>
  <si>
    <t>100片/瓶*480瓶/件</t>
  </si>
  <si>
    <t>104件</t>
  </si>
  <si>
    <t>105件</t>
  </si>
  <si>
    <t>复方芦丁片</t>
  </si>
  <si>
    <t>芦丁20mg VC50mg</t>
  </si>
  <si>
    <t>克拉霉素胶囊</t>
  </si>
  <si>
    <t>0.25g</t>
  </si>
  <si>
    <t>160件280盒</t>
  </si>
  <si>
    <t>6粒/板*300盒/件</t>
  </si>
  <si>
    <t>15件</t>
  </si>
  <si>
    <t>10粒/板*400盒/件</t>
  </si>
  <si>
    <t>88件</t>
  </si>
  <si>
    <t>甘草酸二铵胶囊</t>
  </si>
  <si>
    <t>50mg</t>
  </si>
  <si>
    <t>45件220盒</t>
  </si>
  <si>
    <t>12片/板*2*300盒/件</t>
  </si>
  <si>
    <t>合   计</t>
  </si>
  <si>
    <t xml:space="preserve">         制 表 人：张立军</t>
  </si>
  <si>
    <t>复 核 人：</t>
  </si>
  <si>
    <t>制表日期：2025.02.06</t>
  </si>
  <si>
    <t>复核日期：</t>
  </si>
  <si>
    <t>2025年02月片剂车间生产品种入库报表</t>
  </si>
  <si>
    <t>氢氯噻嗪片</t>
  </si>
  <si>
    <t>25mg</t>
  </si>
  <si>
    <t>螺内酯片</t>
  </si>
  <si>
    <t>20mg</t>
  </si>
  <si>
    <t>100片/瓶*360瓶/件</t>
  </si>
  <si>
    <t>5片/板*300盒/件</t>
  </si>
  <si>
    <t>49件300盒</t>
  </si>
  <si>
    <t>阿奇霉素胶囊</t>
  </si>
  <si>
    <t>108件310盒</t>
  </si>
  <si>
    <t>8粒/板*400盒/件</t>
  </si>
  <si>
    <t>118件320盒</t>
  </si>
  <si>
    <t>制表日期：2025.03.04</t>
  </si>
  <si>
    <t>2025年03月片剂车间生产品种入库报表</t>
  </si>
  <si>
    <t>14片/板*200盒/件</t>
  </si>
  <si>
    <t>51件130盒</t>
  </si>
  <si>
    <t>辛伐他汀片</t>
  </si>
  <si>
    <t>10mg</t>
  </si>
  <si>
    <t>12粒/板*2*400盒/件</t>
  </si>
  <si>
    <t>甲巯咪唑片</t>
  </si>
  <si>
    <t>制表日期：2025.03.28</t>
  </si>
  <si>
    <t>2025年04月片剂车间生产品种入库报表</t>
  </si>
  <si>
    <t>阿替洛尔片</t>
  </si>
  <si>
    <t>51件470瓶</t>
  </si>
  <si>
    <t>60片/瓶*480瓶/件</t>
  </si>
  <si>
    <t>52件280盒</t>
  </si>
  <si>
    <t>别嘌醇片</t>
  </si>
  <si>
    <t>12粒/3板*200盒/件</t>
  </si>
  <si>
    <t>14片/板*2*200盒/件</t>
  </si>
  <si>
    <t>177件160盒</t>
  </si>
  <si>
    <t>制表日期：2025.05.05</t>
  </si>
  <si>
    <t>2025年05月片剂车间生产品种入库报表</t>
  </si>
  <si>
    <t>177件180盒</t>
  </si>
  <si>
    <t>177件20盒</t>
  </si>
  <si>
    <t>177件170盒</t>
  </si>
  <si>
    <t>178件30盒</t>
  </si>
  <si>
    <t>133件160盒</t>
  </si>
  <si>
    <t>122件160盒</t>
  </si>
  <si>
    <t>123件120盒</t>
  </si>
  <si>
    <t>15件220盒</t>
  </si>
  <si>
    <t>10片/板*3*300盒/件</t>
  </si>
  <si>
    <t>15片/板*2*400盒/件</t>
  </si>
  <si>
    <t>349件140盒</t>
  </si>
  <si>
    <t>46件150盒</t>
  </si>
  <si>
    <t>184件170盒</t>
  </si>
  <si>
    <t>344件50盒</t>
  </si>
  <si>
    <t>346件150盒</t>
  </si>
  <si>
    <t>104件430瓶</t>
  </si>
  <si>
    <t>53件10瓶</t>
  </si>
  <si>
    <t>51件320瓶</t>
  </si>
  <si>
    <t>52件20瓶</t>
  </si>
  <si>
    <t>52件370瓶</t>
  </si>
  <si>
    <t>53件50瓶</t>
  </si>
  <si>
    <t>50件80盒</t>
  </si>
  <si>
    <t>101件160瓶</t>
  </si>
  <si>
    <t>3349件3010瓶/盒</t>
  </si>
  <si>
    <t>制表日期：2025.05.30</t>
  </si>
  <si>
    <t>2025年06月片剂车间生产品种入库报表</t>
  </si>
  <si>
    <t>80件350盒</t>
  </si>
  <si>
    <t>10片/板*400盒/件</t>
  </si>
  <si>
    <t>349件80盒</t>
  </si>
  <si>
    <t>171件150盒</t>
  </si>
  <si>
    <t>105件390瓶</t>
  </si>
  <si>
    <t>52件130盒</t>
  </si>
  <si>
    <t>34件170盒</t>
  </si>
  <si>
    <t>12片/板*3*300盒/件</t>
  </si>
  <si>
    <t>101件240盒</t>
  </si>
  <si>
    <t>9粒/板*2*300盒/件</t>
  </si>
  <si>
    <t>103件140瓶</t>
  </si>
  <si>
    <t>353件70盒</t>
  </si>
  <si>
    <t>68件90瓶</t>
  </si>
  <si>
    <t>50件240盒</t>
  </si>
  <si>
    <t>制表日期：2025.06.25</t>
  </si>
  <si>
    <t>2025年07月片剂车间生产品种入库报表</t>
  </si>
  <si>
    <t>346件80盒</t>
  </si>
  <si>
    <t>345件90盒</t>
  </si>
  <si>
    <t>350件30盒</t>
  </si>
  <si>
    <t>101件350盒</t>
  </si>
  <si>
    <t>52件120盒</t>
  </si>
  <si>
    <t>52件180盒</t>
  </si>
  <si>
    <t>67件240瓶</t>
  </si>
  <si>
    <t>163件120盒</t>
  </si>
  <si>
    <t>10粒/3板*200盒/件</t>
  </si>
  <si>
    <t>制表日期：2025.07.25</t>
  </si>
  <si>
    <t>2025年08月片剂车间生产品种入库报表</t>
  </si>
  <si>
    <t>289件140盒</t>
  </si>
  <si>
    <t>101件380瓶</t>
  </si>
  <si>
    <t>53件120盒</t>
  </si>
  <si>
    <t>352件180盒</t>
  </si>
  <si>
    <t>102件380瓶</t>
  </si>
  <si>
    <t>105件340瓶</t>
  </si>
  <si>
    <t>制表日期：2025.08.25</t>
  </si>
  <si>
    <t>2025年09月片剂车间生产品种入库报表</t>
  </si>
  <si>
    <t>303件230盒</t>
  </si>
  <si>
    <t>50件390瓶</t>
  </si>
  <si>
    <t>52件90瓶</t>
  </si>
  <si>
    <t>50件430瓶</t>
  </si>
  <si>
    <t>51件270盒</t>
  </si>
  <si>
    <t>51件30盒</t>
  </si>
  <si>
    <t>30片/板*2*300盒/件</t>
  </si>
  <si>
    <t>136件160盒</t>
  </si>
  <si>
    <t>124件260盒</t>
  </si>
  <si>
    <t>制表日期：2025.09.28</t>
  </si>
  <si>
    <t>2025年10月片剂车间生产品种入库报表</t>
  </si>
  <si>
    <t>53件250盒</t>
  </si>
  <si>
    <t>51件260盒</t>
  </si>
  <si>
    <t>123件360盒</t>
  </si>
  <si>
    <t>99件110盒</t>
  </si>
  <si>
    <t>103件140盒</t>
  </si>
  <si>
    <t>制表日期：2025.10.28</t>
  </si>
  <si>
    <t>2025年11月片剂车间生产品种入库报表</t>
  </si>
  <si>
    <t>102件220盒</t>
  </si>
  <si>
    <t>102件230盒</t>
  </si>
  <si>
    <t>100件250盒</t>
  </si>
  <si>
    <t>60件110盒</t>
  </si>
  <si>
    <t>78件240盒</t>
  </si>
  <si>
    <t>336件140盒</t>
  </si>
  <si>
    <t>173件150盒</t>
  </si>
  <si>
    <t>174件50盒</t>
  </si>
  <si>
    <t>121件190盒</t>
  </si>
  <si>
    <t>86件150盒</t>
  </si>
  <si>
    <t>16件20盒</t>
  </si>
  <si>
    <t>制表日期：2025.11.28</t>
  </si>
  <si>
    <t>2025年12月片剂车间生产品种入库报表</t>
  </si>
  <si>
    <t>349件120盒</t>
  </si>
  <si>
    <t>343件170盒</t>
  </si>
  <si>
    <t>172件160盒</t>
  </si>
  <si>
    <t>170件150盒</t>
  </si>
  <si>
    <t>174件90盒</t>
  </si>
  <si>
    <t>57件60盒</t>
  </si>
  <si>
    <t>100件50盒</t>
  </si>
  <si>
    <t>10粒/2板*400盒/件</t>
  </si>
  <si>
    <t>鞣酸小檗碱片</t>
  </si>
  <si>
    <t>0.1g       （小儿用）</t>
  </si>
  <si>
    <t>23件390盒</t>
  </si>
  <si>
    <t>50件230盒</t>
  </si>
  <si>
    <t>制表日期：2025.12.30</t>
  </si>
  <si>
    <t xml:space="preserve">         固体制剂车间入库品种工分明细（2025）        01月份</t>
  </si>
  <si>
    <t>品名：盐酸特拉唑嗪胶囊</t>
  </si>
  <si>
    <t>批号：20250101( 投料量150万粒）                    12粒/板*400盒/件</t>
  </si>
  <si>
    <t>序  号</t>
  </si>
  <si>
    <t>姓 名</t>
  </si>
  <si>
    <t>岗  位</t>
  </si>
  <si>
    <t>备 注</t>
  </si>
  <si>
    <t>合  计</t>
  </si>
  <si>
    <t>粉处理</t>
  </si>
  <si>
    <t>刘元军</t>
  </si>
  <si>
    <t>制粒</t>
  </si>
  <si>
    <t>王红玲</t>
  </si>
  <si>
    <t>肖文众</t>
  </si>
  <si>
    <t>宋金美</t>
  </si>
  <si>
    <t>压 片</t>
  </si>
  <si>
    <t>蔡焕然</t>
  </si>
  <si>
    <t>袁焕兰</t>
  </si>
  <si>
    <t>陈春霞</t>
  </si>
  <si>
    <t>闻宝珍</t>
  </si>
  <si>
    <t>尹菊艳</t>
  </si>
  <si>
    <t>内 包</t>
  </si>
  <si>
    <t>马良云</t>
  </si>
  <si>
    <t>周礼连</t>
  </si>
  <si>
    <t>铝 塑</t>
  </si>
  <si>
    <t>薛秀华</t>
  </si>
  <si>
    <t>柏万娟</t>
  </si>
  <si>
    <t>刘俊秀</t>
  </si>
  <si>
    <t>于海花</t>
  </si>
  <si>
    <t>外包</t>
  </si>
  <si>
    <t>李忠花</t>
  </si>
  <si>
    <t>杨  容</t>
  </si>
  <si>
    <t>杨云霞</t>
  </si>
  <si>
    <t>孙芸芸</t>
  </si>
  <si>
    <t>卫 生</t>
  </si>
  <si>
    <t>薛海苹</t>
  </si>
  <si>
    <t>物 管</t>
  </si>
  <si>
    <t>闻宝云</t>
  </si>
  <si>
    <t xml:space="preserve">         固体制剂车间入库品种工分明细（2025）         01月份</t>
  </si>
  <si>
    <t>品名：泮托拉唑钠肠溶片</t>
  </si>
  <si>
    <t>批号：20250101( 投料量35万粒）             12片/板*400盒/件</t>
  </si>
  <si>
    <t>压片</t>
  </si>
  <si>
    <t>包衣</t>
  </si>
  <si>
    <t>充填</t>
  </si>
  <si>
    <t>何海燕</t>
  </si>
  <si>
    <t>批号：20250102( 投料量50万粒）         8片/板*2*300盒/件</t>
  </si>
  <si>
    <t>批号：20250103( 投料量50万粒）         8片/板*400盒/件</t>
  </si>
  <si>
    <t>批号：20250103( 投料量50万粒）                7片/板*200盒/件</t>
  </si>
  <si>
    <r>
      <rPr>
        <sz val="12"/>
        <color rgb="FF000000"/>
        <rFont val="华文细黑"/>
        <charset val="0"/>
      </rPr>
      <t xml:space="preserve">         </t>
    </r>
    <r>
      <rPr>
        <sz val="14"/>
        <rFont val="宋体"/>
        <charset val="0"/>
      </rPr>
      <t>固体制剂车间入库品种工分明细（</t>
    </r>
    <r>
      <rPr>
        <sz val="14"/>
        <rFont val="Dotum"/>
        <charset val="0"/>
      </rPr>
      <t>2025</t>
    </r>
    <r>
      <rPr>
        <sz val="14"/>
        <rFont val="宋体"/>
        <charset val="0"/>
      </rPr>
      <t>）</t>
    </r>
    <r>
      <rPr>
        <sz val="14"/>
        <rFont val="Dotum"/>
        <charset val="0"/>
      </rPr>
      <t xml:space="preserve">         01</t>
    </r>
    <r>
      <rPr>
        <sz val="14"/>
        <rFont val="宋体"/>
        <charset val="0"/>
      </rPr>
      <t>月份</t>
    </r>
  </si>
  <si>
    <r>
      <rPr>
        <sz val="12"/>
        <color rgb="FF000000"/>
        <rFont val="华文细黑"/>
        <charset val="0"/>
      </rPr>
      <t>品名</t>
    </r>
    <r>
      <rPr>
        <sz val="12"/>
        <rFont val="华文细黑"/>
        <charset val="134"/>
      </rPr>
      <t>：盐酸左氧氟沙星胶囊</t>
    </r>
  </si>
  <si>
    <r>
      <rPr>
        <sz val="12"/>
        <color rgb="FF000000"/>
        <rFont val="华文细黑"/>
        <charset val="0"/>
      </rPr>
      <t>批号：</t>
    </r>
    <r>
      <rPr>
        <sz val="12"/>
        <rFont val="华文细黑"/>
        <charset val="0"/>
      </rPr>
      <t>20250102( 投料量120万粒）                  10粒/板*3*300盒/件</t>
    </r>
  </si>
  <si>
    <t>品名：盐酸左氧氟沙星胶囊</t>
  </si>
  <si>
    <t>批号：20250103( 投料量120万片）                              12粒/板*2*400盒/件</t>
  </si>
  <si>
    <t>批号：20250104( 投料量120万片）                              10粒/板*2*400盒/件</t>
  </si>
  <si>
    <t>何   剑</t>
  </si>
  <si>
    <t>品名：硝酸异山梨酯片</t>
  </si>
  <si>
    <t>批号：20250105-07( 投料量1500万片）    100片/板*480瓶/件</t>
  </si>
  <si>
    <t>品名：复方芦丁片</t>
  </si>
  <si>
    <t xml:space="preserve">批号：20250109( 投料量1000万片）         100片/瓶*480瓶/件   </t>
  </si>
  <si>
    <t xml:space="preserve">         固体制剂车间入库品种工分明细（2025）       01月份</t>
  </si>
  <si>
    <t>批号：20250111-12( 投料量50万粒）              7片/板*200盒/件</t>
  </si>
  <si>
    <t>品名：甘草酸二胺胶囊</t>
  </si>
  <si>
    <t>批号：20250113( 投料量40万粒）                             12粒/板*2*300盒/件</t>
  </si>
  <si>
    <t>品名：克拉霉素胶囊</t>
  </si>
  <si>
    <t xml:space="preserve">批号：20250110( 投料量35万粒）                  6粒/板*300盒/件   </t>
  </si>
  <si>
    <t>批号：20250110( 投料量35万粒）        10粒/板*400盒/件</t>
  </si>
  <si>
    <t>批号：20250116( 投料量35万粒）        10粒/板*400盒/件</t>
  </si>
  <si>
    <t>批号：20250118( 投料量120万片）                              8粒/板*2*400盒/件</t>
  </si>
  <si>
    <t xml:space="preserve">         固体制剂车间入库品种工分明细（2025）         02月份</t>
  </si>
  <si>
    <t>品名：氢氯噻嗪片</t>
  </si>
  <si>
    <t xml:space="preserve">批号：20250206( 投料量500万片）                100片/瓶*480瓶/件   </t>
  </si>
  <si>
    <t>品名：螺内酯片</t>
  </si>
  <si>
    <t>批号：20250207( 投料量250万粒）             100片/瓶*360瓶/件</t>
  </si>
  <si>
    <t xml:space="preserve">批号：20250209( 投料量1000万片）         100片/瓶*480瓶/件   </t>
  </si>
  <si>
    <t>批号：20250211-20250213( 投料量1500万   片）    100片/板*480瓶/件</t>
  </si>
  <si>
    <t>品名：阿奇霉素胶囊</t>
  </si>
  <si>
    <t>批号：20250219( 投料量35万粒）                          8粒/板*400盒/件</t>
  </si>
  <si>
    <t>批号：20250220( 投料量40万粒）             12粒/板*2*300盒/件</t>
  </si>
  <si>
    <t xml:space="preserve">         固体制剂车间入库品种工分明细（2025）        02月份</t>
  </si>
  <si>
    <t>批号：20250211( 投料量50万片）                     5片/板*300盒/件</t>
  </si>
  <si>
    <t>批号：20250211( 投料量50万片）                   7片/板*200盒/件</t>
  </si>
  <si>
    <t>批号：20250212/20250224-26( 投料量50万粒）              7片/板*200盒/件</t>
  </si>
  <si>
    <t>批号：20250213( 投料量50万片）                       12片/板*200盒/件</t>
  </si>
  <si>
    <t>批号：20250213( 投料量50万片）                         7片/板*200盒/件</t>
  </si>
  <si>
    <t xml:space="preserve">         固体制剂车间入库品种工分明细（2025）       02月份</t>
  </si>
  <si>
    <t>批号：20250227( 投料量120万片）                    12粒/板*2*400盒/件</t>
  </si>
  <si>
    <t>批号：20250112( 投料量50万粒）              7片/板*200盒/件</t>
  </si>
  <si>
    <t xml:space="preserve">         固体制剂车间入库品种工分明细（2025）         03月份</t>
  </si>
  <si>
    <t>批号：20250306-07 （投料量100万片）                 14片/板*200盒/件</t>
  </si>
  <si>
    <t>批号：20250309( 投料量50万片）                                7片/板*200盒/件</t>
  </si>
  <si>
    <t>批号：20250309( 投料量50万片）                         12片/板*200盒/件</t>
  </si>
  <si>
    <t>批号：20250310-0311( 投料量100万粒）             7片/板*200盒/件</t>
  </si>
  <si>
    <t>批号：20250311-0312( 投料量80万粒）   12粒/板*2*300盒/件</t>
  </si>
  <si>
    <t>杨    容</t>
  </si>
  <si>
    <t xml:space="preserve">         固体制剂车间入库品种工分明细（2025）        3月份</t>
  </si>
  <si>
    <t>批号：20250313( 投料量150万粒）               12粒/板*400盒/件</t>
  </si>
  <si>
    <t xml:space="preserve">         固体制剂车间入库品种工分明细（2025）        03月份</t>
  </si>
  <si>
    <t>品名：辛伐他汀片</t>
  </si>
  <si>
    <t>批号：20250317( 投料量100万片）       12粒/板*2*400盒/件</t>
  </si>
  <si>
    <t xml:space="preserve"> 何海燕</t>
  </si>
  <si>
    <t xml:space="preserve">批号：20250317( 投料量35万粒）                  6粒/板*300盒/件   </t>
  </si>
  <si>
    <t xml:space="preserve">批号：20250318( 投料量1000万片）         100片/瓶*480瓶/件   </t>
  </si>
  <si>
    <t>批号：20250320( 投料量250万粒）                    100片/瓶*360瓶/件</t>
  </si>
  <si>
    <t>品名：甲巯咪唑片</t>
  </si>
  <si>
    <t>批号：20250321( 投料量200万粒）    100片/瓶*360瓶/件</t>
  </si>
  <si>
    <r>
      <rPr>
        <sz val="12"/>
        <color rgb="FF002060"/>
        <rFont val="Microsoft YaHei"/>
        <charset val="134"/>
      </rPr>
      <t xml:space="preserve">岗  </t>
    </r>
    <r>
      <rPr>
        <sz val="12"/>
        <color indexed="56"/>
        <rFont val="Microsoft YaHei"/>
        <charset val="134"/>
      </rPr>
      <t>位</t>
    </r>
  </si>
  <si>
    <r>
      <rPr>
        <sz val="12"/>
        <color rgb="FF002060"/>
        <rFont val="Microsoft YaHei"/>
        <charset val="134"/>
      </rPr>
      <t xml:space="preserve">备 </t>
    </r>
    <r>
      <rPr>
        <sz val="12"/>
        <color indexed="56"/>
        <rFont val="Microsoft YaHei"/>
        <charset val="134"/>
      </rPr>
      <t>注</t>
    </r>
  </si>
  <si>
    <r>
      <rPr>
        <sz val="12"/>
        <color rgb="FF002060"/>
        <rFont val="Microsoft YaHei"/>
        <charset val="134"/>
      </rPr>
      <t>粉处</t>
    </r>
    <r>
      <rPr>
        <sz val="12"/>
        <color indexed="56"/>
        <rFont val="Microsoft YaHei"/>
        <charset val="134"/>
      </rPr>
      <t>理</t>
    </r>
  </si>
  <si>
    <r>
      <rPr>
        <sz val="12"/>
        <color rgb="FF002060"/>
        <rFont val="Microsoft YaHei"/>
        <charset val="134"/>
      </rPr>
      <t>刘</t>
    </r>
    <r>
      <rPr>
        <sz val="12"/>
        <color indexed="56"/>
        <rFont val="Microsoft YaHei"/>
        <charset val="134"/>
      </rPr>
      <t>元</t>
    </r>
    <r>
      <rPr>
        <sz val="12"/>
        <color rgb="FF002060"/>
        <rFont val="Microsoft YaHei"/>
        <charset val="134"/>
      </rPr>
      <t>军</t>
    </r>
  </si>
  <si>
    <r>
      <rPr>
        <sz val="12"/>
        <color rgb="FF002060"/>
        <rFont val="Microsoft YaHei"/>
        <charset val="134"/>
      </rPr>
      <t>王红</t>
    </r>
    <r>
      <rPr>
        <sz val="12"/>
        <color indexed="56"/>
        <rFont val="Microsoft YaHei"/>
        <charset val="134"/>
      </rPr>
      <t>玲</t>
    </r>
  </si>
  <si>
    <r>
      <rPr>
        <sz val="12"/>
        <color rgb="FF002060"/>
        <rFont val="Microsoft YaHei"/>
        <charset val="134"/>
      </rPr>
      <t xml:space="preserve">内 </t>
    </r>
    <r>
      <rPr>
        <sz val="12"/>
        <color indexed="56"/>
        <rFont val="Microsoft YaHei"/>
        <charset val="134"/>
      </rPr>
      <t>包</t>
    </r>
  </si>
  <si>
    <r>
      <rPr>
        <sz val="12"/>
        <color rgb="FF002060"/>
        <rFont val="Microsoft YaHei"/>
        <charset val="134"/>
      </rPr>
      <t>马</t>
    </r>
    <r>
      <rPr>
        <sz val="12"/>
        <color indexed="56"/>
        <rFont val="Microsoft YaHei"/>
        <charset val="134"/>
      </rPr>
      <t>良云</t>
    </r>
  </si>
  <si>
    <r>
      <rPr>
        <sz val="12"/>
        <color rgb="FF002060"/>
        <rFont val="Microsoft YaHei"/>
        <charset val="134"/>
      </rPr>
      <t xml:space="preserve">铝 </t>
    </r>
    <r>
      <rPr>
        <sz val="12"/>
        <color indexed="56"/>
        <rFont val="Microsoft YaHei"/>
        <charset val="134"/>
      </rPr>
      <t>塑</t>
    </r>
  </si>
  <si>
    <r>
      <rPr>
        <sz val="12"/>
        <color rgb="FF002060"/>
        <rFont val="Microsoft YaHei"/>
        <charset val="134"/>
      </rPr>
      <t>刘</t>
    </r>
    <r>
      <rPr>
        <sz val="12"/>
        <color indexed="56"/>
        <rFont val="Microsoft YaHei"/>
        <charset val="134"/>
      </rPr>
      <t>俊</t>
    </r>
    <r>
      <rPr>
        <sz val="12"/>
        <color rgb="FF002060"/>
        <rFont val="Microsoft YaHei"/>
        <charset val="134"/>
      </rPr>
      <t>秀</t>
    </r>
  </si>
  <si>
    <r>
      <rPr>
        <sz val="12"/>
        <color rgb="FF002060"/>
        <rFont val="Microsoft YaHei"/>
        <charset val="134"/>
      </rPr>
      <t>杨</t>
    </r>
    <r>
      <rPr>
        <sz val="12"/>
        <color indexed="56"/>
        <rFont val="Microsoft YaHei"/>
        <charset val="134"/>
      </rPr>
      <t>云霞</t>
    </r>
  </si>
  <si>
    <r>
      <rPr>
        <sz val="12"/>
        <color rgb="FF002060"/>
        <rFont val="Microsoft YaHei"/>
        <charset val="134"/>
      </rPr>
      <t xml:space="preserve">卫 </t>
    </r>
    <r>
      <rPr>
        <sz val="12"/>
        <color indexed="56"/>
        <rFont val="Microsoft YaHei"/>
        <charset val="134"/>
      </rPr>
      <t>生</t>
    </r>
  </si>
  <si>
    <r>
      <rPr>
        <sz val="12"/>
        <color rgb="FF002060"/>
        <rFont val="Microsoft YaHei"/>
        <charset val="134"/>
      </rPr>
      <t>闻宝</t>
    </r>
    <r>
      <rPr>
        <sz val="12"/>
        <color indexed="56"/>
        <rFont val="Microsoft YaHei"/>
        <charset val="134"/>
      </rPr>
      <t>云</t>
    </r>
  </si>
  <si>
    <t xml:space="preserve">         固体制剂车间入库品种工分明细（2025）       04月份</t>
  </si>
  <si>
    <t>批号：20250401( 投料量50万粒）              7片/板*200盒/件</t>
  </si>
  <si>
    <t xml:space="preserve">         固体制剂车间入库品种工分明细（2025）         04月份</t>
  </si>
  <si>
    <t>批号：20250402( 投料量50万片）                       12片/板*200盒/件</t>
  </si>
  <si>
    <t>批号：20250402( 投料量50万片）                         7片/板*200盒/件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</si>
  <si>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</si>
  <si>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批号：20250403 （投料量50万片）                 14片/板*200盒/件</t>
  </si>
  <si>
    <t>品名：阿替洛尔片</t>
  </si>
  <si>
    <t>批号：20250407( 投料量150万粒）             60片/瓶*480瓶/件</t>
  </si>
  <si>
    <t>品名：别嘌醇片</t>
  </si>
  <si>
    <t>批号：20250409/427-430( 投料量100万片）                  14片/板*2*200盒/件</t>
  </si>
  <si>
    <r>
      <rPr>
        <sz val="12"/>
        <color theme="1"/>
        <rFont val="Microsoft YaHei"/>
        <charset val="134"/>
      </rPr>
      <t xml:space="preserve">序  </t>
    </r>
    <r>
      <rPr>
        <sz val="12"/>
        <color theme="1"/>
        <rFont val="宋体"/>
        <charset val="134"/>
      </rPr>
      <t>号</t>
    </r>
  </si>
  <si>
    <r>
      <rPr>
        <sz val="12"/>
        <color theme="1"/>
        <rFont val="Microsoft YaHei"/>
        <charset val="134"/>
      </rPr>
      <t xml:space="preserve">岗  </t>
    </r>
    <r>
      <rPr>
        <sz val="12"/>
        <color indexed="8"/>
        <rFont val="宋体"/>
        <charset val="0"/>
      </rPr>
      <t>位</t>
    </r>
  </si>
  <si>
    <r>
      <rPr>
        <sz val="12"/>
        <color theme="1"/>
        <rFont val="Microsoft YaHei"/>
        <charset val="134"/>
      </rPr>
      <t xml:space="preserve">备 </t>
    </r>
    <r>
      <rPr>
        <sz val="12"/>
        <color indexed="8"/>
        <rFont val="宋体"/>
        <charset val="0"/>
      </rPr>
      <t>注</t>
    </r>
  </si>
  <si>
    <r>
      <rPr>
        <sz val="12"/>
        <color theme="1"/>
        <rFont val="Microsoft YaHei"/>
        <charset val="134"/>
      </rPr>
      <t xml:space="preserve">合  </t>
    </r>
    <r>
      <rPr>
        <sz val="12"/>
        <color theme="1"/>
        <rFont val="宋体"/>
        <charset val="134"/>
      </rPr>
      <t>计</t>
    </r>
  </si>
  <si>
    <r>
      <rPr>
        <sz val="12"/>
        <color rgb="FF000000"/>
        <rFont val="华文细黑"/>
        <charset val="134"/>
      </rPr>
      <t>刘</t>
    </r>
    <r>
      <rPr>
        <sz val="12"/>
        <color indexed="8"/>
        <rFont val="宋体"/>
        <charset val="0"/>
      </rPr>
      <t>元</t>
    </r>
    <r>
      <rPr>
        <sz val="12"/>
        <color theme="1"/>
        <rFont val="宋体"/>
        <charset val="134"/>
      </rPr>
      <t>军</t>
    </r>
  </si>
  <si>
    <r>
      <rPr>
        <sz val="12"/>
        <color rgb="FF000000"/>
        <rFont val="华文细黑"/>
        <charset val="134"/>
      </rPr>
      <t>王</t>
    </r>
    <r>
      <rPr>
        <sz val="12"/>
        <color theme="1"/>
        <rFont val="宋体"/>
        <charset val="134"/>
      </rPr>
      <t>红</t>
    </r>
    <r>
      <rPr>
        <sz val="12"/>
        <color indexed="8"/>
        <rFont val="宋体"/>
        <charset val="0"/>
      </rPr>
      <t>玲</t>
    </r>
  </si>
  <si>
    <r>
      <rPr>
        <sz val="12"/>
        <color rgb="FF000000"/>
        <rFont val="华文细黑"/>
        <charset val="134"/>
      </rPr>
      <t>蔡</t>
    </r>
    <r>
      <rPr>
        <sz val="12"/>
        <color theme="1"/>
        <rFont val="宋体"/>
        <charset val="134"/>
      </rPr>
      <t>焕然</t>
    </r>
  </si>
  <si>
    <r>
      <rPr>
        <sz val="12"/>
        <color rgb="FF000000"/>
        <rFont val="华文细黑"/>
        <charset val="134"/>
      </rPr>
      <t>尹菊</t>
    </r>
    <r>
      <rPr>
        <sz val="12"/>
        <color theme="1"/>
        <rFont val="宋体"/>
        <charset val="134"/>
      </rPr>
      <t>艳</t>
    </r>
  </si>
  <si>
    <r>
      <rPr>
        <sz val="12"/>
        <color rgb="FF000000"/>
        <rFont val="华文细黑"/>
        <charset val="134"/>
      </rPr>
      <t>马</t>
    </r>
    <r>
      <rPr>
        <sz val="12"/>
        <color indexed="8"/>
        <rFont val="宋体"/>
        <charset val="0"/>
      </rPr>
      <t>良云</t>
    </r>
  </si>
  <si>
    <r>
      <rPr>
        <sz val="12"/>
        <color rgb="FF000000"/>
        <rFont val="华文细黑"/>
        <charset val="134"/>
      </rPr>
      <t>周</t>
    </r>
    <r>
      <rPr>
        <sz val="12"/>
        <color theme="1"/>
        <rFont val="宋体"/>
        <charset val="134"/>
      </rPr>
      <t>礼连</t>
    </r>
  </si>
  <si>
    <r>
      <rPr>
        <sz val="12"/>
        <color rgb="FF000000"/>
        <rFont val="华文细黑"/>
        <charset val="134"/>
      </rPr>
      <t>薛秀</t>
    </r>
    <r>
      <rPr>
        <sz val="12"/>
        <color theme="1"/>
        <rFont val="宋体"/>
        <charset val="134"/>
      </rPr>
      <t>华</t>
    </r>
  </si>
  <si>
    <r>
      <rPr>
        <sz val="12"/>
        <color rgb="FF000000"/>
        <rFont val="华文细黑"/>
        <charset val="134"/>
      </rPr>
      <t>刘</t>
    </r>
    <r>
      <rPr>
        <sz val="12"/>
        <color indexed="8"/>
        <rFont val="宋体"/>
        <charset val="0"/>
      </rPr>
      <t>俊</t>
    </r>
    <r>
      <rPr>
        <sz val="12"/>
        <color theme="1"/>
        <rFont val="宋体"/>
        <charset val="134"/>
      </rPr>
      <t>秀</t>
    </r>
  </si>
  <si>
    <r>
      <rPr>
        <sz val="12"/>
        <color rgb="FF000000"/>
        <rFont val="华文细黑"/>
        <charset val="134"/>
      </rPr>
      <t>杨</t>
    </r>
    <r>
      <rPr>
        <sz val="12"/>
        <color indexed="8"/>
        <rFont val="宋体"/>
        <charset val="0"/>
      </rPr>
      <t>云霞</t>
    </r>
  </si>
  <si>
    <r>
      <rPr>
        <sz val="12"/>
        <color rgb="FF000000"/>
        <rFont val="华文细黑"/>
        <charset val="134"/>
      </rPr>
      <t xml:space="preserve">杨  </t>
    </r>
    <r>
      <rPr>
        <sz val="12"/>
        <color theme="1"/>
        <rFont val="宋体"/>
        <charset val="134"/>
      </rPr>
      <t>容</t>
    </r>
  </si>
  <si>
    <r>
      <rPr>
        <sz val="12"/>
        <color rgb="FF000000"/>
        <rFont val="华文细黑"/>
        <charset val="134"/>
      </rPr>
      <t>薛海</t>
    </r>
    <r>
      <rPr>
        <sz val="12"/>
        <color theme="1"/>
        <rFont val="宋体"/>
        <charset val="134"/>
      </rPr>
      <t>苹</t>
    </r>
  </si>
  <si>
    <r>
      <rPr>
        <sz val="12"/>
        <color rgb="FF000000"/>
        <rFont val="华文细黑"/>
        <charset val="134"/>
      </rPr>
      <t>闻宝</t>
    </r>
    <r>
      <rPr>
        <sz val="12"/>
        <color indexed="8"/>
        <rFont val="宋体"/>
        <charset val="0"/>
      </rPr>
      <t>云</t>
    </r>
  </si>
  <si>
    <t>批号：20250415( 投料量100万片）                  12片/板*3*200盒/件</t>
  </si>
  <si>
    <t>批号：20250411-0412( 投料量80万粒）   12粒/板*2*300盒/件</t>
  </si>
  <si>
    <t xml:space="preserve">         固体制剂车间入库品种工分明细（2025）         05月份</t>
  </si>
  <si>
    <t>批号：20250502-0507( 投料量100万片）                  14片/板*2*200盒/件</t>
  </si>
  <si>
    <t xml:space="preserve">         固体制剂车间入库品种工分明细（2025）        05月份</t>
  </si>
  <si>
    <t>批号：20250504-05( 投料量120万片）                              12粒/板*2*400盒/件</t>
  </si>
  <si>
    <t>批号：20250506( 投料量120万片）                              12粒/板*2*400盒/件</t>
  </si>
  <si>
    <r>
      <rPr>
        <sz val="12"/>
        <color rgb="FF000000"/>
        <rFont val="华文细黑"/>
        <charset val="0"/>
      </rPr>
      <t xml:space="preserve">         </t>
    </r>
    <r>
      <rPr>
        <sz val="14"/>
        <rFont val="宋体"/>
        <charset val="0"/>
      </rPr>
      <t>固体制剂车间入库品种工分明细（</t>
    </r>
    <r>
      <rPr>
        <sz val="14"/>
        <rFont val="Dotum"/>
        <charset val="0"/>
      </rPr>
      <t>2025</t>
    </r>
    <r>
      <rPr>
        <sz val="14"/>
        <rFont val="宋体"/>
        <charset val="0"/>
      </rPr>
      <t>）</t>
    </r>
    <r>
      <rPr>
        <sz val="14"/>
        <rFont val="Dotum"/>
        <charset val="0"/>
      </rPr>
      <t xml:space="preserve">         05</t>
    </r>
    <r>
      <rPr>
        <sz val="14"/>
        <rFont val="宋体"/>
        <charset val="0"/>
      </rPr>
      <t>月份</t>
    </r>
  </si>
  <si>
    <r>
      <rPr>
        <sz val="12"/>
        <color rgb="FF000000"/>
        <rFont val="华文细黑"/>
        <charset val="0"/>
      </rPr>
      <t>批号：</t>
    </r>
    <r>
      <rPr>
        <sz val="12"/>
        <rFont val="华文细黑"/>
        <charset val="0"/>
      </rPr>
      <t>20250506（ 投料量120万粒）                  10粒/板*3*300盒/件</t>
    </r>
  </si>
  <si>
    <r>
      <rPr>
        <sz val="12"/>
        <color rgb="FF000000"/>
        <rFont val="华文细黑"/>
        <charset val="0"/>
      </rPr>
      <t xml:space="preserve">         </t>
    </r>
    <r>
      <rPr>
        <sz val="16"/>
        <rFont val="宋体"/>
        <charset val="0"/>
      </rPr>
      <t>固体制剂车间入库品种工分明细（</t>
    </r>
    <r>
      <rPr>
        <sz val="16"/>
        <rFont val="Dotum"/>
        <charset val="0"/>
      </rPr>
      <t>2025</t>
    </r>
    <r>
      <rPr>
        <sz val="16"/>
        <rFont val="宋体"/>
        <charset val="0"/>
      </rPr>
      <t>）</t>
    </r>
    <r>
      <rPr>
        <sz val="16"/>
        <rFont val="Dotum"/>
        <charset val="0"/>
      </rPr>
      <t xml:space="preserve">        5</t>
    </r>
    <r>
      <rPr>
        <sz val="16"/>
        <rFont val="宋体"/>
        <charset val="0"/>
      </rPr>
      <t>月份</t>
    </r>
  </si>
  <si>
    <r>
      <rPr>
        <sz val="11"/>
        <rFont val="Dotum"/>
        <charset val="0"/>
      </rPr>
      <t>品名:</t>
    </r>
    <r>
      <rPr>
        <sz val="11"/>
        <rFont val="宋体"/>
        <charset val="134"/>
      </rPr>
      <t>辛伐他汀片</t>
    </r>
  </si>
  <si>
    <r>
      <rPr>
        <sz val="12"/>
        <rFont val="宋体"/>
        <charset val="0"/>
      </rPr>
      <t>批号：</t>
    </r>
    <r>
      <rPr>
        <sz val="12"/>
        <rFont val="Dotum"/>
        <charset val="0"/>
      </rPr>
      <t xml:space="preserve">20250508( </t>
    </r>
    <r>
      <rPr>
        <sz val="12"/>
        <rFont val="宋体"/>
        <charset val="0"/>
      </rPr>
      <t>投料量</t>
    </r>
    <r>
      <rPr>
        <sz val="12"/>
        <rFont val="Dotum"/>
        <charset val="0"/>
      </rPr>
      <t>100</t>
    </r>
    <r>
      <rPr>
        <sz val="12"/>
        <rFont val="宋体"/>
        <charset val="0"/>
      </rPr>
      <t>万片）</t>
    </r>
    <r>
      <rPr>
        <sz val="12"/>
        <rFont val="Dotum"/>
        <charset val="0"/>
      </rPr>
      <t xml:space="preserve">                 15</t>
    </r>
    <r>
      <rPr>
        <sz val="12"/>
        <rFont val="宋体"/>
        <charset val="0"/>
      </rPr>
      <t>片</t>
    </r>
    <r>
      <rPr>
        <sz val="12"/>
        <rFont val="Dotum"/>
        <charset val="0"/>
      </rPr>
      <t>/</t>
    </r>
    <r>
      <rPr>
        <sz val="12"/>
        <rFont val="宋体"/>
        <charset val="0"/>
      </rPr>
      <t>板</t>
    </r>
    <r>
      <rPr>
        <sz val="12"/>
        <rFont val="Dotum"/>
        <charset val="0"/>
      </rPr>
      <t>*2*400</t>
    </r>
    <r>
      <rPr>
        <sz val="12"/>
        <rFont val="宋体"/>
        <charset val="0"/>
      </rPr>
      <t>盒</t>
    </r>
    <r>
      <rPr>
        <sz val="12"/>
        <rFont val="Dotum"/>
        <charset val="0"/>
      </rPr>
      <t>/</t>
    </r>
    <r>
      <rPr>
        <sz val="12"/>
        <rFont val="宋体"/>
        <charset val="0"/>
      </rPr>
      <t>件</t>
    </r>
  </si>
  <si>
    <r>
      <rPr>
        <sz val="12"/>
        <rFont val="宋体"/>
        <charset val="134"/>
      </rPr>
      <t>备</t>
    </r>
    <r>
      <rPr>
        <sz val="12"/>
        <rFont val="Dotum"/>
        <charset val="0"/>
      </rPr>
      <t xml:space="preserve"> 注</t>
    </r>
  </si>
  <si>
    <r>
      <rPr>
        <sz val="12"/>
        <rFont val="Dotum"/>
        <charset val="0"/>
      </rPr>
      <t xml:space="preserve">合  </t>
    </r>
    <r>
      <rPr>
        <sz val="12"/>
        <rFont val="宋体"/>
        <charset val="134"/>
      </rPr>
      <t>计</t>
    </r>
  </si>
  <si>
    <t>余海花</t>
  </si>
  <si>
    <t>批号：20250509( 投料量100万片）       12粒/板*2*400盒/件</t>
  </si>
  <si>
    <t>批号：20250510( 投料量50万片）                     5片/板*300盒/件</t>
  </si>
  <si>
    <t>批号：20250510( 投料量50万片）                   7片/板*200盒/件</t>
  </si>
  <si>
    <t xml:space="preserve">         固体制剂车间入库品种工分明细（2025）       05月份</t>
  </si>
  <si>
    <t>批号：20250511( 投料量50万粒）              7片/板*200盒/件</t>
  </si>
  <si>
    <t>批号：20250512( 投料量50万片）                       12片/板*200盒/件</t>
  </si>
  <si>
    <t>批号：20250512( 投料量50万片）                         7片/板*200盒/件</t>
  </si>
  <si>
    <t>批号：20250525-0526( 投料量100万粒）             7片/板*200盒/件</t>
  </si>
  <si>
    <t xml:space="preserve">批号：20250513( 投料量1000万片）         100片/瓶*480瓶/件   </t>
  </si>
  <si>
    <t>批号：20250515-0519( 投料量150万粒）             60片/瓶*480瓶/件</t>
  </si>
  <si>
    <t>批号：20250522( 投料量40万粒）             12粒/板*2*300盒/件</t>
  </si>
  <si>
    <t xml:space="preserve">批号：20250523( 投料量500万片）                100片/瓶*480瓶/件   </t>
  </si>
  <si>
    <r>
      <rPr>
        <sz val="12"/>
        <color rgb="FF000000"/>
        <rFont val="华文细黑"/>
        <charset val="0"/>
      </rPr>
      <t xml:space="preserve">         </t>
    </r>
    <r>
      <rPr>
        <sz val="16"/>
        <rFont val="宋体"/>
        <charset val="0"/>
      </rPr>
      <t>固体制剂车间入库品种工分明细（</t>
    </r>
    <r>
      <rPr>
        <sz val="16"/>
        <rFont val="Dotum"/>
        <charset val="0"/>
      </rPr>
      <t>2025</t>
    </r>
    <r>
      <rPr>
        <sz val="16"/>
        <rFont val="宋体"/>
        <charset val="0"/>
      </rPr>
      <t>）</t>
    </r>
    <r>
      <rPr>
        <sz val="16"/>
        <rFont val="Dotum"/>
        <charset val="0"/>
      </rPr>
      <t xml:space="preserve">        6</t>
    </r>
    <r>
      <rPr>
        <sz val="16"/>
        <rFont val="宋体"/>
        <charset val="0"/>
      </rPr>
      <t>月份</t>
    </r>
  </si>
  <si>
    <r>
      <rPr>
        <sz val="12"/>
        <rFont val="宋体"/>
        <charset val="0"/>
      </rPr>
      <t>批号：</t>
    </r>
    <r>
      <rPr>
        <sz val="12"/>
        <rFont val="Dotum"/>
        <charset val="0"/>
      </rPr>
      <t xml:space="preserve">20250604( </t>
    </r>
    <r>
      <rPr>
        <sz val="12"/>
        <rFont val="宋体"/>
        <charset val="0"/>
      </rPr>
      <t>投料量</t>
    </r>
    <r>
      <rPr>
        <sz val="12"/>
        <rFont val="Dotum"/>
        <charset val="0"/>
      </rPr>
      <t>100</t>
    </r>
    <r>
      <rPr>
        <sz val="12"/>
        <rFont val="宋体"/>
        <charset val="0"/>
      </rPr>
      <t>万片）</t>
    </r>
    <r>
      <rPr>
        <sz val="12"/>
        <rFont val="Dotum"/>
        <charset val="0"/>
      </rPr>
      <t xml:space="preserve">                 15</t>
    </r>
    <r>
      <rPr>
        <sz val="12"/>
        <rFont val="宋体"/>
        <charset val="0"/>
      </rPr>
      <t>片</t>
    </r>
    <r>
      <rPr>
        <sz val="12"/>
        <rFont val="Dotum"/>
        <charset val="0"/>
      </rPr>
      <t>/</t>
    </r>
    <r>
      <rPr>
        <sz val="12"/>
        <rFont val="宋体"/>
        <charset val="0"/>
      </rPr>
      <t>板</t>
    </r>
    <r>
      <rPr>
        <sz val="12"/>
        <rFont val="Dotum"/>
        <charset val="0"/>
      </rPr>
      <t>*2*400</t>
    </r>
    <r>
      <rPr>
        <sz val="12"/>
        <rFont val="宋体"/>
        <charset val="0"/>
      </rPr>
      <t>盒</t>
    </r>
    <r>
      <rPr>
        <sz val="12"/>
        <rFont val="Dotum"/>
        <charset val="0"/>
      </rPr>
      <t>/</t>
    </r>
    <r>
      <rPr>
        <sz val="12"/>
        <rFont val="宋体"/>
        <charset val="0"/>
      </rPr>
      <t>件</t>
    </r>
  </si>
  <si>
    <t xml:space="preserve">         固体制剂车间入库品种工分明细（2025）       06月份</t>
  </si>
  <si>
    <t>批号：20250605( 投料量50万粒）              7片/板*200盒/件</t>
  </si>
  <si>
    <t xml:space="preserve">         固体制剂车间入库品种工分明细（2025）         06月份</t>
  </si>
  <si>
    <t>批号：20250606投料量50万粒）              10片/板*400盒/件</t>
  </si>
  <si>
    <t>批号：20250606( 投料量50万粒）              7片/板*200盒/件</t>
  </si>
  <si>
    <t>批号：20250607-0608( 投料量100万粒）             7片/板*200盒/件</t>
  </si>
  <si>
    <t>批号：20250609 （投料量50万片）                 14片/板*200盒/件</t>
  </si>
  <si>
    <t xml:space="preserve">批号：20250610( 投料量1000万片）         100片/瓶*480瓶/件   </t>
  </si>
  <si>
    <t>批号：20250611( 投料量40万粒）             12粒/板*2*300盒/件</t>
  </si>
  <si>
    <t>批号：20250612( 投料量80万粒）   12粒/板*3*300盒/件</t>
  </si>
  <si>
    <t xml:space="preserve">         固体制剂车间入库品种工分明细（2025）        06月份</t>
  </si>
  <si>
    <t>批号：2025613( 投料量120万片）                              10粒/板*2*400盒/件</t>
  </si>
  <si>
    <t>批号：20250613( 投料量120万片）                              9粒/板*2*300盒/件</t>
  </si>
  <si>
    <t>批号：20250617-18( 投料量1000万   片）    100片/板*480瓶/件</t>
  </si>
  <si>
    <t>批号：20250621( 投料量50万粒）         8片/板*400盒/件</t>
  </si>
  <si>
    <t>批号：20250621( 投料量50万粒）              7片/板*200盒/件</t>
  </si>
  <si>
    <t>何  剑</t>
  </si>
  <si>
    <t>批号：20250622( 投料量50万粒）              7片/板*200盒/件</t>
  </si>
  <si>
    <t>批号：20240623( 投料量50万粒）             12片/板*400盒/件</t>
  </si>
  <si>
    <t>批号：20250626( 投料量40万粒）             12粒/板*2*300盒/件</t>
  </si>
  <si>
    <t>批号：20250624( 投料量250万粒）                    100片/瓶*360瓶/件</t>
  </si>
  <si>
    <t xml:space="preserve">批号：20250630( 投料量35万粒）                  6粒/板*300盒/件   </t>
  </si>
  <si>
    <t>批号：20250630( 投料量35万粒）        10粒/板*400盒/件</t>
  </si>
  <si>
    <t xml:space="preserve">         固体制剂车间入库品种工分明细（2025）         07月份</t>
  </si>
  <si>
    <t>批号：20250701-0703( 投料量100万粒）             7片/板*200盒/件</t>
  </si>
  <si>
    <t>批号：20250704 （投料量50万片）                 14片/板*200盒/件</t>
  </si>
  <si>
    <t>批号：20240705( 投料量50万粒）             12片/板*400盒/件</t>
  </si>
  <si>
    <t xml:space="preserve">批号：20250707-08( 投料量1000万片）         100片/瓶*480瓶/件   </t>
  </si>
  <si>
    <t>批号：20250701-0702( 投料量80万粒）   12粒/板*2*300盒/件</t>
  </si>
  <si>
    <t>批号：20250709( 投料量250万粒）                    100片/瓶*360瓶/件</t>
  </si>
  <si>
    <t>批号：20250711( 投料量100万片）                  10片/板*3*200盒/件</t>
  </si>
  <si>
    <t xml:space="preserve">         固体制剂车间入库品种工分明细（2025）        7月份</t>
  </si>
  <si>
    <t>批号：20250730( 投料量150万粒）               12粒/板*400盒/件</t>
  </si>
  <si>
    <t xml:space="preserve">         固体制剂车间入库品种工分明细（2025）         08月份</t>
  </si>
  <si>
    <r>
      <rPr>
        <sz val="12"/>
        <color rgb="FF000000"/>
        <rFont val="华文细黑"/>
        <charset val="134"/>
      </rPr>
      <t>批号：</t>
    </r>
    <r>
      <rPr>
        <sz val="12"/>
        <color rgb="FF000000"/>
        <rFont val="微软雅黑"/>
        <charset val="134"/>
      </rPr>
      <t>20250805</t>
    </r>
    <r>
      <rPr>
        <sz val="12"/>
        <color rgb="FF000000"/>
        <rFont val="华文细黑"/>
        <charset val="134"/>
      </rPr>
      <t xml:space="preserve">( 投料量500万片）                100片/瓶*480瓶/件   </t>
    </r>
  </si>
  <si>
    <t>批号：20250805-0806( 投料量80万粒）   12粒/板*2*300盒/件</t>
  </si>
  <si>
    <t xml:space="preserve">批号：20250807( 投料量35万粒）                  6粒/板*300盒/件   </t>
  </si>
  <si>
    <t xml:space="preserve">         固体制剂车间入库品种工分明细（2025）        08月份</t>
  </si>
  <si>
    <t>批号：20250808( 投料量50万片）                     5片/板*300盒/件</t>
  </si>
  <si>
    <t>批号：20250808( 投料量50万片）                   7片/板*200盒/件</t>
  </si>
  <si>
    <t>批号：20250809-10( 投料量100万粒）             7片/板*200盒/件</t>
  </si>
  <si>
    <t>批号：20250811（投料量50万片）                 14片/板*200盒/件</t>
  </si>
  <si>
    <t>批号：20250813-14( 投料量1000万   片）    100片/板*480瓶/件</t>
  </si>
  <si>
    <t xml:space="preserve">         固体制剂车间入库品种工分明细（2025）       08月份</t>
  </si>
  <si>
    <t>批号：20250813( 投料量120万片）                    12粒/板*2*400盒/件</t>
  </si>
  <si>
    <t>批号：20250814( 投料量120万片）                              10粒/板*2*400盒/件</t>
  </si>
  <si>
    <t xml:space="preserve">批号：20250817( 投料量1000万片）         100片/瓶*480瓶/件   </t>
  </si>
  <si>
    <r>
      <rPr>
        <sz val="12"/>
        <color rgb="FF000000"/>
        <rFont val="华文细黑"/>
        <charset val="134"/>
      </rPr>
      <t>批号：</t>
    </r>
    <r>
      <rPr>
        <sz val="12"/>
        <color rgb="FF000000"/>
        <rFont val="微软雅黑"/>
        <charset val="134"/>
      </rPr>
      <t>20250829-30</t>
    </r>
    <r>
      <rPr>
        <sz val="12"/>
        <color rgb="FF000000"/>
        <rFont val="华文细黑"/>
        <charset val="134"/>
      </rPr>
      <t xml:space="preserve">( 投料量500万片）                100片/瓶*480瓶/件   </t>
    </r>
  </si>
  <si>
    <t xml:space="preserve">         固体制剂车间入库品种工分明细（2025）        9月份</t>
  </si>
  <si>
    <t>批号：20250901( 投料量150万粒）               12粒/板*400盒/件</t>
  </si>
  <si>
    <t xml:space="preserve">         固体制剂车间入库品种工分明细（2025）         09月份</t>
  </si>
  <si>
    <t>批号：20250902-0907( 投料量150万粒）             60片/瓶*480瓶/件</t>
  </si>
  <si>
    <t>批号：20250904-0905( 投料量80万粒）   12粒/板*2*300盒/件</t>
  </si>
  <si>
    <t>批号：20250909( 投料量250万粒）                    100片/瓶*360瓶/件</t>
  </si>
  <si>
    <t>批号：20250910( 投料量250万片）                  30片/板*2*300盒/件</t>
  </si>
  <si>
    <t xml:space="preserve">         固体制剂车间入库品种工分明细（2025）       09月份</t>
  </si>
  <si>
    <t xml:space="preserve">批号：20250912( 投料量500万片）         100片/瓶*480瓶/件   </t>
  </si>
  <si>
    <t>批号：20250914-20250917( 投料量2000万片）    100片/板*480瓶/件</t>
  </si>
  <si>
    <t>批号：20250919( 投料量100万片）                  12片/板*3*200盒/件</t>
  </si>
  <si>
    <t>批号：20250923( 投料量200万粒）    100片/瓶*360瓶/件</t>
  </si>
  <si>
    <t>批号：20250924（投料量50万片）                 14片/板*200盒/件</t>
  </si>
  <si>
    <t>批号：20250927( 投料量120万片）                    12粒/板*2*400盒/件</t>
  </si>
  <si>
    <t xml:space="preserve">         固体制剂车间入库品种工分明细（2025）         10月份</t>
  </si>
  <si>
    <t>批号：20251009（投料量50万片）                 14片/板*200盒/件</t>
  </si>
  <si>
    <t>批号：20251010-12( 投料量100万粒）             7片/板*200盒/件</t>
  </si>
  <si>
    <t>批号：20251009-10/21( 投料量80万粒）   12粒/板*2*300盒/件</t>
  </si>
  <si>
    <t xml:space="preserve">         固体制剂车间入库品种工分明细（2025）       10月份</t>
  </si>
  <si>
    <t>批号：20251012-13( 投料量120万片）                    12粒/板*2*400盒/件</t>
  </si>
  <si>
    <t>批号：20251014( 投料量120万片）                              8粒/板*2*400盒/件</t>
  </si>
  <si>
    <t xml:space="preserve">         固体制剂车间入库品种工分明细（2025）        10月份</t>
  </si>
  <si>
    <t>批号：20251014( 投料量120万片）                              9粒/板*2*300盒/件</t>
  </si>
  <si>
    <r>
      <rPr>
        <sz val="12"/>
        <color rgb="FF000000"/>
        <rFont val="华文细黑"/>
        <charset val="0"/>
      </rPr>
      <t xml:space="preserve">         </t>
    </r>
    <r>
      <rPr>
        <sz val="14"/>
        <rFont val="宋体"/>
        <charset val="0"/>
      </rPr>
      <t>固体制剂车间入库品种工分明细（</t>
    </r>
    <r>
      <rPr>
        <sz val="14"/>
        <rFont val="Dotum"/>
        <charset val="0"/>
      </rPr>
      <t>2025</t>
    </r>
    <r>
      <rPr>
        <sz val="14"/>
        <rFont val="宋体"/>
        <charset val="0"/>
      </rPr>
      <t>）</t>
    </r>
    <r>
      <rPr>
        <sz val="14"/>
        <rFont val="Dotum"/>
        <charset val="0"/>
      </rPr>
      <t xml:space="preserve">         10</t>
    </r>
    <r>
      <rPr>
        <sz val="14"/>
        <rFont val="宋体"/>
        <charset val="0"/>
      </rPr>
      <t>月份</t>
    </r>
  </si>
  <si>
    <r>
      <rPr>
        <sz val="12"/>
        <color rgb="FF000000"/>
        <rFont val="华文细黑"/>
        <charset val="0"/>
      </rPr>
      <t>批号：</t>
    </r>
    <r>
      <rPr>
        <sz val="12"/>
        <rFont val="华文细黑"/>
        <charset val="0"/>
      </rPr>
      <t>20251015( 投料量120万粒）                  10粒/板*3*300盒/件</t>
    </r>
  </si>
  <si>
    <t xml:space="preserve">批号：20251022-23( 投料量1000万片）         100片/瓶*480瓶/件   </t>
  </si>
  <si>
    <t xml:space="preserve">         固体制剂车间入库品种工分明细（2025）        11月份</t>
  </si>
  <si>
    <t>批号：20251101( 投料量100万片）       12粒/板*2*400盒/件</t>
  </si>
  <si>
    <t xml:space="preserve">         固体制剂车间入库品种工分明细（2025）         11月份</t>
  </si>
  <si>
    <t>批号：20251101-1102( 投料量160万粒）   12粒/板*2*300盒/件</t>
  </si>
  <si>
    <t>批号：20251102( 投料量50万粒）         8片/板*2*300盒/件</t>
  </si>
  <si>
    <t>批号：20251102( 投料量50万片）                     5片/板*300盒/件</t>
  </si>
  <si>
    <t>批号：20251102( 投料量50万片）                   7片/板*200盒/件</t>
  </si>
  <si>
    <t>批号：20251103( 投料量50万粒）         8片/板*400盒/件</t>
  </si>
  <si>
    <t>批号：20251103( 投料量50万粒）              7片/板*200盒/件</t>
  </si>
  <si>
    <t>批号：20251104-1105( 投料量100万粒）             7片/板*200盒/件</t>
  </si>
  <si>
    <t>批号：20251106-1107 （投料量50万片）                 14片/板*200盒/件</t>
  </si>
  <si>
    <t xml:space="preserve">         固体制剂车间入库品种工分明细（2025）       11月份</t>
  </si>
  <si>
    <t>批号：20251104/1120( 投料量120万片）                    12粒/板*2*400盒/件</t>
  </si>
  <si>
    <t>批号：20251108( 投料量35万粒）        10粒/板*400盒/件</t>
  </si>
  <si>
    <t xml:space="preserve">批号：20251109( 投料量35万粒）                  6粒/板*300盒/件   </t>
  </si>
  <si>
    <t>批号：20251109( 投料量35万粒）        10粒/板*400盒/件</t>
  </si>
  <si>
    <t>批号：20251108-1115( 投料量4000万片）    100片/板*480瓶/件</t>
  </si>
  <si>
    <t>批号：20251119-20( 投料量300万粒）             60片/瓶*480瓶/件</t>
  </si>
  <si>
    <t xml:space="preserve">         固体制剂车间入库品种工分明细（2025）         12月份</t>
  </si>
  <si>
    <t>批号：20251201-1205/18( 投料量100万粒）             7片/板*200盒/件</t>
  </si>
  <si>
    <t xml:space="preserve">批号：20251206-07( 投料量1000万片）         100片/瓶*480瓶/件   </t>
  </si>
  <si>
    <t>批号：20251219-1221（投料量50万片）                 14片/板*200盒/件</t>
  </si>
  <si>
    <t>批号：20251205 投料量80万粒）             12粒/板*2*300盒/件</t>
  </si>
  <si>
    <t>批号：20251205( 投料量80万粒）   12粒/板*3*300盒/件</t>
  </si>
  <si>
    <t xml:space="preserve">         固体制剂车间入库品种工分明细（2025）       12月份</t>
  </si>
  <si>
    <t>批号：20251212( 投料量120万片）                    12粒/板*2*400盒/件</t>
  </si>
  <si>
    <t>批号：20251228( 投料量150万粒）             60片/瓶*480瓶/件</t>
  </si>
  <si>
    <t xml:space="preserve">         固体制剂车间入库品种工分明细（2024）        12月份</t>
  </si>
  <si>
    <t>品名：鞣酸小檗碱片</t>
  </si>
  <si>
    <t>批号：20251217( 投料量100万片）       12粒/板*2*400盒/件</t>
  </si>
  <si>
    <t xml:space="preserve">         固体制剂车间入库品种工分明细（2025）        12月份</t>
  </si>
  <si>
    <t>批号：20251219( 投料量150万粒）               12粒/板*400盒/件</t>
  </si>
  <si>
    <t>批号：20251219( 投料量150万粒）               10粒/2板*400盒/件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</si>
</sst>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54">
    <font>
      <sz val="11"/>
      <color theme="1"/>
      <name val="宋体"/>
      <charset val="134"/>
      <scheme val="minor"/>
    </font>
    <font>
      <sz val="12"/>
      <color rgb="FF000000"/>
      <name val="华文细黑"/>
      <charset val="134"/>
    </font>
    <font>
      <sz val="12"/>
      <color rgb="FF000000"/>
      <name val="华文细黑"/>
      <charset val="0"/>
    </font>
    <font>
      <sz val="14"/>
      <color rgb="FF000000"/>
      <name val="华文细黑"/>
      <charset val="134"/>
    </font>
    <font>
      <sz val="14"/>
      <color rgb="FF000000"/>
      <name val="华文细黑"/>
      <charset val="0"/>
    </font>
    <font>
      <b/>
      <sz val="14"/>
      <color rgb="FF000000"/>
      <name val="华文细黑"/>
      <charset val="134"/>
    </font>
    <font>
      <sz val="11"/>
      <color rgb="FF000000"/>
      <name val="Microsoft YaHei"/>
      <charset val="134"/>
    </font>
    <font>
      <sz val="11"/>
      <color theme="1"/>
      <name val="微软雅黑"/>
      <charset val="134"/>
    </font>
    <font>
      <sz val="12"/>
      <name val="华文细黑"/>
      <charset val="134"/>
    </font>
    <font>
      <b/>
      <sz val="14"/>
      <name val="宋体"/>
      <charset val="134"/>
    </font>
    <font>
      <sz val="12"/>
      <name val="华文细黑"/>
      <charset val="0"/>
    </font>
    <font>
      <b/>
      <sz val="12"/>
      <color theme="1"/>
      <name val="宋体"/>
      <charset val="134"/>
    </font>
    <font>
      <sz val="12"/>
      <color rgb="FF002060"/>
      <name val="Microsoft YaHei"/>
      <charset val="134"/>
    </font>
    <font>
      <sz val="12"/>
      <color theme="1"/>
      <name val="Microsoft YaHei"/>
      <charset val="134"/>
    </font>
    <font>
      <b/>
      <sz val="12"/>
      <color theme="1"/>
      <name val="Microsoft YaHei"/>
      <charset val="134"/>
    </font>
    <font>
      <sz val="12"/>
      <name val="Dotum"/>
      <charset val="0"/>
    </font>
    <font>
      <sz val="12"/>
      <name val="宋体"/>
      <charset val="134"/>
    </font>
    <font>
      <sz val="11"/>
      <name val="Dotum"/>
      <charset val="0"/>
    </font>
    <font>
      <sz val="12"/>
      <name val="宋体"/>
      <charset val="0"/>
    </font>
    <font>
      <sz val="14"/>
      <name val="Dotum"/>
      <charset val="0"/>
    </font>
    <font>
      <sz val="10"/>
      <color theme="1"/>
      <name val="微软雅黑"/>
      <charset val="134"/>
    </font>
    <font>
      <sz val="11"/>
      <color rgb="FF0D0D0D"/>
      <name val="宋体"/>
      <charset val="134"/>
    </font>
    <font>
      <b/>
      <u/>
      <sz val="16"/>
      <color rgb="FF0D0D0D"/>
      <name val="宋体"/>
      <charset val="134"/>
    </font>
    <font>
      <b/>
      <sz val="12"/>
      <color rgb="FF0D0D0D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0"/>
    </font>
    <font>
      <sz val="12"/>
      <color theme="1"/>
      <name val="宋体"/>
      <charset val="134"/>
    </font>
    <font>
      <sz val="16"/>
      <name val="宋体"/>
      <charset val="0"/>
    </font>
    <font>
      <sz val="16"/>
      <name val="Dotum"/>
      <charset val="0"/>
    </font>
    <font>
      <sz val="14"/>
      <name val="宋体"/>
      <charset val="0"/>
    </font>
    <font>
      <sz val="12"/>
      <color indexed="56"/>
      <name val="Microsoft YaHei"/>
      <charset val="134"/>
    </font>
    <font>
      <sz val="12"/>
      <color rgb="FF00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777777"/>
      </left>
      <right/>
      <top style="thin">
        <color rgb="FF777777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7" borderId="44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0" borderId="4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47" applyNumberFormat="0" applyAlignment="0" applyProtection="0">
      <alignment vertical="center"/>
    </xf>
    <xf numFmtId="0" fontId="35" fillId="9" borderId="48" applyNumberFormat="0" applyAlignment="0" applyProtection="0">
      <alignment vertical="center"/>
    </xf>
    <xf numFmtId="0" fontId="36" fillId="9" borderId="47" applyNumberFormat="0" applyAlignment="0" applyProtection="0">
      <alignment vertical="center"/>
    </xf>
    <xf numFmtId="0" fontId="37" fillId="10" borderId="49" applyNumberFormat="0" applyAlignment="0" applyProtection="0">
      <alignment vertical="center"/>
    </xf>
    <xf numFmtId="0" fontId="38" fillId="0" borderId="50" applyNumberFormat="0" applyFill="0" applyAlignment="0" applyProtection="0">
      <alignment vertical="center"/>
    </xf>
    <xf numFmtId="0" fontId="39" fillId="0" borderId="51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center"/>
    </xf>
    <xf numFmtId="176" fontId="1" fillId="0" borderId="3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textRotation="255"/>
    </xf>
    <xf numFmtId="176" fontId="1" fillId="0" borderId="2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 textRotation="255"/>
    </xf>
    <xf numFmtId="176" fontId="1" fillId="0" borderId="7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 textRotation="255"/>
    </xf>
    <xf numFmtId="176" fontId="1" fillId="0" borderId="5" xfId="0" applyNumberFormat="1" applyFont="1" applyFill="1" applyBorder="1" applyAlignment="1">
      <alignment horizontal="center" vertical="center" textRotation="255"/>
    </xf>
    <xf numFmtId="176" fontId="1" fillId="0" borderId="8" xfId="0" applyNumberFormat="1" applyFont="1" applyFill="1" applyBorder="1" applyAlignment="1">
      <alignment horizontal="center" vertical="center" textRotation="255"/>
    </xf>
    <xf numFmtId="176" fontId="1" fillId="0" borderId="6" xfId="0" applyNumberFormat="1" applyFont="1" applyFill="1" applyBorder="1" applyAlignment="1">
      <alignment horizontal="center" vertical="center" textRotation="255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176" fontId="1" fillId="0" borderId="9" xfId="0" applyNumberFormat="1" applyFont="1" applyFill="1" applyBorder="1" applyAlignment="1">
      <alignment horizontal="center" vertical="center" wrapText="1"/>
    </xf>
    <xf numFmtId="176" fontId="1" fillId="0" borderId="1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176" fontId="3" fillId="0" borderId="11" xfId="0" applyNumberFormat="1" applyFont="1" applyFill="1" applyBorder="1" applyAlignment="1">
      <alignment horizontal="center" vertical="center" wrapText="1"/>
    </xf>
    <xf numFmtId="176" fontId="3" fillId="0" borderId="13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left" wrapText="1"/>
    </xf>
    <xf numFmtId="176" fontId="1" fillId="0" borderId="6" xfId="0" applyNumberFormat="1" applyFont="1" applyFill="1" applyBorder="1" applyAlignment="1">
      <alignment horizontal="left" vertical="center" wrapText="1"/>
    </xf>
    <xf numFmtId="176" fontId="1" fillId="0" borderId="5" xfId="0" applyNumberFormat="1" applyFont="1" applyFill="1" applyBorder="1" applyAlignment="1">
      <alignment horizontal="left" wrapText="1"/>
    </xf>
    <xf numFmtId="176" fontId="1" fillId="0" borderId="7" xfId="0" applyNumberFormat="1" applyFont="1" applyFill="1" applyBorder="1" applyAlignment="1">
      <alignment horizontal="center" vertical="center" wrapText="1"/>
    </xf>
    <xf numFmtId="176" fontId="1" fillId="0" borderId="14" xfId="0" applyNumberFormat="1" applyFont="1" applyFill="1" applyBorder="1" applyAlignment="1">
      <alignment horizontal="center" vertical="center" wrapText="1"/>
    </xf>
    <xf numFmtId="176" fontId="1" fillId="0" borderId="13" xfId="0" applyNumberFormat="1" applyFont="1" applyFill="1" applyBorder="1" applyAlignment="1">
      <alignment horizontal="center" vertical="center" wrapText="1"/>
    </xf>
    <xf numFmtId="176" fontId="1" fillId="0" borderId="11" xfId="0" applyNumberFormat="1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textRotation="255" wrapText="1"/>
    </xf>
    <xf numFmtId="176" fontId="1" fillId="0" borderId="14" xfId="0" applyNumberFormat="1" applyFont="1" applyFill="1" applyBorder="1" applyAlignment="1">
      <alignment horizontal="center" vertical="center" textRotation="255" wrapText="1"/>
    </xf>
    <xf numFmtId="176" fontId="1" fillId="0" borderId="8" xfId="0" applyNumberFormat="1" applyFont="1" applyFill="1" applyBorder="1" applyAlignment="1">
      <alignment horizontal="center" vertical="center" textRotation="255" wrapText="1"/>
    </xf>
    <xf numFmtId="176" fontId="1" fillId="0" borderId="8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176" fontId="4" fillId="0" borderId="11" xfId="0" applyNumberFormat="1" applyFont="1" applyFill="1" applyBorder="1" applyAlignment="1">
      <alignment horizontal="center" vertical="center" wrapText="1"/>
    </xf>
    <xf numFmtId="176" fontId="4" fillId="0" borderId="13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left" wrapText="1"/>
    </xf>
    <xf numFmtId="176" fontId="2" fillId="0" borderId="6" xfId="0" applyNumberFormat="1" applyFont="1" applyFill="1" applyBorder="1" applyAlignment="1">
      <alignment horizontal="left" vertical="center" wrapText="1"/>
    </xf>
    <xf numFmtId="176" fontId="2" fillId="0" borderId="5" xfId="0" applyNumberFormat="1" applyFont="1" applyFill="1" applyBorder="1" applyAlignment="1">
      <alignment horizontal="left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textRotation="255" wrapText="1"/>
    </xf>
    <xf numFmtId="176" fontId="2" fillId="0" borderId="1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textRotation="255"/>
    </xf>
    <xf numFmtId="176" fontId="2" fillId="0" borderId="13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 textRotation="255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14" xfId="0" applyNumberFormat="1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176" fontId="2" fillId="0" borderId="15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wrapText="1"/>
    </xf>
    <xf numFmtId="176" fontId="4" fillId="0" borderId="6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left"/>
    </xf>
    <xf numFmtId="176" fontId="2" fillId="0" borderId="5" xfId="0" applyNumberFormat="1" applyFont="1" applyFill="1" applyBorder="1" applyAlignment="1">
      <alignment horizontal="left"/>
    </xf>
    <xf numFmtId="176" fontId="2" fillId="0" borderId="6" xfId="0" applyNumberFormat="1" applyFont="1" applyFill="1" applyBorder="1" applyAlignment="1">
      <alignment horizontal="center"/>
    </xf>
    <xf numFmtId="176" fontId="2" fillId="0" borderId="7" xfId="0" applyNumberFormat="1" applyFont="1" applyFill="1" applyBorder="1" applyAlignment="1">
      <alignment horizontal="center"/>
    </xf>
    <xf numFmtId="176" fontId="2" fillId="0" borderId="5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textRotation="255"/>
    </xf>
    <xf numFmtId="49" fontId="2" fillId="0" borderId="5" xfId="0" applyNumberFormat="1" applyFont="1" applyFill="1" applyBorder="1" applyAlignment="1">
      <alignment horizontal="center" vertical="center" textRotation="255"/>
    </xf>
    <xf numFmtId="49" fontId="2" fillId="0" borderId="8" xfId="0" applyNumberFormat="1" applyFont="1" applyFill="1" applyBorder="1" applyAlignment="1">
      <alignment horizontal="center" vertical="center" textRotation="255"/>
    </xf>
    <xf numFmtId="176" fontId="2" fillId="0" borderId="5" xfId="0" applyNumberFormat="1" applyFont="1" applyFill="1" applyBorder="1" applyAlignment="1">
      <alignment horizontal="center" vertical="center" textRotation="255"/>
    </xf>
    <xf numFmtId="176" fontId="2" fillId="0" borderId="8" xfId="0" applyNumberFormat="1" applyFont="1" applyFill="1" applyBorder="1" applyAlignment="1">
      <alignment horizontal="center" vertical="center" textRotation="255"/>
    </xf>
    <xf numFmtId="176" fontId="2" fillId="0" borderId="16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textRotation="255" wrapText="1"/>
    </xf>
    <xf numFmtId="176" fontId="2" fillId="0" borderId="14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176" fontId="1" fillId="0" borderId="16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left"/>
    </xf>
    <xf numFmtId="176" fontId="1" fillId="0" borderId="5" xfId="0" applyNumberFormat="1" applyFont="1" applyFill="1" applyBorder="1" applyAlignment="1">
      <alignment horizontal="left"/>
    </xf>
    <xf numFmtId="176" fontId="1" fillId="0" borderId="6" xfId="0" applyNumberFormat="1" applyFont="1" applyFill="1" applyBorder="1" applyAlignment="1">
      <alignment horizontal="center"/>
    </xf>
    <xf numFmtId="176" fontId="1" fillId="0" borderId="7" xfId="0" applyNumberFormat="1" applyFont="1" applyFill="1" applyBorder="1" applyAlignment="1">
      <alignment horizontal="center"/>
    </xf>
    <xf numFmtId="176" fontId="1" fillId="0" borderId="5" xfId="0" applyNumberFormat="1" applyFont="1" applyFill="1" applyBorder="1" applyAlignment="1">
      <alignment horizontal="center"/>
    </xf>
    <xf numFmtId="176" fontId="1" fillId="0" borderId="6" xfId="0" applyNumberFormat="1" applyFont="1" applyFill="1" applyBorder="1" applyAlignment="1">
      <alignment horizontal="center" vertical="center" textRotation="255"/>
    </xf>
    <xf numFmtId="176" fontId="1" fillId="0" borderId="14" xfId="0" applyNumberFormat="1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/>
    </xf>
    <xf numFmtId="176" fontId="1" fillId="0" borderId="15" xfId="0" applyNumberFormat="1" applyFont="1" applyFill="1" applyBorder="1" applyAlignment="1">
      <alignment horizontal="center" vertical="center"/>
    </xf>
    <xf numFmtId="176" fontId="2" fillId="0" borderId="18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0" xfId="0" applyFill="1">
      <alignment vertical="center"/>
    </xf>
    <xf numFmtId="176" fontId="1" fillId="0" borderId="19" xfId="0" applyNumberFormat="1" applyFont="1" applyFill="1" applyBorder="1" applyAlignment="1">
      <alignment horizontal="center" vertical="center"/>
    </xf>
    <xf numFmtId="176" fontId="1" fillId="0" borderId="20" xfId="0" applyNumberFormat="1" applyFont="1" applyFill="1" applyBorder="1" applyAlignment="1">
      <alignment horizontal="center" vertical="center"/>
    </xf>
    <xf numFmtId="176" fontId="1" fillId="0" borderId="21" xfId="0" applyNumberFormat="1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left"/>
    </xf>
    <xf numFmtId="176" fontId="6" fillId="0" borderId="5" xfId="0" applyNumberFormat="1" applyFont="1" applyFill="1" applyBorder="1" applyAlignment="1">
      <alignment horizontal="left"/>
    </xf>
    <xf numFmtId="176" fontId="6" fillId="0" borderId="6" xfId="0" applyNumberFormat="1" applyFont="1" applyFill="1" applyBorder="1" applyAlignment="1">
      <alignment horizontal="center"/>
    </xf>
    <xf numFmtId="176" fontId="6" fillId="0" borderId="7" xfId="0" applyNumberFormat="1" applyFont="1" applyFill="1" applyBorder="1" applyAlignment="1">
      <alignment horizontal="center"/>
    </xf>
    <xf numFmtId="176" fontId="6" fillId="0" borderId="5" xfId="0" applyNumberFormat="1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textRotation="255"/>
    </xf>
    <xf numFmtId="176" fontId="2" fillId="0" borderId="2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6" fillId="0" borderId="1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176" fontId="6" fillId="0" borderId="22" xfId="0" applyNumberFormat="1" applyFont="1" applyFill="1" applyBorder="1" applyAlignment="1">
      <alignment horizontal="center" vertical="center"/>
    </xf>
    <xf numFmtId="176" fontId="6" fillId="0" borderId="23" xfId="0" applyNumberFormat="1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textRotation="255"/>
    </xf>
    <xf numFmtId="176" fontId="6" fillId="0" borderId="7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176" fontId="6" fillId="0" borderId="14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/>
    </xf>
    <xf numFmtId="176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21" xfId="0" applyNumberFormat="1" applyFont="1" applyFill="1" applyBorder="1" applyAlignment="1">
      <alignment horizontal="center" vertical="center"/>
    </xf>
    <xf numFmtId="176" fontId="2" fillId="0" borderId="24" xfId="0" applyNumberFormat="1" applyFont="1" applyFill="1" applyBorder="1" applyAlignment="1">
      <alignment horizontal="center" vertical="center"/>
    </xf>
    <xf numFmtId="176" fontId="2" fillId="0" borderId="20" xfId="0" applyNumberFormat="1" applyFont="1" applyFill="1" applyBorder="1" applyAlignment="1">
      <alignment horizontal="center" vertical="center"/>
    </xf>
    <xf numFmtId="176" fontId="2" fillId="0" borderId="25" xfId="0" applyNumberFormat="1" applyFont="1" applyFill="1" applyBorder="1" applyAlignment="1">
      <alignment horizontal="center" vertical="center"/>
    </xf>
    <xf numFmtId="176" fontId="2" fillId="0" borderId="26" xfId="0" applyNumberFormat="1" applyFont="1" applyFill="1" applyBorder="1" applyAlignment="1">
      <alignment horizontal="center" vertical="center"/>
    </xf>
    <xf numFmtId="176" fontId="2" fillId="0" borderId="27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6" fontId="1" fillId="0" borderId="17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1" fillId="0" borderId="18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28" xfId="0" applyNumberFormat="1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6" fontId="8" fillId="0" borderId="5" xfId="0" applyNumberFormat="1" applyFont="1" applyFill="1" applyBorder="1" applyAlignment="1">
      <alignment horizontal="center" vertical="center"/>
    </xf>
    <xf numFmtId="176" fontId="1" fillId="0" borderId="14" xfId="0" applyNumberFormat="1" applyFont="1" applyFill="1" applyBorder="1" applyAlignment="1">
      <alignment horizontal="center" vertical="center" textRotation="255"/>
    </xf>
    <xf numFmtId="176" fontId="8" fillId="0" borderId="6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10" fillId="0" borderId="7" xfId="0" applyNumberFormat="1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 wrapText="1"/>
    </xf>
    <xf numFmtId="176" fontId="10" fillId="0" borderId="18" xfId="0" applyNumberFormat="1" applyFont="1" applyFill="1" applyBorder="1" applyAlignment="1">
      <alignment horizontal="center" vertical="center" wrapText="1"/>
    </xf>
    <xf numFmtId="176" fontId="10" fillId="0" borderId="6" xfId="0" applyNumberFormat="1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/>
    </xf>
    <xf numFmtId="176" fontId="2" fillId="0" borderId="29" xfId="0" applyNumberFormat="1" applyFont="1" applyFill="1" applyBorder="1" applyAlignment="1">
      <alignment horizontal="center"/>
    </xf>
    <xf numFmtId="176" fontId="2" fillId="0" borderId="16" xfId="0" applyNumberFormat="1" applyFont="1" applyFill="1" applyBorder="1" applyAlignment="1">
      <alignment horizontal="center"/>
    </xf>
    <xf numFmtId="176" fontId="2" fillId="0" borderId="30" xfId="0" applyNumberFormat="1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textRotation="255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76" fontId="13" fillId="0" borderId="5" xfId="0" applyNumberFormat="1" applyFont="1" applyFill="1" applyBorder="1" applyAlignment="1">
      <alignment horizontal="left" wrapText="1"/>
    </xf>
    <xf numFmtId="176" fontId="13" fillId="0" borderId="6" xfId="0" applyNumberFormat="1" applyFont="1" applyFill="1" applyBorder="1" applyAlignment="1">
      <alignment horizontal="center" vertical="center" wrapText="1"/>
    </xf>
    <xf numFmtId="176" fontId="13" fillId="0" borderId="7" xfId="0" applyNumberFormat="1" applyFont="1" applyFill="1" applyBorder="1" applyAlignment="1">
      <alignment horizontal="center" vertical="center" wrapText="1"/>
    </xf>
    <xf numFmtId="176" fontId="13" fillId="0" borderId="5" xfId="0" applyNumberFormat="1" applyFont="1" applyFill="1" applyBorder="1" applyAlignment="1">
      <alignment horizontal="center" vertical="center" wrapText="1"/>
    </xf>
    <xf numFmtId="176" fontId="13" fillId="0" borderId="18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176" fontId="13" fillId="0" borderId="13" xfId="0" applyNumberFormat="1" applyFont="1" applyFill="1" applyBorder="1" applyAlignment="1">
      <alignment horizontal="center" vertical="center" wrapText="1"/>
    </xf>
    <xf numFmtId="176" fontId="13" fillId="0" borderId="16" xfId="0" applyNumberFormat="1" applyFont="1" applyFill="1" applyBorder="1" applyAlignment="1">
      <alignment horizontal="center" vertical="center" wrapText="1"/>
    </xf>
    <xf numFmtId="176" fontId="1" fillId="0" borderId="30" xfId="0" applyNumberFormat="1" applyFont="1" applyFill="1" applyBorder="1" applyAlignment="1">
      <alignment horizontal="center" vertical="center" wrapText="1"/>
    </xf>
    <xf numFmtId="176" fontId="14" fillId="0" borderId="7" xfId="0" applyNumberFormat="1" applyFont="1" applyFill="1" applyBorder="1" applyAlignment="1">
      <alignment horizontal="center" vertical="center" wrapText="1"/>
    </xf>
    <xf numFmtId="176" fontId="14" fillId="0" borderId="11" xfId="0" applyNumberFormat="1" applyFont="1" applyFill="1" applyBorder="1" applyAlignment="1">
      <alignment horizontal="center" vertical="center" wrapText="1"/>
    </xf>
    <xf numFmtId="176" fontId="14" fillId="0" borderId="13" xfId="0" applyNumberFormat="1" applyFont="1" applyFill="1" applyBorder="1" applyAlignment="1">
      <alignment horizontal="center" vertical="center" wrapText="1"/>
    </xf>
    <xf numFmtId="176" fontId="13" fillId="0" borderId="6" xfId="0" applyNumberFormat="1" applyFont="1" applyFill="1" applyBorder="1" applyAlignment="1">
      <alignment horizontal="left" wrapText="1"/>
    </xf>
    <xf numFmtId="176" fontId="12" fillId="0" borderId="7" xfId="0" applyNumberFormat="1" applyFont="1" applyFill="1" applyBorder="1" applyAlignment="1">
      <alignment horizontal="center" vertical="center" wrapText="1"/>
    </xf>
    <xf numFmtId="176" fontId="12" fillId="0" borderId="11" xfId="0" applyNumberFormat="1" applyFont="1" applyFill="1" applyBorder="1" applyAlignment="1">
      <alignment horizontal="center" vertical="center" wrapText="1"/>
    </xf>
    <xf numFmtId="176" fontId="12" fillId="0" borderId="13" xfId="0" applyNumberFormat="1" applyFont="1" applyFill="1" applyBorder="1" applyAlignment="1">
      <alignment horizontal="center" vertical="center" wrapText="1"/>
    </xf>
    <xf numFmtId="176" fontId="12" fillId="0" borderId="6" xfId="0" applyNumberFormat="1" applyFont="1" applyFill="1" applyBorder="1" applyAlignment="1">
      <alignment horizontal="left" wrapText="1"/>
    </xf>
    <xf numFmtId="176" fontId="12" fillId="0" borderId="6" xfId="0" applyNumberFormat="1" applyFont="1" applyFill="1" applyBorder="1" applyAlignment="1">
      <alignment horizontal="left" vertical="center" wrapText="1"/>
    </xf>
    <xf numFmtId="176" fontId="12" fillId="0" borderId="5" xfId="0" applyNumberFormat="1" applyFont="1" applyFill="1" applyBorder="1" applyAlignment="1">
      <alignment horizontal="left" wrapText="1"/>
    </xf>
    <xf numFmtId="176" fontId="12" fillId="0" borderId="6" xfId="0" applyNumberFormat="1" applyFont="1" applyFill="1" applyBorder="1" applyAlignment="1">
      <alignment horizontal="center" vertical="center" wrapText="1"/>
    </xf>
    <xf numFmtId="176" fontId="12" fillId="0" borderId="5" xfId="0" applyNumberFormat="1" applyFont="1" applyFill="1" applyBorder="1" applyAlignment="1">
      <alignment horizontal="center" vertical="center" wrapText="1"/>
    </xf>
    <xf numFmtId="176" fontId="12" fillId="0" borderId="4" xfId="0" applyNumberFormat="1" applyFont="1" applyFill="1" applyBorder="1" applyAlignment="1">
      <alignment horizontal="center" vertical="center" wrapText="1"/>
    </xf>
    <xf numFmtId="176" fontId="12" fillId="0" borderId="5" xfId="0" applyNumberFormat="1" applyFont="1" applyFill="1" applyBorder="1" applyAlignment="1">
      <alignment horizontal="center" vertical="center" textRotation="255" wrapText="1"/>
    </xf>
    <xf numFmtId="176" fontId="12" fillId="0" borderId="14" xfId="0" applyNumberFormat="1" applyFont="1" applyFill="1" applyBorder="1" applyAlignment="1">
      <alignment horizontal="center" vertical="center" textRotation="255" wrapText="1"/>
    </xf>
    <xf numFmtId="176" fontId="12" fillId="0" borderId="14" xfId="0" applyNumberFormat="1" applyFont="1" applyFill="1" applyBorder="1" applyAlignment="1">
      <alignment horizontal="center" vertical="center" wrapText="1"/>
    </xf>
    <xf numFmtId="176" fontId="12" fillId="0" borderId="8" xfId="0" applyNumberFormat="1" applyFont="1" applyFill="1" applyBorder="1" applyAlignment="1">
      <alignment horizontal="center" vertical="center" textRotation="255" wrapText="1"/>
    </xf>
    <xf numFmtId="176" fontId="12" fillId="0" borderId="8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176" fontId="12" fillId="0" borderId="9" xfId="0" applyNumberFormat="1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176" fontId="12" fillId="0" borderId="16" xfId="0" applyNumberFormat="1" applyFont="1" applyFill="1" applyBorder="1" applyAlignment="1">
      <alignment horizontal="center" vertical="center" wrapText="1"/>
    </xf>
    <xf numFmtId="176" fontId="12" fillId="0" borderId="30" xfId="0" applyNumberFormat="1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2" borderId="18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 wrapText="1"/>
    </xf>
    <xf numFmtId="176" fontId="15" fillId="3" borderId="5" xfId="0" applyNumberFormat="1" applyFont="1" applyFill="1" applyBorder="1" applyAlignment="1">
      <alignment horizontal="center" vertical="center"/>
    </xf>
    <xf numFmtId="176" fontId="2" fillId="0" borderId="22" xfId="0" applyNumberFormat="1" applyFont="1" applyFill="1" applyBorder="1" applyAlignment="1">
      <alignment horizontal="center" vertical="center"/>
    </xf>
    <xf numFmtId="176" fontId="2" fillId="0" borderId="23" xfId="0" applyNumberFormat="1" applyFont="1" applyFill="1" applyBorder="1" applyAlignment="1">
      <alignment horizontal="center" vertical="center"/>
    </xf>
    <xf numFmtId="176" fontId="2" fillId="0" borderId="23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/>
    </xf>
    <xf numFmtId="176" fontId="17" fillId="0" borderId="6" xfId="0" applyNumberFormat="1" applyFont="1" applyFill="1" applyBorder="1" applyAlignment="1">
      <alignment horizontal="left"/>
    </xf>
    <xf numFmtId="176" fontId="18" fillId="0" borderId="5" xfId="0" applyNumberFormat="1" applyFont="1" applyFill="1" applyBorder="1" applyAlignment="1">
      <alignment horizontal="left"/>
    </xf>
    <xf numFmtId="176" fontId="19" fillId="0" borderId="6" xfId="0" applyNumberFormat="1" applyFont="1" applyFill="1" applyBorder="1" applyAlignment="1">
      <alignment horizontal="center"/>
    </xf>
    <xf numFmtId="176" fontId="15" fillId="0" borderId="6" xfId="0" applyNumberFormat="1" applyFont="1" applyFill="1" applyBorder="1" applyAlignment="1">
      <alignment horizontal="left"/>
    </xf>
    <xf numFmtId="176" fontId="15" fillId="0" borderId="6" xfId="0" applyNumberFormat="1" applyFont="1" applyFill="1" applyBorder="1" applyAlignment="1">
      <alignment horizontal="center"/>
    </xf>
    <xf numFmtId="176" fontId="15" fillId="0" borderId="5" xfId="0" applyNumberFormat="1" applyFont="1" applyFill="1" applyBorder="1" applyAlignment="1">
      <alignment horizontal="center"/>
    </xf>
    <xf numFmtId="176" fontId="16" fillId="0" borderId="6" xfId="0" applyNumberFormat="1" applyFont="1" applyFill="1" applyBorder="1" applyAlignment="1">
      <alignment horizontal="center"/>
    </xf>
    <xf numFmtId="176" fontId="15" fillId="0" borderId="5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13" xfId="0" applyNumberFormat="1" applyFont="1" applyFill="1" applyBorder="1" applyAlignment="1">
      <alignment horizontal="center" vertical="center"/>
    </xf>
    <xf numFmtId="176" fontId="15" fillId="0" borderId="7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176" fontId="19" fillId="0" borderId="11" xfId="0" applyNumberFormat="1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176" fontId="6" fillId="0" borderId="9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7" xfId="0" applyNumberFormat="1" applyFont="1" applyFill="1" applyBorder="1" applyAlignment="1">
      <alignment horizontal="center" vertical="center"/>
    </xf>
    <xf numFmtId="176" fontId="2" fillId="0" borderId="31" xfId="0" applyNumberFormat="1" applyFont="1" applyFill="1" applyBorder="1" applyAlignment="1">
      <alignment horizontal="center" vertical="center"/>
    </xf>
    <xf numFmtId="176" fontId="6" fillId="0" borderId="11" xfId="0" applyNumberFormat="1" applyFont="1" applyFill="1" applyBorder="1" applyAlignment="1">
      <alignment horizontal="center" vertical="center" wrapText="1"/>
    </xf>
    <xf numFmtId="176" fontId="2" fillId="0" borderId="28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76" fontId="6" fillId="2" borderId="4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176" fontId="2" fillId="0" borderId="32" xfId="0" applyNumberFormat="1" applyFont="1" applyFill="1" applyBorder="1" applyAlignment="1">
      <alignment horizontal="center" vertical="center"/>
    </xf>
    <xf numFmtId="176" fontId="2" fillId="0" borderId="33" xfId="0" applyNumberFormat="1" applyFont="1" applyFill="1" applyBorder="1" applyAlignment="1">
      <alignment horizontal="center" vertical="center"/>
    </xf>
    <xf numFmtId="176" fontId="2" fillId="0" borderId="34" xfId="0" applyNumberFormat="1" applyFont="1" applyFill="1" applyBorder="1" applyAlignment="1">
      <alignment horizontal="center" vertical="center"/>
    </xf>
    <xf numFmtId="176" fontId="2" fillId="0" borderId="35" xfId="0" applyNumberFormat="1" applyFont="1" applyFill="1" applyBorder="1" applyAlignment="1">
      <alignment horizontal="center" vertical="center"/>
    </xf>
    <xf numFmtId="176" fontId="2" fillId="0" borderId="36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76" fontId="1" fillId="2" borderId="4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76" fontId="1" fillId="2" borderId="9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0" fontId="21" fillId="4" borderId="0" xfId="0" applyFont="1" applyFill="1" applyAlignment="1">
      <alignment vertical="center" wrapText="1"/>
    </xf>
    <xf numFmtId="0" fontId="22" fillId="5" borderId="0" xfId="0" applyFont="1" applyFill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36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34" xfId="0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vertical="center" wrapText="1"/>
    </xf>
    <xf numFmtId="0" fontId="23" fillId="4" borderId="6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3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4" borderId="40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 wrapText="1"/>
    </xf>
    <xf numFmtId="0" fontId="23" fillId="4" borderId="41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/>
    </xf>
    <xf numFmtId="0" fontId="23" fillId="4" borderId="42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4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9"/>
  <sheetViews>
    <sheetView tabSelected="1" zoomScale="82" zoomScaleNormal="82" topLeftCell="A305" workbookViewId="0">
      <selection activeCell="P311" sqref="P311"/>
    </sheetView>
  </sheetViews>
  <sheetFormatPr defaultColWidth="12.75" defaultRowHeight="16.5"/>
  <cols>
    <col min="1" max="1" width="12" style="253" customWidth="1"/>
    <col min="2" max="2" width="18.25" style="253" customWidth="1"/>
    <col min="3" max="8" width="12.75" style="253"/>
    <col min="9" max="9" width="15.875" style="253" customWidth="1"/>
    <col min="10" max="10" width="22.35" style="253" customWidth="1"/>
    <col min="11" max="16384" width="12.75" style="253"/>
  </cols>
  <sheetData>
    <row r="1" s="253" customFormat="1" ht="20.25" spans="1:10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</row>
    <row r="2" s="253" customFormat="1" ht="27" spans="1:10">
      <c r="A2" s="256" t="s">
        <v>1</v>
      </c>
      <c r="B2" s="256" t="s">
        <v>2</v>
      </c>
      <c r="C2" s="256" t="s">
        <v>3</v>
      </c>
      <c r="D2" s="256" t="s">
        <v>4</v>
      </c>
      <c r="E2" s="256" t="s">
        <v>5</v>
      </c>
      <c r="F2" s="256" t="s">
        <v>6</v>
      </c>
      <c r="G2" s="256" t="s">
        <v>7</v>
      </c>
      <c r="H2" s="256" t="s">
        <v>8</v>
      </c>
      <c r="I2" s="256" t="s">
        <v>9</v>
      </c>
      <c r="J2" s="256" t="s">
        <v>10</v>
      </c>
    </row>
    <row r="3" s="253" customFormat="1" spans="1:10">
      <c r="A3" s="257">
        <v>1</v>
      </c>
      <c r="B3" s="257" t="s">
        <v>11</v>
      </c>
      <c r="C3" s="257" t="s">
        <v>12</v>
      </c>
      <c r="D3" s="257">
        <v>20250101</v>
      </c>
      <c r="E3" s="257">
        <v>150</v>
      </c>
      <c r="F3" s="257">
        <v>966.6</v>
      </c>
      <c r="G3" s="257" t="s">
        <v>13</v>
      </c>
      <c r="H3" s="257">
        <f>290*400</f>
        <v>116000</v>
      </c>
      <c r="I3" s="257">
        <f>H3*12/10000</f>
        <v>139.2</v>
      </c>
      <c r="J3" s="257" t="s">
        <v>14</v>
      </c>
    </row>
    <row r="4" s="253" customFormat="1" spans="1:10">
      <c r="A4" s="258">
        <v>2</v>
      </c>
      <c r="B4" s="258" t="s">
        <v>15</v>
      </c>
      <c r="C4" s="258" t="s">
        <v>16</v>
      </c>
      <c r="D4" s="259">
        <v>20250101</v>
      </c>
      <c r="E4" s="257">
        <v>50</v>
      </c>
      <c r="F4" s="257">
        <v>439</v>
      </c>
      <c r="G4" s="257" t="s">
        <v>17</v>
      </c>
      <c r="H4" s="257">
        <f>99*400+280</f>
        <v>39880</v>
      </c>
      <c r="I4" s="260">
        <f>H4*12/10000</f>
        <v>47.856</v>
      </c>
      <c r="J4" s="257" t="s">
        <v>18</v>
      </c>
    </row>
    <row r="5" s="253" customFormat="1" spans="1:10">
      <c r="A5" s="258"/>
      <c r="B5" s="258"/>
      <c r="C5" s="258"/>
      <c r="D5" s="261">
        <v>20250102</v>
      </c>
      <c r="E5" s="257">
        <v>50</v>
      </c>
      <c r="F5" s="262">
        <v>707</v>
      </c>
      <c r="G5" s="257" t="s">
        <v>19</v>
      </c>
      <c r="H5" s="257">
        <f>100*300+270</f>
        <v>30270</v>
      </c>
      <c r="I5" s="260">
        <f>H5*16/10000</f>
        <v>48.432</v>
      </c>
      <c r="J5" s="257" t="s">
        <v>20</v>
      </c>
    </row>
    <row r="6" s="253" customFormat="1" spans="1:10">
      <c r="A6" s="258"/>
      <c r="B6" s="258"/>
      <c r="C6" s="258"/>
      <c r="D6" s="263">
        <v>20250103</v>
      </c>
      <c r="E6" s="256">
        <v>50</v>
      </c>
      <c r="F6" s="257">
        <v>421</v>
      </c>
      <c r="G6" s="257" t="s">
        <v>21</v>
      </c>
      <c r="H6" s="257">
        <v>33130</v>
      </c>
      <c r="I6" s="260">
        <f>H6*8/10000</f>
        <v>26.504</v>
      </c>
      <c r="J6" s="257" t="s">
        <v>22</v>
      </c>
    </row>
    <row r="7" s="253" customFormat="1" ht="18" customHeight="1" spans="1:10">
      <c r="A7" s="258"/>
      <c r="B7" s="258"/>
      <c r="C7" s="258"/>
      <c r="D7" s="259"/>
      <c r="E7" s="262"/>
      <c r="F7" s="257">
        <v>311</v>
      </c>
      <c r="G7" s="257" t="s">
        <v>23</v>
      </c>
      <c r="H7" s="257">
        <v>32400</v>
      </c>
      <c r="I7" s="260">
        <f>H7*7/10000</f>
        <v>22.68</v>
      </c>
      <c r="J7" s="257" t="s">
        <v>24</v>
      </c>
    </row>
    <row r="8" s="253" customFormat="1" spans="1:10">
      <c r="A8" s="258"/>
      <c r="B8" s="258"/>
      <c r="C8" s="258"/>
      <c r="D8" s="259">
        <v>20250111</v>
      </c>
      <c r="E8" s="262">
        <v>50</v>
      </c>
      <c r="F8" s="256">
        <v>682.5</v>
      </c>
      <c r="G8" s="257" t="s">
        <v>25</v>
      </c>
      <c r="H8" s="257">
        <f>347*200</f>
        <v>69400</v>
      </c>
      <c r="I8" s="260">
        <f>H8*7/10000</f>
        <v>48.58</v>
      </c>
      <c r="J8" s="257" t="s">
        <v>24</v>
      </c>
    </row>
    <row r="9" s="253" customFormat="1" spans="1:10">
      <c r="A9" s="257">
        <v>3</v>
      </c>
      <c r="B9" s="257" t="s">
        <v>26</v>
      </c>
      <c r="C9" s="257" t="s">
        <v>27</v>
      </c>
      <c r="D9" s="257">
        <v>20250102</v>
      </c>
      <c r="E9" s="257">
        <v>120</v>
      </c>
      <c r="F9" s="257">
        <v>590</v>
      </c>
      <c r="G9" s="257" t="s">
        <v>28</v>
      </c>
      <c r="H9" s="257">
        <f>129*300</f>
        <v>38700</v>
      </c>
      <c r="I9" s="257">
        <f>H9*30/10000</f>
        <v>116.1</v>
      </c>
      <c r="J9" s="264" t="s">
        <v>29</v>
      </c>
    </row>
    <row r="10" s="253" customFormat="1" spans="1:10">
      <c r="A10" s="257"/>
      <c r="B10" s="257"/>
      <c r="C10" s="257"/>
      <c r="D10" s="257">
        <v>20250103</v>
      </c>
      <c r="E10" s="257">
        <v>120</v>
      </c>
      <c r="F10" s="257">
        <v>766.5</v>
      </c>
      <c r="G10" s="257" t="s">
        <v>30</v>
      </c>
      <c r="H10" s="257">
        <f>122*400</f>
        <v>48800</v>
      </c>
      <c r="I10" s="257">
        <f>H10*24/10000</f>
        <v>117.12</v>
      </c>
      <c r="J10" s="257" t="s">
        <v>31</v>
      </c>
    </row>
    <row r="11" s="253" customFormat="1" spans="1:10">
      <c r="A11" s="257"/>
      <c r="B11" s="257"/>
      <c r="C11" s="257"/>
      <c r="D11" s="257">
        <v>20250104</v>
      </c>
      <c r="E11" s="257">
        <v>120</v>
      </c>
      <c r="F11" s="257">
        <v>676.5</v>
      </c>
      <c r="G11" s="257" t="s">
        <v>32</v>
      </c>
      <c r="H11" s="257">
        <f>143*400+300</f>
        <v>57500</v>
      </c>
      <c r="I11" s="257">
        <f>H11*20/10000</f>
        <v>115</v>
      </c>
      <c r="J11" s="264" t="s">
        <v>33</v>
      </c>
    </row>
    <row r="12" s="253" customFormat="1" spans="1:10">
      <c r="A12" s="257"/>
      <c r="B12" s="257"/>
      <c r="C12" s="257"/>
      <c r="D12" s="257">
        <v>20250118</v>
      </c>
      <c r="E12" s="257">
        <v>120</v>
      </c>
      <c r="F12" s="257">
        <v>614</v>
      </c>
      <c r="G12" s="257" t="s">
        <v>34</v>
      </c>
      <c r="H12" s="257">
        <f>186*400+170</f>
        <v>74570</v>
      </c>
      <c r="I12" s="257">
        <f>H12*16/10000</f>
        <v>119.312</v>
      </c>
      <c r="J12" s="264" t="s">
        <v>35</v>
      </c>
    </row>
    <row r="13" s="253" customFormat="1" spans="1:10">
      <c r="A13" s="258">
        <v>4</v>
      </c>
      <c r="B13" s="258" t="s">
        <v>36</v>
      </c>
      <c r="C13" s="258" t="s">
        <v>37</v>
      </c>
      <c r="D13" s="262">
        <v>20250105</v>
      </c>
      <c r="E13" s="262">
        <v>500</v>
      </c>
      <c r="F13" s="258">
        <v>960.1</v>
      </c>
      <c r="G13" s="262" t="s">
        <v>38</v>
      </c>
      <c r="H13" s="262">
        <f>103*480</f>
        <v>49440</v>
      </c>
      <c r="I13" s="265">
        <f t="shared" ref="I13:I16" si="0">H13*100/10000</f>
        <v>494.4</v>
      </c>
      <c r="J13" s="258" t="s">
        <v>39</v>
      </c>
    </row>
    <row r="14" s="253" customFormat="1" spans="1:10">
      <c r="A14" s="258"/>
      <c r="B14" s="258"/>
      <c r="C14" s="258"/>
      <c r="D14" s="257">
        <v>20250106</v>
      </c>
      <c r="E14" s="257">
        <v>500</v>
      </c>
      <c r="F14" s="258"/>
      <c r="G14" s="257" t="s">
        <v>40</v>
      </c>
      <c r="H14" s="257">
        <f>104*480</f>
        <v>49920</v>
      </c>
      <c r="I14" s="260">
        <f t="shared" si="0"/>
        <v>499.2</v>
      </c>
      <c r="J14" s="258"/>
    </row>
    <row r="15" s="253" customFormat="1" spans="1:10">
      <c r="A15" s="262"/>
      <c r="B15" s="262"/>
      <c r="C15" s="262"/>
      <c r="D15" s="257">
        <v>20250107</v>
      </c>
      <c r="E15" s="257">
        <v>500</v>
      </c>
      <c r="F15" s="262"/>
      <c r="G15" s="257" t="s">
        <v>41</v>
      </c>
      <c r="H15" s="257">
        <f>105*480</f>
        <v>50400</v>
      </c>
      <c r="I15" s="260">
        <f t="shared" si="0"/>
        <v>504</v>
      </c>
      <c r="J15" s="262"/>
    </row>
    <row r="16" s="253" customFormat="1" ht="27" spans="1:10">
      <c r="A16" s="257">
        <v>5</v>
      </c>
      <c r="B16" s="257" t="s">
        <v>42</v>
      </c>
      <c r="C16" s="257" t="s">
        <v>43</v>
      </c>
      <c r="D16" s="257">
        <v>20250109</v>
      </c>
      <c r="E16" s="257">
        <v>500</v>
      </c>
      <c r="F16" s="257">
        <v>483.7</v>
      </c>
      <c r="G16" s="257" t="s">
        <v>41</v>
      </c>
      <c r="H16" s="257">
        <f>105*480</f>
        <v>50400</v>
      </c>
      <c r="I16" s="257">
        <f t="shared" si="0"/>
        <v>504</v>
      </c>
      <c r="J16" s="257" t="s">
        <v>39</v>
      </c>
    </row>
    <row r="17" s="253" customFormat="1" spans="1:10">
      <c r="A17" s="266">
        <v>6</v>
      </c>
      <c r="B17" s="266" t="s">
        <v>44</v>
      </c>
      <c r="C17" s="266" t="s">
        <v>45</v>
      </c>
      <c r="D17" s="266">
        <v>20250110</v>
      </c>
      <c r="E17" s="266">
        <v>35</v>
      </c>
      <c r="F17" s="267">
        <v>406.2</v>
      </c>
      <c r="G17" s="268" t="s">
        <v>46</v>
      </c>
      <c r="H17" s="268">
        <f>160*300+280</f>
        <v>48280</v>
      </c>
      <c r="I17" s="268">
        <f>H17*6/10000</f>
        <v>28.968</v>
      </c>
      <c r="J17" s="268" t="s">
        <v>47</v>
      </c>
    </row>
    <row r="18" s="253" customFormat="1" spans="1:10">
      <c r="A18" s="269"/>
      <c r="B18" s="269"/>
      <c r="C18" s="269"/>
      <c r="D18" s="270"/>
      <c r="E18" s="270"/>
      <c r="F18" s="271">
        <v>97.5</v>
      </c>
      <c r="G18" s="268" t="s">
        <v>48</v>
      </c>
      <c r="H18" s="268">
        <f>15*400</f>
        <v>6000</v>
      </c>
      <c r="I18" s="268">
        <f>H18*10/10000</f>
        <v>6</v>
      </c>
      <c r="J18" s="268" t="s">
        <v>49</v>
      </c>
    </row>
    <row r="19" s="253" customFormat="1" spans="1:10">
      <c r="A19" s="270"/>
      <c r="B19" s="270"/>
      <c r="C19" s="270"/>
      <c r="D19" s="268">
        <v>20250116</v>
      </c>
      <c r="E19" s="268">
        <v>35</v>
      </c>
      <c r="F19" s="268">
        <v>334.5</v>
      </c>
      <c r="G19" s="268" t="s">
        <v>50</v>
      </c>
      <c r="H19" s="268">
        <f>88*400</f>
        <v>35200</v>
      </c>
      <c r="I19" s="268">
        <f>H19*10/10000</f>
        <v>35.2</v>
      </c>
      <c r="J19" s="268" t="s">
        <v>49</v>
      </c>
    </row>
    <row r="20" s="253" customFormat="1" ht="24" customHeight="1" spans="1:10">
      <c r="A20" s="272">
        <v>7</v>
      </c>
      <c r="B20" s="272" t="s">
        <v>51</v>
      </c>
      <c r="C20" s="272" t="s">
        <v>52</v>
      </c>
      <c r="D20" s="272">
        <v>20250113</v>
      </c>
      <c r="E20" s="272">
        <v>35</v>
      </c>
      <c r="F20" s="272">
        <v>301</v>
      </c>
      <c r="G20" s="272" t="s">
        <v>53</v>
      </c>
      <c r="H20" s="272">
        <f>45*300+220</f>
        <v>13720</v>
      </c>
      <c r="I20" s="272">
        <f>H20*24/10000</f>
        <v>32.928</v>
      </c>
      <c r="J20" s="272" t="s">
        <v>54</v>
      </c>
    </row>
    <row r="21" s="254" customFormat="1" ht="27" customHeight="1" spans="1:10">
      <c r="A21" s="257">
        <v>8</v>
      </c>
      <c r="B21" s="273" t="s">
        <v>15</v>
      </c>
      <c r="C21" s="257" t="s">
        <v>16</v>
      </c>
      <c r="D21" s="257">
        <v>20250112</v>
      </c>
      <c r="E21" s="257">
        <v>50</v>
      </c>
      <c r="F21" s="257">
        <v>368</v>
      </c>
      <c r="G21" s="273"/>
      <c r="H21" s="273"/>
      <c r="I21" s="273"/>
      <c r="J21" s="257" t="s">
        <v>24</v>
      </c>
    </row>
    <row r="22" s="253" customFormat="1" spans="1:10">
      <c r="A22" s="274" t="s">
        <v>55</v>
      </c>
      <c r="B22" s="274"/>
      <c r="C22" s="274"/>
      <c r="D22" s="274"/>
      <c r="E22" s="257">
        <f>SUM(E3:E21)</f>
        <v>2985</v>
      </c>
      <c r="F22" s="257">
        <f>SUM(F3:F21)</f>
        <v>9125.1</v>
      </c>
      <c r="G22" s="257"/>
      <c r="H22" s="257">
        <f>SUM(H3:H20)</f>
        <v>844010</v>
      </c>
      <c r="I22" s="257">
        <f>SUM(I3:I20)</f>
        <v>2905.48</v>
      </c>
      <c r="J22" s="257"/>
    </row>
    <row r="23" s="253" customFormat="1" spans="1:10">
      <c r="A23" s="275" t="s">
        <v>56</v>
      </c>
      <c r="B23" s="275"/>
      <c r="C23" s="275"/>
      <c r="D23" s="275"/>
      <c r="E23" s="275"/>
      <c r="F23" s="275"/>
      <c r="G23" s="275"/>
      <c r="H23" s="275"/>
      <c r="I23" s="275" t="s">
        <v>57</v>
      </c>
      <c r="J23" s="275"/>
    </row>
    <row r="24" s="253" customFormat="1" spans="1:10">
      <c r="A24" s="275" t="s">
        <v>58</v>
      </c>
      <c r="B24" s="275"/>
      <c r="C24" s="275"/>
      <c r="D24" s="275"/>
      <c r="E24" s="275"/>
      <c r="F24" s="275"/>
      <c r="G24" s="275"/>
      <c r="H24" s="275"/>
      <c r="I24" s="275" t="s">
        <v>59</v>
      </c>
      <c r="J24" s="275"/>
    </row>
    <row r="25" s="253" customFormat="1" spans="1:10">
      <c r="A25" s="275"/>
      <c r="B25" s="275"/>
      <c r="C25" s="275"/>
      <c r="D25" s="275"/>
      <c r="E25" s="275"/>
      <c r="F25" s="275"/>
      <c r="G25" s="275"/>
      <c r="H25" s="275"/>
      <c r="I25" s="275"/>
      <c r="J25" s="275"/>
    </row>
    <row r="28" s="253" customFormat="1" ht="27" customHeight="1" spans="1:10">
      <c r="A28" s="255" t="s">
        <v>60</v>
      </c>
      <c r="B28" s="255"/>
      <c r="C28" s="255"/>
      <c r="D28" s="255"/>
      <c r="E28" s="255"/>
      <c r="F28" s="255"/>
      <c r="G28" s="255"/>
      <c r="H28" s="255"/>
      <c r="I28" s="255"/>
      <c r="J28" s="255"/>
    </row>
    <row r="29" s="253" customFormat="1" ht="27" spans="1:10">
      <c r="A29" s="256" t="s">
        <v>1</v>
      </c>
      <c r="B29" s="256" t="s">
        <v>2</v>
      </c>
      <c r="C29" s="256" t="s">
        <v>3</v>
      </c>
      <c r="D29" s="256" t="s">
        <v>4</v>
      </c>
      <c r="E29" s="256" t="s">
        <v>5</v>
      </c>
      <c r="F29" s="256" t="s">
        <v>6</v>
      </c>
      <c r="G29" s="256" t="s">
        <v>7</v>
      </c>
      <c r="H29" s="256" t="s">
        <v>8</v>
      </c>
      <c r="I29" s="256" t="s">
        <v>9</v>
      </c>
      <c r="J29" s="256" t="s">
        <v>10</v>
      </c>
    </row>
    <row r="30" s="253" customFormat="1" spans="1:10">
      <c r="A30" s="256"/>
      <c r="B30" s="256" t="s">
        <v>15</v>
      </c>
      <c r="C30" s="256" t="s">
        <v>16</v>
      </c>
      <c r="D30" s="256">
        <v>20250112</v>
      </c>
      <c r="E30" s="256">
        <v>50</v>
      </c>
      <c r="F30" s="256">
        <v>418.5</v>
      </c>
      <c r="G30" s="257">
        <f>H30/200</f>
        <v>343</v>
      </c>
      <c r="H30" s="257">
        <f>I30/7*10000</f>
        <v>68600</v>
      </c>
      <c r="I30" s="260">
        <v>48.02</v>
      </c>
      <c r="J30" s="256" t="s">
        <v>24</v>
      </c>
    </row>
    <row r="31" s="253" customFormat="1" spans="1:10">
      <c r="A31" s="257">
        <v>1</v>
      </c>
      <c r="B31" s="257" t="s">
        <v>61</v>
      </c>
      <c r="C31" s="257" t="s">
        <v>62</v>
      </c>
      <c r="D31" s="257">
        <v>20250206</v>
      </c>
      <c r="E31" s="257">
        <v>500</v>
      </c>
      <c r="F31" s="257">
        <v>603.1</v>
      </c>
      <c r="G31" s="257">
        <f>H31/480</f>
        <v>101</v>
      </c>
      <c r="H31" s="257">
        <f>I31*10000/100</f>
        <v>48480</v>
      </c>
      <c r="I31" s="257">
        <v>484.8</v>
      </c>
      <c r="J31" s="257" t="s">
        <v>39</v>
      </c>
    </row>
    <row r="32" s="253" customFormat="1" spans="1:10">
      <c r="A32" s="257">
        <v>2</v>
      </c>
      <c r="B32" s="257" t="s">
        <v>63</v>
      </c>
      <c r="C32" s="257" t="s">
        <v>64</v>
      </c>
      <c r="D32" s="259">
        <v>20250207</v>
      </c>
      <c r="E32" s="257">
        <v>250</v>
      </c>
      <c r="F32" s="257">
        <v>269</v>
      </c>
      <c r="G32" s="257">
        <f>H32/360</f>
        <v>66</v>
      </c>
      <c r="H32" s="257">
        <f>I32*10000/100</f>
        <v>23760</v>
      </c>
      <c r="I32" s="260">
        <v>237.6</v>
      </c>
      <c r="J32" s="257" t="s">
        <v>65</v>
      </c>
    </row>
    <row r="33" s="253" customFormat="1" ht="27" spans="1:10">
      <c r="A33" s="257">
        <v>3</v>
      </c>
      <c r="B33" s="257" t="s">
        <v>42</v>
      </c>
      <c r="C33" s="257" t="s">
        <v>43</v>
      </c>
      <c r="D33" s="259">
        <v>20250209</v>
      </c>
      <c r="E33" s="257">
        <v>500</v>
      </c>
      <c r="F33" s="257">
        <v>484.8</v>
      </c>
      <c r="G33" s="257">
        <f>H33/480</f>
        <v>105</v>
      </c>
      <c r="H33" s="257">
        <f>I33*10000/100</f>
        <v>50400</v>
      </c>
      <c r="I33" s="260">
        <v>504</v>
      </c>
      <c r="J33" s="257" t="s">
        <v>39</v>
      </c>
    </row>
    <row r="34" s="253" customFormat="1" spans="1:10">
      <c r="A34" s="257">
        <v>4</v>
      </c>
      <c r="B34" s="257" t="s">
        <v>15</v>
      </c>
      <c r="C34" s="257" t="s">
        <v>16</v>
      </c>
      <c r="D34" s="263">
        <v>20250211</v>
      </c>
      <c r="E34" s="256">
        <v>50</v>
      </c>
      <c r="F34" s="257">
        <v>450</v>
      </c>
      <c r="G34" s="257">
        <f>H34/300</f>
        <v>101</v>
      </c>
      <c r="H34" s="257">
        <f>I34*10000/5</f>
        <v>30300</v>
      </c>
      <c r="I34" s="260">
        <v>15.15</v>
      </c>
      <c r="J34" s="257" t="s">
        <v>66</v>
      </c>
    </row>
    <row r="35" s="253" customFormat="1" spans="1:10">
      <c r="A35" s="257"/>
      <c r="B35" s="257"/>
      <c r="C35" s="257"/>
      <c r="D35" s="259"/>
      <c r="E35" s="262"/>
      <c r="F35" s="257">
        <v>428.5</v>
      </c>
      <c r="G35" s="257">
        <f>H35/200</f>
        <v>234</v>
      </c>
      <c r="H35" s="257">
        <f>I35*10000/7</f>
        <v>46800</v>
      </c>
      <c r="I35" s="260">
        <v>32.76</v>
      </c>
      <c r="J35" s="257" t="s">
        <v>24</v>
      </c>
    </row>
    <row r="36" s="253" customFormat="1" spans="1:10">
      <c r="A36" s="257"/>
      <c r="B36" s="257"/>
      <c r="C36" s="257"/>
      <c r="D36" s="263">
        <v>20250213</v>
      </c>
      <c r="E36" s="256">
        <v>50</v>
      </c>
      <c r="F36" s="257">
        <v>381.5</v>
      </c>
      <c r="G36" s="257" t="s">
        <v>67</v>
      </c>
      <c r="H36" s="257">
        <f>I36*10000/12</f>
        <v>19900</v>
      </c>
      <c r="I36" s="260">
        <v>23.88</v>
      </c>
      <c r="J36" s="257" t="s">
        <v>18</v>
      </c>
    </row>
    <row r="37" s="253" customFormat="1" ht="18" customHeight="1" spans="1:10">
      <c r="A37" s="257"/>
      <c r="B37" s="257"/>
      <c r="C37" s="257"/>
      <c r="D37" s="259"/>
      <c r="E37" s="262"/>
      <c r="F37" s="257">
        <v>228.7</v>
      </c>
      <c r="G37" s="257">
        <f>H37/200</f>
        <v>170</v>
      </c>
      <c r="H37" s="257">
        <f>I37*10000/7</f>
        <v>34000</v>
      </c>
      <c r="I37" s="260">
        <v>23.8</v>
      </c>
      <c r="J37" s="257" t="s">
        <v>24</v>
      </c>
    </row>
    <row r="38" s="253" customFormat="1" spans="1:10">
      <c r="A38" s="258">
        <v>5</v>
      </c>
      <c r="B38" s="258" t="s">
        <v>36</v>
      </c>
      <c r="C38" s="258" t="s">
        <v>37</v>
      </c>
      <c r="D38" s="262">
        <v>20250215</v>
      </c>
      <c r="E38" s="262">
        <v>500</v>
      </c>
      <c r="F38" s="258">
        <v>960.4</v>
      </c>
      <c r="G38" s="262">
        <f>H38/480</f>
        <v>102</v>
      </c>
      <c r="H38" s="262">
        <f>I38*10000/100</f>
        <v>48960</v>
      </c>
      <c r="I38" s="265">
        <v>489.6</v>
      </c>
      <c r="J38" s="258" t="s">
        <v>39</v>
      </c>
    </row>
    <row r="39" s="253" customFormat="1" spans="1:10">
      <c r="A39" s="258"/>
      <c r="B39" s="258"/>
      <c r="C39" s="258"/>
      <c r="D39" s="262">
        <v>20250216</v>
      </c>
      <c r="E39" s="257">
        <v>500</v>
      </c>
      <c r="F39" s="258"/>
      <c r="G39" s="257">
        <f>H39/480</f>
        <v>103</v>
      </c>
      <c r="H39" s="257">
        <f>I39*10000/100</f>
        <v>49440</v>
      </c>
      <c r="I39" s="260">
        <v>494.4</v>
      </c>
      <c r="J39" s="258"/>
    </row>
    <row r="40" s="253" customFormat="1" spans="1:10">
      <c r="A40" s="262"/>
      <c r="B40" s="262"/>
      <c r="C40" s="262"/>
      <c r="D40" s="262">
        <v>20250217</v>
      </c>
      <c r="E40" s="257">
        <v>500</v>
      </c>
      <c r="F40" s="262"/>
      <c r="G40" s="257">
        <f>H40/480</f>
        <v>103</v>
      </c>
      <c r="H40" s="257">
        <f>I40*10000/100</f>
        <v>49440</v>
      </c>
      <c r="I40" s="260">
        <v>494.4</v>
      </c>
      <c r="J40" s="262"/>
    </row>
    <row r="41" s="253" customFormat="1" spans="1:10">
      <c r="A41" s="268">
        <v>6</v>
      </c>
      <c r="B41" s="268" t="s">
        <v>68</v>
      </c>
      <c r="C41" s="268" t="s">
        <v>45</v>
      </c>
      <c r="D41" s="268">
        <v>20250219</v>
      </c>
      <c r="E41" s="268">
        <v>35</v>
      </c>
      <c r="F41" s="268">
        <v>479.7</v>
      </c>
      <c r="G41" s="268" t="s">
        <v>69</v>
      </c>
      <c r="H41" s="268">
        <f>I41*10000/8</f>
        <v>43510</v>
      </c>
      <c r="I41" s="268">
        <v>34.808</v>
      </c>
      <c r="J41" s="276" t="s">
        <v>70</v>
      </c>
    </row>
    <row r="42" s="253" customFormat="1" spans="1:10">
      <c r="A42" s="272">
        <v>7</v>
      </c>
      <c r="B42" s="272" t="s">
        <v>51</v>
      </c>
      <c r="C42" s="272" t="s">
        <v>52</v>
      </c>
      <c r="D42" s="272">
        <v>20250220</v>
      </c>
      <c r="E42" s="272">
        <v>35</v>
      </c>
      <c r="F42" s="272">
        <v>425.5</v>
      </c>
      <c r="G42" s="272">
        <f>H42/300</f>
        <v>51</v>
      </c>
      <c r="H42" s="272">
        <f>I42*10000/24</f>
        <v>15300</v>
      </c>
      <c r="I42" s="272">
        <v>36.72</v>
      </c>
      <c r="J42" s="272" t="s">
        <v>54</v>
      </c>
    </row>
    <row r="43" s="253" customFormat="1" spans="1:10">
      <c r="A43" s="258"/>
      <c r="B43" s="258"/>
      <c r="C43" s="258"/>
      <c r="D43" s="259">
        <v>20250212</v>
      </c>
      <c r="E43" s="257">
        <v>50</v>
      </c>
      <c r="F43" s="256">
        <v>697</v>
      </c>
      <c r="G43" s="257">
        <v>338</v>
      </c>
      <c r="H43" s="257">
        <f>I43*10000/7</f>
        <v>67600</v>
      </c>
      <c r="I43" s="260">
        <v>47.32</v>
      </c>
      <c r="J43" s="256" t="s">
        <v>24</v>
      </c>
    </row>
    <row r="44" s="253" customFormat="1" spans="1:10">
      <c r="A44" s="258">
        <v>8</v>
      </c>
      <c r="B44" s="258" t="s">
        <v>15</v>
      </c>
      <c r="C44" s="258" t="s">
        <v>16</v>
      </c>
      <c r="D44" s="259">
        <v>20250224</v>
      </c>
      <c r="E44" s="257">
        <v>50</v>
      </c>
      <c r="F44" s="257">
        <v>696.5</v>
      </c>
      <c r="G44" s="257">
        <f>H44/200</f>
        <v>346</v>
      </c>
      <c r="H44" s="257">
        <f>I44/7*10000</f>
        <v>69200</v>
      </c>
      <c r="I44" s="260">
        <v>48.44</v>
      </c>
      <c r="J44" s="258"/>
    </row>
    <row r="45" s="253" customFormat="1" spans="1:10">
      <c r="A45" s="258"/>
      <c r="B45" s="258"/>
      <c r="C45" s="258"/>
      <c r="D45" s="259">
        <v>20250225</v>
      </c>
      <c r="E45" s="257">
        <v>50</v>
      </c>
      <c r="F45" s="257">
        <v>696.5</v>
      </c>
      <c r="G45" s="257">
        <f>H45/200</f>
        <v>344</v>
      </c>
      <c r="H45" s="257">
        <f>I45/7*10000</f>
        <v>68800</v>
      </c>
      <c r="I45" s="260">
        <v>48.16</v>
      </c>
      <c r="J45" s="258"/>
    </row>
    <row r="46" s="253" customFormat="1" spans="1:10">
      <c r="A46" s="258"/>
      <c r="B46" s="258"/>
      <c r="C46" s="258"/>
      <c r="D46" s="259">
        <v>20250226</v>
      </c>
      <c r="E46" s="256">
        <v>50</v>
      </c>
      <c r="F46" s="257">
        <v>836.5</v>
      </c>
      <c r="G46" s="257">
        <f>H46/200</f>
        <v>344</v>
      </c>
      <c r="H46" s="257">
        <f>I46/7*10000</f>
        <v>68800</v>
      </c>
      <c r="I46" s="260">
        <v>48.16</v>
      </c>
      <c r="J46" s="258"/>
    </row>
    <row r="47" s="253" customFormat="1" spans="1:10">
      <c r="A47" s="257">
        <v>9</v>
      </c>
      <c r="B47" s="257" t="s">
        <v>26</v>
      </c>
      <c r="C47" s="257" t="s">
        <v>27</v>
      </c>
      <c r="D47" s="257">
        <v>20250227</v>
      </c>
      <c r="E47" s="257">
        <v>120</v>
      </c>
      <c r="F47" s="257">
        <v>852.5</v>
      </c>
      <c r="G47" s="257" t="s">
        <v>71</v>
      </c>
      <c r="H47" s="257">
        <f>I47/24*10000</f>
        <v>47520</v>
      </c>
      <c r="I47" s="257">
        <v>114.048</v>
      </c>
      <c r="J47" s="257" t="s">
        <v>31</v>
      </c>
    </row>
    <row r="48" s="253" customFormat="1" spans="1:10">
      <c r="A48" s="277" t="s">
        <v>55</v>
      </c>
      <c r="B48" s="278"/>
      <c r="C48" s="278"/>
      <c r="D48" s="279"/>
      <c r="E48" s="257">
        <f>SUM(E31:E42)</f>
        <v>2920</v>
      </c>
      <c r="F48" s="257"/>
      <c r="G48" s="257"/>
      <c r="H48" s="257">
        <f>SUM(H31:H42)</f>
        <v>460290</v>
      </c>
      <c r="I48" s="257">
        <f>SUM(I31:I42)</f>
        <v>2871.918</v>
      </c>
      <c r="J48" s="262"/>
    </row>
    <row r="49" s="253" customFormat="1" spans="1:10">
      <c r="A49" s="275" t="s">
        <v>56</v>
      </c>
      <c r="B49" s="275"/>
      <c r="C49" s="275"/>
      <c r="D49" s="275"/>
      <c r="E49" s="275"/>
      <c r="F49" s="275"/>
      <c r="G49" s="275"/>
      <c r="H49" s="275"/>
      <c r="I49" s="275" t="s">
        <v>57</v>
      </c>
      <c r="J49" s="275"/>
    </row>
    <row r="50" s="253" customFormat="1" spans="1:10">
      <c r="A50" s="275" t="s">
        <v>72</v>
      </c>
      <c r="B50" s="275"/>
      <c r="C50" s="275"/>
      <c r="D50" s="275"/>
      <c r="E50" s="275"/>
      <c r="F50" s="275"/>
      <c r="G50" s="275"/>
      <c r="H50" s="275"/>
      <c r="I50" s="275" t="s">
        <v>59</v>
      </c>
      <c r="J50" s="275"/>
    </row>
    <row r="51" s="253" customFormat="1" spans="1:10">
      <c r="A51" s="275"/>
      <c r="B51" s="275"/>
      <c r="C51" s="275"/>
      <c r="D51" s="275"/>
      <c r="E51" s="275"/>
      <c r="F51" s="275"/>
      <c r="G51" s="275"/>
      <c r="H51" s="275"/>
      <c r="I51" s="275"/>
      <c r="J51" s="275"/>
    </row>
    <row r="55" s="253" customFormat="1" ht="27" customHeight="1" spans="1:10">
      <c r="A55" s="255" t="s">
        <v>73</v>
      </c>
      <c r="B55" s="255"/>
      <c r="C55" s="255"/>
      <c r="D55" s="255"/>
      <c r="E55" s="255"/>
      <c r="F55" s="255"/>
      <c r="G55" s="255"/>
      <c r="H55" s="255"/>
      <c r="I55" s="255"/>
      <c r="J55" s="255"/>
    </row>
    <row r="56" s="253" customFormat="1" ht="27" spans="1:10">
      <c r="A56" s="256" t="s">
        <v>1</v>
      </c>
      <c r="B56" s="256" t="s">
        <v>2</v>
      </c>
      <c r="C56" s="256" t="s">
        <v>3</v>
      </c>
      <c r="D56" s="256" t="s">
        <v>4</v>
      </c>
      <c r="E56" s="256" t="s">
        <v>5</v>
      </c>
      <c r="F56" s="256" t="s">
        <v>6</v>
      </c>
      <c r="G56" s="256" t="s">
        <v>7</v>
      </c>
      <c r="H56" s="256" t="s">
        <v>8</v>
      </c>
      <c r="I56" s="256" t="s">
        <v>9</v>
      </c>
      <c r="J56" s="256" t="s">
        <v>10</v>
      </c>
    </row>
    <row r="57" s="253" customFormat="1" ht="24" customHeight="1" spans="1:10">
      <c r="A57" s="256">
        <v>1</v>
      </c>
      <c r="B57" s="256" t="s">
        <v>15</v>
      </c>
      <c r="C57" s="256" t="s">
        <v>16</v>
      </c>
      <c r="D57" s="256">
        <v>20250306</v>
      </c>
      <c r="E57" s="268">
        <v>50</v>
      </c>
      <c r="F57" s="266">
        <v>1036</v>
      </c>
      <c r="G57" s="268">
        <f t="shared" ref="G57:G62" si="1">H57/200</f>
        <v>169</v>
      </c>
      <c r="H57" s="268">
        <f>I57*10000/14</f>
        <v>33800</v>
      </c>
      <c r="I57" s="268">
        <v>47.32</v>
      </c>
      <c r="J57" s="266" t="s">
        <v>74</v>
      </c>
    </row>
    <row r="58" s="253" customFormat="1" ht="24" customHeight="1" spans="1:10">
      <c r="A58" s="258"/>
      <c r="B58" s="258"/>
      <c r="C58" s="258"/>
      <c r="D58" s="256">
        <v>20250307</v>
      </c>
      <c r="E58" s="256">
        <v>50</v>
      </c>
      <c r="F58" s="270"/>
      <c r="G58" s="268">
        <f t="shared" si="1"/>
        <v>169</v>
      </c>
      <c r="H58" s="268">
        <f>I58*10000/14</f>
        <v>33800</v>
      </c>
      <c r="I58" s="268">
        <v>47.32</v>
      </c>
      <c r="J58" s="270"/>
    </row>
    <row r="59" s="253" customFormat="1" ht="24" customHeight="1" spans="1:10">
      <c r="A59" s="258"/>
      <c r="B59" s="258"/>
      <c r="C59" s="258"/>
      <c r="D59" s="257">
        <v>20250309</v>
      </c>
      <c r="E59" s="256">
        <v>50</v>
      </c>
      <c r="F59" s="257">
        <v>236.5</v>
      </c>
      <c r="G59" s="257">
        <v>72</v>
      </c>
      <c r="H59" s="257">
        <f>I59*10000/12</f>
        <v>28800</v>
      </c>
      <c r="I59" s="260">
        <v>34.56</v>
      </c>
      <c r="J59" s="257" t="s">
        <v>18</v>
      </c>
    </row>
    <row r="60" s="253" customFormat="1" ht="24" customHeight="1" spans="1:10">
      <c r="A60" s="258"/>
      <c r="B60" s="258"/>
      <c r="C60" s="258"/>
      <c r="D60" s="257"/>
      <c r="E60" s="262"/>
      <c r="F60" s="257">
        <v>290.4</v>
      </c>
      <c r="G60" s="257">
        <f t="shared" si="1"/>
        <v>94</v>
      </c>
      <c r="H60" s="257">
        <f>I60*10000/7</f>
        <v>18800</v>
      </c>
      <c r="I60" s="260">
        <v>13.16</v>
      </c>
      <c r="J60" s="257" t="s">
        <v>24</v>
      </c>
    </row>
    <row r="61" s="253" customFormat="1" ht="24" customHeight="1" spans="1:10">
      <c r="A61" s="258"/>
      <c r="B61" s="258"/>
      <c r="C61" s="258"/>
      <c r="D61" s="256">
        <v>20250310</v>
      </c>
      <c r="E61" s="256">
        <v>50</v>
      </c>
      <c r="F61" s="256">
        <v>1253.5</v>
      </c>
      <c r="G61" s="257">
        <f t="shared" si="1"/>
        <v>346</v>
      </c>
      <c r="H61" s="257">
        <f>I61/7*10000</f>
        <v>69200</v>
      </c>
      <c r="I61" s="260">
        <v>48.44</v>
      </c>
      <c r="J61" s="256" t="s">
        <v>24</v>
      </c>
    </row>
    <row r="62" s="253" customFormat="1" ht="24" customHeight="1" spans="1:10">
      <c r="A62" s="258"/>
      <c r="B62" s="258"/>
      <c r="C62" s="258"/>
      <c r="D62" s="256">
        <v>20250311</v>
      </c>
      <c r="E62" s="256">
        <v>50</v>
      </c>
      <c r="F62" s="258"/>
      <c r="G62" s="257">
        <f t="shared" si="1"/>
        <v>349</v>
      </c>
      <c r="H62" s="257">
        <f>I62/7*10000</f>
        <v>69800</v>
      </c>
      <c r="I62" s="260">
        <v>48.86</v>
      </c>
      <c r="J62" s="258"/>
    </row>
    <row r="63" s="253" customFormat="1" ht="24" customHeight="1" spans="1:10">
      <c r="A63" s="280">
        <v>2</v>
      </c>
      <c r="B63" s="280" t="s">
        <v>51</v>
      </c>
      <c r="C63" s="280" t="s">
        <v>52</v>
      </c>
      <c r="D63" s="272">
        <v>20250311</v>
      </c>
      <c r="E63" s="272">
        <v>40</v>
      </c>
      <c r="F63" s="280">
        <v>657</v>
      </c>
      <c r="G63" s="272">
        <f>H63/300</f>
        <v>51</v>
      </c>
      <c r="H63" s="272">
        <f>I63*10000/24</f>
        <v>15300</v>
      </c>
      <c r="I63" s="272">
        <v>36.72</v>
      </c>
      <c r="J63" s="280" t="s">
        <v>54</v>
      </c>
    </row>
    <row r="64" s="253" customFormat="1" ht="24" customHeight="1" spans="1:10">
      <c r="A64" s="262"/>
      <c r="B64" s="262"/>
      <c r="C64" s="262"/>
      <c r="D64" s="272">
        <v>20250312</v>
      </c>
      <c r="E64" s="272">
        <v>40</v>
      </c>
      <c r="F64" s="262"/>
      <c r="G64" s="272" t="s">
        <v>75</v>
      </c>
      <c r="H64" s="272">
        <f>I64*10000/24</f>
        <v>15430</v>
      </c>
      <c r="I64" s="272">
        <v>37.032</v>
      </c>
      <c r="J64" s="262"/>
    </row>
    <row r="65" s="253" customFormat="1" ht="24" customHeight="1" spans="1:10">
      <c r="A65" s="257">
        <v>3</v>
      </c>
      <c r="B65" s="257" t="s">
        <v>11</v>
      </c>
      <c r="C65" s="257" t="s">
        <v>12</v>
      </c>
      <c r="D65" s="257">
        <v>20250313</v>
      </c>
      <c r="E65" s="257">
        <v>150</v>
      </c>
      <c r="F65" s="257">
        <v>792.6</v>
      </c>
      <c r="G65" s="257">
        <f>H65/400</f>
        <v>301</v>
      </c>
      <c r="H65" s="257">
        <f>I65/12*10000</f>
        <v>120400</v>
      </c>
      <c r="I65" s="257">
        <v>144.48</v>
      </c>
      <c r="J65" s="257" t="s">
        <v>14</v>
      </c>
    </row>
    <row r="66" s="253" customFormat="1" ht="24" customHeight="1" spans="1:10">
      <c r="A66" s="281">
        <v>4</v>
      </c>
      <c r="B66" s="282" t="s">
        <v>76</v>
      </c>
      <c r="C66" s="282" t="s">
        <v>77</v>
      </c>
      <c r="D66" s="282">
        <v>20250317</v>
      </c>
      <c r="E66" s="282">
        <v>100</v>
      </c>
      <c r="F66" s="283">
        <v>576.9</v>
      </c>
      <c r="G66" s="284">
        <f>H66/400</f>
        <v>79</v>
      </c>
      <c r="H66" s="282">
        <f>I66/30*10000</f>
        <v>31600</v>
      </c>
      <c r="I66" s="285">
        <v>94.8</v>
      </c>
      <c r="J66" s="282" t="s">
        <v>78</v>
      </c>
    </row>
    <row r="67" s="253" customFormat="1" ht="24" customHeight="1" spans="1:10">
      <c r="A67" s="281">
        <v>5</v>
      </c>
      <c r="B67" s="257" t="s">
        <v>44</v>
      </c>
      <c r="C67" s="257" t="s">
        <v>45</v>
      </c>
      <c r="D67" s="259">
        <v>20250317</v>
      </c>
      <c r="E67" s="257">
        <v>35</v>
      </c>
      <c r="F67" s="267">
        <v>506.5</v>
      </c>
      <c r="G67" s="268">
        <f>H67/300</f>
        <v>189</v>
      </c>
      <c r="H67" s="268">
        <f>I67/6*10000</f>
        <v>56700</v>
      </c>
      <c r="I67" s="268">
        <v>34.02</v>
      </c>
      <c r="J67" s="268" t="s">
        <v>47</v>
      </c>
    </row>
    <row r="68" s="253" customFormat="1" ht="24" customHeight="1" spans="1:10">
      <c r="A68" s="281">
        <v>6</v>
      </c>
      <c r="B68" s="257" t="s">
        <v>42</v>
      </c>
      <c r="C68" s="257" t="s">
        <v>43</v>
      </c>
      <c r="D68" s="259">
        <v>20250318</v>
      </c>
      <c r="E68" s="257">
        <v>500</v>
      </c>
      <c r="F68" s="257">
        <v>483.7</v>
      </c>
      <c r="G68" s="257">
        <f>H68/480</f>
        <v>104</v>
      </c>
      <c r="H68" s="257">
        <f>I68*10000/100</f>
        <v>49920</v>
      </c>
      <c r="I68" s="260">
        <v>499.2</v>
      </c>
      <c r="J68" s="257" t="s">
        <v>39</v>
      </c>
    </row>
    <row r="69" s="253" customFormat="1" ht="24" customHeight="1" spans="1:10">
      <c r="A69" s="281">
        <v>7</v>
      </c>
      <c r="B69" s="257" t="s">
        <v>63</v>
      </c>
      <c r="C69" s="257" t="s">
        <v>64</v>
      </c>
      <c r="D69" s="259">
        <v>20250320</v>
      </c>
      <c r="E69" s="257">
        <v>250</v>
      </c>
      <c r="F69" s="257">
        <v>266.5</v>
      </c>
      <c r="G69" s="257">
        <f>H69/360</f>
        <v>68</v>
      </c>
      <c r="H69" s="257">
        <f>I69*10000/100</f>
        <v>24480</v>
      </c>
      <c r="I69" s="260">
        <v>244.8</v>
      </c>
      <c r="J69" s="257" t="s">
        <v>65</v>
      </c>
    </row>
    <row r="70" s="253" customFormat="1" ht="24" customHeight="1" spans="1:10">
      <c r="A70" s="281">
        <v>8</v>
      </c>
      <c r="B70" s="256" t="s">
        <v>79</v>
      </c>
      <c r="C70" s="256" t="s">
        <v>37</v>
      </c>
      <c r="D70" s="256">
        <v>20250321</v>
      </c>
      <c r="E70" s="256">
        <v>200</v>
      </c>
      <c r="F70" s="256">
        <v>312.5</v>
      </c>
      <c r="G70" s="257">
        <f>H70/360</f>
        <v>54</v>
      </c>
      <c r="H70" s="257">
        <f>I70*10000/100</f>
        <v>19440</v>
      </c>
      <c r="I70" s="260">
        <v>194.4</v>
      </c>
      <c r="J70" s="257" t="s">
        <v>65</v>
      </c>
    </row>
    <row r="71" s="253" customFormat="1" ht="24" customHeight="1" spans="1:10">
      <c r="A71" s="277" t="s">
        <v>55</v>
      </c>
      <c r="B71" s="278"/>
      <c r="C71" s="278"/>
      <c r="D71" s="279"/>
      <c r="E71" s="257">
        <f>SUM(E57:E70)</f>
        <v>1565</v>
      </c>
      <c r="F71" s="257"/>
      <c r="G71" s="257"/>
      <c r="H71" s="257">
        <f>SUM(H57:H70)</f>
        <v>587470</v>
      </c>
      <c r="I71" s="257">
        <f>SUM(I57:I70)</f>
        <v>1525.112</v>
      </c>
      <c r="J71" s="262"/>
    </row>
    <row r="72" s="253" customFormat="1" spans="1:10">
      <c r="A72" s="275" t="s">
        <v>56</v>
      </c>
      <c r="B72" s="275"/>
      <c r="C72" s="275"/>
      <c r="D72" s="275"/>
      <c r="E72" s="275"/>
      <c r="F72" s="275"/>
      <c r="G72" s="275"/>
      <c r="H72" s="275"/>
      <c r="I72" s="275" t="s">
        <v>57</v>
      </c>
      <c r="J72" s="275"/>
    </row>
    <row r="73" s="253" customFormat="1" spans="1:10">
      <c r="A73" s="275" t="s">
        <v>80</v>
      </c>
      <c r="B73" s="275"/>
      <c r="C73" s="275"/>
      <c r="D73" s="275"/>
      <c r="E73" s="275"/>
      <c r="F73" s="275"/>
      <c r="G73" s="275"/>
      <c r="H73" s="275"/>
      <c r="I73" s="275" t="s">
        <v>59</v>
      </c>
      <c r="J73" s="275"/>
    </row>
    <row r="74" s="253" customFormat="1" spans="1:10">
      <c r="A74" s="275"/>
      <c r="B74" s="275"/>
      <c r="C74" s="275"/>
      <c r="D74" s="275"/>
      <c r="E74" s="275"/>
      <c r="F74" s="275"/>
      <c r="G74" s="275"/>
      <c r="H74" s="275"/>
      <c r="I74" s="275"/>
      <c r="J74" s="275"/>
    </row>
    <row r="77" s="253" customFormat="1" ht="27" customHeight="1" spans="1:10">
      <c r="A77" s="255" t="s">
        <v>81</v>
      </c>
      <c r="B77" s="255"/>
      <c r="C77" s="255"/>
      <c r="D77" s="255"/>
      <c r="E77" s="255"/>
      <c r="F77" s="255"/>
      <c r="G77" s="255"/>
      <c r="H77" s="255"/>
      <c r="I77" s="255"/>
      <c r="J77" s="255"/>
    </row>
    <row r="78" s="253" customFormat="1" ht="27" spans="1:10">
      <c r="A78" s="256" t="s">
        <v>1</v>
      </c>
      <c r="B78" s="256" t="s">
        <v>2</v>
      </c>
      <c r="C78" s="256" t="s">
        <v>3</v>
      </c>
      <c r="D78" s="256" t="s">
        <v>4</v>
      </c>
      <c r="E78" s="256" t="s">
        <v>5</v>
      </c>
      <c r="F78" s="256" t="s">
        <v>6</v>
      </c>
      <c r="G78" s="256" t="s">
        <v>7</v>
      </c>
      <c r="H78" s="256" t="s">
        <v>8</v>
      </c>
      <c r="I78" s="256" t="s">
        <v>9</v>
      </c>
      <c r="J78" s="256" t="s">
        <v>10</v>
      </c>
    </row>
    <row r="79" s="253" customFormat="1" spans="1:10">
      <c r="A79" s="256">
        <v>1</v>
      </c>
      <c r="B79" s="256" t="s">
        <v>15</v>
      </c>
      <c r="C79" s="256" t="s">
        <v>16</v>
      </c>
      <c r="D79" s="256">
        <v>20250401</v>
      </c>
      <c r="E79" s="256">
        <v>50</v>
      </c>
      <c r="F79" s="273">
        <v>800.5</v>
      </c>
      <c r="G79" s="257">
        <f t="shared" ref="G79:G82" si="2">H79/200</f>
        <v>342</v>
      </c>
      <c r="H79" s="257">
        <f>I79*10000/7</f>
        <v>68400</v>
      </c>
      <c r="I79" s="260">
        <v>47.88</v>
      </c>
      <c r="J79" s="257" t="s">
        <v>24</v>
      </c>
    </row>
    <row r="80" s="253" customFormat="1" spans="1:10">
      <c r="A80" s="258"/>
      <c r="B80" s="258"/>
      <c r="C80" s="258"/>
      <c r="D80" s="256">
        <v>20250402</v>
      </c>
      <c r="E80" s="256">
        <v>50</v>
      </c>
      <c r="F80" s="273">
        <v>380.5</v>
      </c>
      <c r="G80" s="257">
        <f>H80/400</f>
        <v>49</v>
      </c>
      <c r="H80" s="257">
        <f>I80*10000/12</f>
        <v>19600</v>
      </c>
      <c r="I80" s="260">
        <v>23.52</v>
      </c>
      <c r="J80" s="257" t="s">
        <v>18</v>
      </c>
    </row>
    <row r="81" s="253" customFormat="1" spans="1:10">
      <c r="A81" s="258"/>
      <c r="B81" s="258"/>
      <c r="C81" s="258"/>
      <c r="D81" s="258"/>
      <c r="E81" s="258"/>
      <c r="F81" s="273">
        <v>230.2</v>
      </c>
      <c r="G81" s="257">
        <f t="shared" si="2"/>
        <v>173</v>
      </c>
      <c r="H81" s="257">
        <f>I81*10000/7</f>
        <v>34600</v>
      </c>
      <c r="I81" s="260">
        <v>24.22</v>
      </c>
      <c r="J81" s="257" t="s">
        <v>24</v>
      </c>
    </row>
    <row r="82" s="253" customFormat="1" spans="1:10">
      <c r="A82" s="258"/>
      <c r="B82" s="258"/>
      <c r="C82" s="258"/>
      <c r="D82" s="256">
        <v>20250403</v>
      </c>
      <c r="E82" s="256">
        <v>50</v>
      </c>
      <c r="F82" s="256">
        <v>601.5</v>
      </c>
      <c r="G82" s="268">
        <f t="shared" si="2"/>
        <v>172</v>
      </c>
      <c r="H82" s="268">
        <f>I82*10000/14</f>
        <v>34400</v>
      </c>
      <c r="I82" s="268">
        <v>48.16</v>
      </c>
      <c r="J82" s="256" t="s">
        <v>74</v>
      </c>
    </row>
    <row r="83" s="253" customFormat="1" spans="1:10">
      <c r="A83" s="256">
        <v>2</v>
      </c>
      <c r="B83" s="256" t="s">
        <v>82</v>
      </c>
      <c r="C83" s="256" t="s">
        <v>62</v>
      </c>
      <c r="D83" s="256">
        <v>20250407</v>
      </c>
      <c r="E83" s="256">
        <v>150</v>
      </c>
      <c r="F83" s="256">
        <v>269.5</v>
      </c>
      <c r="G83" s="257" t="s">
        <v>83</v>
      </c>
      <c r="H83" s="257">
        <f>I83*10000/60</f>
        <v>24950</v>
      </c>
      <c r="I83" s="260">
        <v>149.7</v>
      </c>
      <c r="J83" s="257" t="s">
        <v>84</v>
      </c>
    </row>
    <row r="84" s="253" customFormat="1" ht="24" customHeight="1" spans="1:10">
      <c r="A84" s="280">
        <v>3</v>
      </c>
      <c r="B84" s="280" t="s">
        <v>51</v>
      </c>
      <c r="C84" s="280" t="s">
        <v>52</v>
      </c>
      <c r="D84" s="272">
        <v>20250411</v>
      </c>
      <c r="E84" s="272">
        <v>40</v>
      </c>
      <c r="F84" s="280">
        <v>665</v>
      </c>
      <c r="G84" s="272" t="s">
        <v>85</v>
      </c>
      <c r="H84" s="272">
        <f>I84*10000/24</f>
        <v>15880</v>
      </c>
      <c r="I84" s="272">
        <v>38.112</v>
      </c>
      <c r="J84" s="280" t="s">
        <v>54</v>
      </c>
    </row>
    <row r="85" s="253" customFormat="1" ht="24" customHeight="1" spans="1:10">
      <c r="A85" s="262"/>
      <c r="B85" s="262"/>
      <c r="C85" s="262"/>
      <c r="D85" s="272">
        <v>20250412</v>
      </c>
      <c r="E85" s="272">
        <v>40</v>
      </c>
      <c r="F85" s="262"/>
      <c r="G85" s="272">
        <f>H85/300</f>
        <v>53</v>
      </c>
      <c r="H85" s="272">
        <f>I85*10000/24</f>
        <v>15900</v>
      </c>
      <c r="I85" s="272">
        <v>38.16</v>
      </c>
      <c r="J85" s="262"/>
    </row>
    <row r="86" s="253" customFormat="1" spans="1:10">
      <c r="A86" s="256">
        <v>4</v>
      </c>
      <c r="B86" s="256" t="s">
        <v>86</v>
      </c>
      <c r="C86" s="256" t="s">
        <v>27</v>
      </c>
      <c r="D86" s="256">
        <v>20250415</v>
      </c>
      <c r="E86" s="256">
        <v>100</v>
      </c>
      <c r="F86" s="266">
        <v>609.5</v>
      </c>
      <c r="G86" s="272">
        <f>H86/200</f>
        <v>138</v>
      </c>
      <c r="H86" s="272">
        <f>I86*10000/36</f>
        <v>27600</v>
      </c>
      <c r="I86" s="268">
        <v>99.36</v>
      </c>
      <c r="J86" s="262" t="s">
        <v>87</v>
      </c>
    </row>
    <row r="87" s="253" customFormat="1" spans="1:10">
      <c r="A87" s="258"/>
      <c r="B87" s="258"/>
      <c r="C87" s="258"/>
      <c r="D87" s="256">
        <v>20250409</v>
      </c>
      <c r="E87" s="256">
        <v>100</v>
      </c>
      <c r="F87" s="286">
        <v>1939</v>
      </c>
      <c r="G87" s="272">
        <f>H87/200</f>
        <v>175</v>
      </c>
      <c r="H87" s="272">
        <f>I87*10000/28</f>
        <v>35000</v>
      </c>
      <c r="I87" s="287">
        <v>98</v>
      </c>
      <c r="J87" s="276" t="s">
        <v>88</v>
      </c>
    </row>
    <row r="88" s="253" customFormat="1" spans="1:10">
      <c r="A88" s="258"/>
      <c r="B88" s="258"/>
      <c r="C88" s="258"/>
      <c r="D88" s="256">
        <v>20250427</v>
      </c>
      <c r="E88" s="256">
        <v>100</v>
      </c>
      <c r="F88" s="288"/>
      <c r="G88" s="272">
        <f>H88/200</f>
        <v>175</v>
      </c>
      <c r="H88" s="272">
        <f>I88*10000/28</f>
        <v>35000</v>
      </c>
      <c r="I88" s="256">
        <v>98</v>
      </c>
      <c r="J88" s="276" t="s">
        <v>88</v>
      </c>
    </row>
    <row r="89" s="253" customFormat="1" ht="24" customHeight="1" spans="1:10">
      <c r="A89" s="258"/>
      <c r="B89" s="258"/>
      <c r="C89" s="258"/>
      <c r="D89" s="256">
        <v>20250428</v>
      </c>
      <c r="E89" s="256">
        <v>100</v>
      </c>
      <c r="F89" s="288"/>
      <c r="G89" s="272">
        <f>H89/200</f>
        <v>178</v>
      </c>
      <c r="H89" s="272">
        <f>I89*10000/28</f>
        <v>35600</v>
      </c>
      <c r="I89" s="256">
        <v>99.68</v>
      </c>
      <c r="J89" s="276" t="s">
        <v>88</v>
      </c>
    </row>
    <row r="90" s="253" customFormat="1" ht="24" customHeight="1" spans="1:10">
      <c r="A90" s="258"/>
      <c r="B90" s="258"/>
      <c r="C90" s="258"/>
      <c r="D90" s="256">
        <v>20250429</v>
      </c>
      <c r="E90" s="256">
        <v>100</v>
      </c>
      <c r="F90" s="288"/>
      <c r="G90" s="272">
        <f>H90/200</f>
        <v>178</v>
      </c>
      <c r="H90" s="272">
        <f>I90*10000/28</f>
        <v>35600</v>
      </c>
      <c r="I90" s="256">
        <v>99.68</v>
      </c>
      <c r="J90" s="276" t="s">
        <v>88</v>
      </c>
    </row>
    <row r="91" s="253" customFormat="1" ht="24" customHeight="1" spans="1:10">
      <c r="A91" s="258"/>
      <c r="B91" s="258"/>
      <c r="C91" s="258"/>
      <c r="D91" s="256">
        <v>20250430</v>
      </c>
      <c r="E91" s="256">
        <v>100</v>
      </c>
      <c r="F91" s="288"/>
      <c r="G91" s="272" t="s">
        <v>89</v>
      </c>
      <c r="H91" s="272">
        <f>I91*10000/28</f>
        <v>35560</v>
      </c>
      <c r="I91" s="256">
        <v>99.568</v>
      </c>
      <c r="J91" s="276" t="s">
        <v>88</v>
      </c>
    </row>
    <row r="92" s="253" customFormat="1" ht="24" customHeight="1" spans="1:10">
      <c r="A92" s="277" t="s">
        <v>55</v>
      </c>
      <c r="B92" s="278"/>
      <c r="C92" s="278"/>
      <c r="D92" s="279"/>
      <c r="E92" s="257">
        <f>SUM(E79:E91)</f>
        <v>980</v>
      </c>
      <c r="F92" s="257"/>
      <c r="G92" s="257">
        <f>G79+G80+G81+G82+G85+G86+G87+G88+G89+G90+177+51+52</f>
        <v>1913</v>
      </c>
      <c r="H92" s="257">
        <f>SUM(H79:H91)</f>
        <v>418090</v>
      </c>
      <c r="I92" s="257">
        <f>SUM(I79:I91)</f>
        <v>964.04</v>
      </c>
      <c r="J92" s="262"/>
    </row>
    <row r="93" s="253" customFormat="1" spans="1:10">
      <c r="A93" s="275" t="s">
        <v>56</v>
      </c>
      <c r="B93" s="275"/>
      <c r="C93" s="275"/>
      <c r="D93" s="275"/>
      <c r="E93" s="275"/>
      <c r="F93" s="275"/>
      <c r="G93" s="275"/>
      <c r="H93" s="275"/>
      <c r="I93" s="275" t="s">
        <v>57</v>
      </c>
      <c r="J93" s="275"/>
    </row>
    <row r="94" s="253" customFormat="1" spans="1:10">
      <c r="A94" s="275" t="s">
        <v>90</v>
      </c>
      <c r="B94" s="275"/>
      <c r="C94" s="275"/>
      <c r="D94" s="275"/>
      <c r="E94" s="275"/>
      <c r="F94" s="275"/>
      <c r="G94" s="275"/>
      <c r="H94" s="275"/>
      <c r="I94" s="275" t="s">
        <v>59</v>
      </c>
      <c r="J94" s="275"/>
    </row>
    <row r="95" s="253" customFormat="1" spans="1:10">
      <c r="A95" s="275"/>
      <c r="B95" s="275"/>
      <c r="C95" s="275"/>
      <c r="D95" s="275"/>
      <c r="E95" s="275"/>
      <c r="F95" s="275"/>
      <c r="G95" s="275"/>
      <c r="H95" s="275"/>
      <c r="I95" s="275"/>
      <c r="J95" s="275"/>
    </row>
    <row r="98" s="253" customFormat="1" ht="27" customHeight="1" spans="1:10">
      <c r="A98" s="255" t="s">
        <v>91</v>
      </c>
      <c r="B98" s="255"/>
      <c r="C98" s="255"/>
      <c r="D98" s="255"/>
      <c r="E98" s="255"/>
      <c r="F98" s="255"/>
      <c r="G98" s="255"/>
      <c r="H98" s="255"/>
      <c r="I98" s="255"/>
      <c r="J98" s="255"/>
    </row>
    <row r="99" s="253" customFormat="1" ht="27" spans="1:10">
      <c r="A99" s="256" t="s">
        <v>1</v>
      </c>
      <c r="B99" s="256" t="s">
        <v>2</v>
      </c>
      <c r="C99" s="256" t="s">
        <v>3</v>
      </c>
      <c r="D99" s="256" t="s">
        <v>4</v>
      </c>
      <c r="E99" s="256" t="s">
        <v>5</v>
      </c>
      <c r="F99" s="256" t="s">
        <v>6</v>
      </c>
      <c r="G99" s="256" t="s">
        <v>7</v>
      </c>
      <c r="H99" s="256" t="s">
        <v>8</v>
      </c>
      <c r="I99" s="256" t="s">
        <v>9</v>
      </c>
      <c r="J99" s="256" t="s">
        <v>10</v>
      </c>
    </row>
    <row r="100" s="253" customFormat="1" spans="1:10">
      <c r="A100" s="256">
        <v>1</v>
      </c>
      <c r="B100" s="256" t="s">
        <v>86</v>
      </c>
      <c r="C100" s="256" t="s">
        <v>27</v>
      </c>
      <c r="D100" s="256">
        <v>20250502</v>
      </c>
      <c r="E100" s="256">
        <v>100</v>
      </c>
      <c r="F100" s="280">
        <v>2290.5</v>
      </c>
      <c r="G100" s="272">
        <f>H100/200</f>
        <v>178</v>
      </c>
      <c r="H100" s="272">
        <f>I100*10000/28</f>
        <v>35600</v>
      </c>
      <c r="I100" s="287">
        <v>99.68</v>
      </c>
      <c r="J100" s="289" t="s">
        <v>88</v>
      </c>
    </row>
    <row r="101" s="253" customFormat="1" spans="1:10">
      <c r="A101" s="258"/>
      <c r="B101" s="258"/>
      <c r="C101" s="258"/>
      <c r="D101" s="256">
        <v>20250503</v>
      </c>
      <c r="E101" s="256">
        <v>100</v>
      </c>
      <c r="F101" s="258"/>
      <c r="G101" s="272" t="s">
        <v>92</v>
      </c>
      <c r="H101" s="272">
        <f>I101*10000/28</f>
        <v>35580</v>
      </c>
      <c r="I101" s="287">
        <v>99.624</v>
      </c>
      <c r="J101" s="290"/>
    </row>
    <row r="102" s="253" customFormat="1" spans="1:10">
      <c r="A102" s="258"/>
      <c r="B102" s="258"/>
      <c r="C102" s="258"/>
      <c r="D102" s="256">
        <v>20250504</v>
      </c>
      <c r="E102" s="256">
        <v>100</v>
      </c>
      <c r="F102" s="258"/>
      <c r="G102" s="272" t="s">
        <v>93</v>
      </c>
      <c r="H102" s="272">
        <f t="shared" ref="H101:H105" si="3">I102*10000/28</f>
        <v>35420</v>
      </c>
      <c r="I102" s="256">
        <v>99.176</v>
      </c>
      <c r="J102" s="290"/>
    </row>
    <row r="103" s="253" customFormat="1" ht="24" customHeight="1" spans="1:10">
      <c r="A103" s="258"/>
      <c r="B103" s="258"/>
      <c r="C103" s="258"/>
      <c r="D103" s="256">
        <v>20250505</v>
      </c>
      <c r="E103" s="256">
        <v>100</v>
      </c>
      <c r="F103" s="258"/>
      <c r="G103" s="272" t="s">
        <v>94</v>
      </c>
      <c r="H103" s="272">
        <f t="shared" si="3"/>
        <v>35570</v>
      </c>
      <c r="I103" s="256">
        <v>99.596</v>
      </c>
      <c r="J103" s="290"/>
    </row>
    <row r="104" s="253" customFormat="1" ht="24" customHeight="1" spans="1:10">
      <c r="A104" s="258"/>
      <c r="B104" s="258"/>
      <c r="C104" s="258"/>
      <c r="D104" s="256">
        <v>20250506</v>
      </c>
      <c r="E104" s="256">
        <v>100</v>
      </c>
      <c r="F104" s="258"/>
      <c r="G104" s="272" t="s">
        <v>95</v>
      </c>
      <c r="H104" s="272">
        <f t="shared" si="3"/>
        <v>35630</v>
      </c>
      <c r="I104" s="256">
        <v>99.764</v>
      </c>
      <c r="J104" s="290"/>
    </row>
    <row r="105" s="253" customFormat="1" ht="24" customHeight="1" spans="1:10">
      <c r="A105" s="258"/>
      <c r="B105" s="258"/>
      <c r="C105" s="258"/>
      <c r="D105" s="256">
        <v>20250507</v>
      </c>
      <c r="E105" s="256">
        <v>100</v>
      </c>
      <c r="F105" s="258"/>
      <c r="G105" s="272" t="s">
        <v>96</v>
      </c>
      <c r="H105" s="272">
        <f t="shared" si="3"/>
        <v>26760</v>
      </c>
      <c r="I105" s="256">
        <v>74.928</v>
      </c>
      <c r="J105" s="291"/>
    </row>
    <row r="106" s="253" customFormat="1" spans="1:10">
      <c r="A106" s="256">
        <v>2</v>
      </c>
      <c r="B106" s="256" t="s">
        <v>26</v>
      </c>
      <c r="C106" s="256" t="s">
        <v>27</v>
      </c>
      <c r="D106" s="257">
        <v>20250504</v>
      </c>
      <c r="E106" s="257">
        <v>120</v>
      </c>
      <c r="F106" s="256">
        <v>1452.9</v>
      </c>
      <c r="G106" s="272" t="s">
        <v>97</v>
      </c>
      <c r="H106" s="257">
        <f>I106/24*10000</f>
        <v>48960</v>
      </c>
      <c r="I106" s="257">
        <v>117.504</v>
      </c>
      <c r="J106" s="256" t="s">
        <v>31</v>
      </c>
    </row>
    <row r="107" s="253" customFormat="1" spans="1:10">
      <c r="A107" s="258"/>
      <c r="B107" s="258"/>
      <c r="C107" s="258"/>
      <c r="D107" s="257">
        <v>20250505</v>
      </c>
      <c r="E107" s="257">
        <v>120</v>
      </c>
      <c r="F107" s="262"/>
      <c r="G107" s="272" t="s">
        <v>98</v>
      </c>
      <c r="H107" s="257">
        <f>I107/24*10000</f>
        <v>49320</v>
      </c>
      <c r="I107" s="257">
        <v>118.368</v>
      </c>
      <c r="J107" s="262"/>
    </row>
    <row r="108" s="253" customFormat="1" spans="1:10">
      <c r="A108" s="258"/>
      <c r="B108" s="258"/>
      <c r="C108" s="258"/>
      <c r="D108" s="256">
        <v>20250506</v>
      </c>
      <c r="E108" s="256">
        <v>120</v>
      </c>
      <c r="F108" s="257">
        <v>87</v>
      </c>
      <c r="G108" s="272" t="s">
        <v>99</v>
      </c>
      <c r="H108" s="257">
        <f>I108/24*10000</f>
        <v>6220</v>
      </c>
      <c r="I108" s="257">
        <v>14.928</v>
      </c>
      <c r="J108" s="257" t="s">
        <v>31</v>
      </c>
    </row>
    <row r="109" s="253" customFormat="1" spans="1:10">
      <c r="A109" s="262"/>
      <c r="B109" s="262"/>
      <c r="C109" s="262"/>
      <c r="D109" s="262"/>
      <c r="E109" s="262"/>
      <c r="F109" s="256">
        <v>548.2</v>
      </c>
      <c r="G109" s="272">
        <f>H109/300</f>
        <v>117</v>
      </c>
      <c r="H109" s="257">
        <f>I109/30*10000</f>
        <v>35100</v>
      </c>
      <c r="I109" s="268">
        <v>105.3</v>
      </c>
      <c r="J109" s="257" t="s">
        <v>100</v>
      </c>
    </row>
    <row r="110" s="253" customFormat="1" spans="1:10">
      <c r="A110" s="256">
        <v>3</v>
      </c>
      <c r="B110" s="282" t="s">
        <v>76</v>
      </c>
      <c r="C110" s="282" t="s">
        <v>77</v>
      </c>
      <c r="D110" s="282">
        <v>20250508</v>
      </c>
      <c r="E110" s="282">
        <v>100</v>
      </c>
      <c r="F110" s="282">
        <v>554</v>
      </c>
      <c r="G110" s="272">
        <f>H110/400</f>
        <v>81</v>
      </c>
      <c r="H110" s="282">
        <f>I110/30*10000</f>
        <v>32400</v>
      </c>
      <c r="I110" s="285">
        <v>97.2</v>
      </c>
      <c r="J110" s="282" t="s">
        <v>101</v>
      </c>
    </row>
    <row r="111" s="253" customFormat="1" spans="1:10">
      <c r="A111" s="258"/>
      <c r="B111" s="282" t="s">
        <v>76</v>
      </c>
      <c r="C111" s="282" t="s">
        <v>77</v>
      </c>
      <c r="D111" s="282">
        <v>20250509</v>
      </c>
      <c r="E111" s="282">
        <v>100</v>
      </c>
      <c r="F111" s="282">
        <v>518.5</v>
      </c>
      <c r="G111" s="284">
        <f>H111/400</f>
        <v>101</v>
      </c>
      <c r="H111" s="282">
        <f>I111/24*10000</f>
        <v>40400</v>
      </c>
      <c r="I111" s="285">
        <v>96.96</v>
      </c>
      <c r="J111" s="282" t="s">
        <v>78</v>
      </c>
    </row>
    <row r="112" s="253" customFormat="1" ht="24" customHeight="1" spans="1:10">
      <c r="A112" s="256">
        <v>4</v>
      </c>
      <c r="B112" s="256" t="s">
        <v>15</v>
      </c>
      <c r="C112" s="256" t="s">
        <v>16</v>
      </c>
      <c r="D112" s="263">
        <v>20250510</v>
      </c>
      <c r="E112" s="256">
        <v>50</v>
      </c>
      <c r="F112" s="257">
        <v>444</v>
      </c>
      <c r="G112" s="257">
        <f>H112/300</f>
        <v>99</v>
      </c>
      <c r="H112" s="257">
        <f>I112*10000/5</f>
        <v>29700</v>
      </c>
      <c r="I112" s="260">
        <v>14.85</v>
      </c>
      <c r="J112" s="257" t="s">
        <v>66</v>
      </c>
    </row>
    <row r="113" s="253" customFormat="1" ht="24" customHeight="1" spans="1:10">
      <c r="A113" s="258"/>
      <c r="B113" s="258"/>
      <c r="C113" s="258"/>
      <c r="D113" s="259"/>
      <c r="E113" s="262"/>
      <c r="F113" s="257">
        <v>441.5</v>
      </c>
      <c r="G113" s="257">
        <f>H113/200</f>
        <v>241</v>
      </c>
      <c r="H113" s="257">
        <f>I113*10000/7</f>
        <v>48200</v>
      </c>
      <c r="I113" s="260">
        <v>33.74</v>
      </c>
      <c r="J113" s="257" t="s">
        <v>24</v>
      </c>
    </row>
    <row r="114" s="253" customFormat="1" ht="24" customHeight="1" spans="1:10">
      <c r="A114" s="258"/>
      <c r="B114" s="258"/>
      <c r="C114" s="258"/>
      <c r="D114" s="257">
        <v>20250511</v>
      </c>
      <c r="E114" s="257">
        <v>50</v>
      </c>
      <c r="F114" s="257">
        <v>668.5</v>
      </c>
      <c r="G114" s="257" t="s">
        <v>102</v>
      </c>
      <c r="H114" s="257">
        <f>I114*10000/7</f>
        <v>69940</v>
      </c>
      <c r="I114" s="260">
        <v>48.958</v>
      </c>
      <c r="J114" s="257" t="s">
        <v>24</v>
      </c>
    </row>
    <row r="115" s="253" customFormat="1" ht="24" customHeight="1" spans="1:10">
      <c r="A115" s="258"/>
      <c r="B115" s="258"/>
      <c r="C115" s="258"/>
      <c r="D115" s="256">
        <v>20250512</v>
      </c>
      <c r="E115" s="256">
        <v>50</v>
      </c>
      <c r="F115" s="257">
        <v>383.5</v>
      </c>
      <c r="G115" s="257" t="s">
        <v>103</v>
      </c>
      <c r="H115" s="257">
        <f>I115*10000/12</f>
        <v>18550</v>
      </c>
      <c r="I115" s="260">
        <v>22.26</v>
      </c>
      <c r="J115" s="257" t="s">
        <v>18</v>
      </c>
    </row>
    <row r="116" s="253" customFormat="1" ht="24" customHeight="1" spans="1:10">
      <c r="A116" s="258"/>
      <c r="B116" s="258"/>
      <c r="C116" s="258"/>
      <c r="D116" s="262"/>
      <c r="E116" s="262"/>
      <c r="F116" s="257">
        <v>236.7</v>
      </c>
      <c r="G116" s="257" t="s">
        <v>104</v>
      </c>
      <c r="H116" s="257">
        <f t="shared" ref="H113:H117" si="4">I116*10000/7</f>
        <v>36970</v>
      </c>
      <c r="I116" s="260">
        <v>25.879</v>
      </c>
      <c r="J116" s="257" t="s">
        <v>24</v>
      </c>
    </row>
    <row r="117" s="253" customFormat="1" ht="33" customHeight="1" spans="1:10">
      <c r="A117" s="258"/>
      <c r="B117" s="258"/>
      <c r="C117" s="258"/>
      <c r="D117" s="259">
        <v>20250525</v>
      </c>
      <c r="E117" s="262">
        <v>50</v>
      </c>
      <c r="F117" s="256">
        <v>638</v>
      </c>
      <c r="G117" s="257" t="s">
        <v>105</v>
      </c>
      <c r="H117" s="257">
        <f t="shared" si="4"/>
        <v>68850</v>
      </c>
      <c r="I117" s="260">
        <v>48.195</v>
      </c>
      <c r="J117" s="256" t="s">
        <v>24</v>
      </c>
    </row>
    <row r="118" s="253" customFormat="1" ht="33" customHeight="1" spans="1:10">
      <c r="A118" s="258"/>
      <c r="B118" s="258"/>
      <c r="C118" s="258"/>
      <c r="D118" s="259">
        <v>20250526</v>
      </c>
      <c r="E118" s="262">
        <v>50</v>
      </c>
      <c r="F118" s="257">
        <v>444.5</v>
      </c>
      <c r="G118" s="257" t="s">
        <v>106</v>
      </c>
      <c r="H118" s="257">
        <v>69350</v>
      </c>
      <c r="I118" s="260">
        <v>48.545</v>
      </c>
      <c r="J118" s="262"/>
    </row>
    <row r="119" s="253" customFormat="1" ht="33" customHeight="1" spans="1:10">
      <c r="A119" s="256">
        <v>5</v>
      </c>
      <c r="B119" s="257" t="s">
        <v>42</v>
      </c>
      <c r="C119" s="257" t="s">
        <v>43</v>
      </c>
      <c r="D119" s="259">
        <v>20250513</v>
      </c>
      <c r="E119" s="257">
        <v>500</v>
      </c>
      <c r="F119" s="257">
        <v>483.7</v>
      </c>
      <c r="G119" s="257" t="s">
        <v>107</v>
      </c>
      <c r="H119" s="257">
        <f>I119*10000/100</f>
        <v>50350</v>
      </c>
      <c r="I119" s="260">
        <v>503.5</v>
      </c>
      <c r="J119" s="257" t="s">
        <v>39</v>
      </c>
    </row>
    <row r="120" s="253" customFormat="1" ht="24" customHeight="1" spans="1:10">
      <c r="A120" s="256">
        <v>6</v>
      </c>
      <c r="B120" s="256" t="s">
        <v>82</v>
      </c>
      <c r="C120" s="256" t="s">
        <v>62</v>
      </c>
      <c r="D120" s="256">
        <v>20250515</v>
      </c>
      <c r="E120" s="256">
        <v>150</v>
      </c>
      <c r="F120" s="256">
        <v>889.5</v>
      </c>
      <c r="G120" s="257" t="s">
        <v>108</v>
      </c>
      <c r="H120" s="257">
        <f>I120*10000/60</f>
        <v>25450</v>
      </c>
      <c r="I120" s="260">
        <v>152.7</v>
      </c>
      <c r="J120" s="256" t="s">
        <v>84</v>
      </c>
    </row>
    <row r="121" s="253" customFormat="1" ht="24" customHeight="1" spans="1:10">
      <c r="A121" s="258"/>
      <c r="B121" s="258"/>
      <c r="C121" s="258"/>
      <c r="D121" s="256">
        <v>20250516</v>
      </c>
      <c r="E121" s="256">
        <v>150</v>
      </c>
      <c r="F121" s="258"/>
      <c r="G121" s="257" t="s">
        <v>109</v>
      </c>
      <c r="H121" s="257">
        <f>I121*10000/60</f>
        <v>24800</v>
      </c>
      <c r="I121" s="260">
        <v>148.8</v>
      </c>
      <c r="J121" s="258"/>
    </row>
    <row r="122" s="253" customFormat="1" ht="24" customHeight="1" spans="1:10">
      <c r="A122" s="258"/>
      <c r="B122" s="258"/>
      <c r="C122" s="258"/>
      <c r="D122" s="256">
        <v>20250517</v>
      </c>
      <c r="E122" s="256">
        <v>150</v>
      </c>
      <c r="F122" s="258"/>
      <c r="G122" s="257" t="s">
        <v>110</v>
      </c>
      <c r="H122" s="257">
        <f>I122*10000/60</f>
        <v>24980</v>
      </c>
      <c r="I122" s="260">
        <v>149.88</v>
      </c>
      <c r="J122" s="258"/>
    </row>
    <row r="123" s="253" customFormat="1" ht="24" customHeight="1" spans="1:10">
      <c r="A123" s="258"/>
      <c r="B123" s="258"/>
      <c r="C123" s="258"/>
      <c r="D123" s="256">
        <v>20250518</v>
      </c>
      <c r="E123" s="256">
        <v>150</v>
      </c>
      <c r="F123" s="258"/>
      <c r="G123" s="257" t="s">
        <v>111</v>
      </c>
      <c r="H123" s="257">
        <f>I123*10000/60</f>
        <v>25330</v>
      </c>
      <c r="I123" s="260">
        <v>151.98</v>
      </c>
      <c r="J123" s="258"/>
    </row>
    <row r="124" s="253" customFormat="1" ht="24" customHeight="1" spans="1:10">
      <c r="A124" s="258"/>
      <c r="B124" s="258"/>
      <c r="C124" s="258"/>
      <c r="D124" s="256">
        <v>20250519</v>
      </c>
      <c r="E124" s="256">
        <v>150</v>
      </c>
      <c r="F124" s="258"/>
      <c r="G124" s="257" t="s">
        <v>112</v>
      </c>
      <c r="H124" s="257">
        <f>I124*10000/60</f>
        <v>25490</v>
      </c>
      <c r="I124" s="260">
        <v>152.94</v>
      </c>
      <c r="J124" s="258"/>
    </row>
    <row r="125" s="253" customFormat="1" ht="24" customHeight="1" spans="1:10">
      <c r="A125" s="256">
        <v>7</v>
      </c>
      <c r="B125" s="272" t="s">
        <v>51</v>
      </c>
      <c r="C125" s="272" t="s">
        <v>52</v>
      </c>
      <c r="D125" s="272">
        <v>20250522</v>
      </c>
      <c r="E125" s="272">
        <v>40</v>
      </c>
      <c r="F125" s="272">
        <v>445.5</v>
      </c>
      <c r="G125" s="272" t="s">
        <v>113</v>
      </c>
      <c r="H125" s="272">
        <f>I125*10000/24</f>
        <v>15080</v>
      </c>
      <c r="I125" s="272">
        <v>36.192</v>
      </c>
      <c r="J125" s="272" t="s">
        <v>54</v>
      </c>
    </row>
    <row r="126" s="253" customFormat="1" ht="24" customHeight="1" spans="1:10">
      <c r="A126" s="256">
        <v>8</v>
      </c>
      <c r="B126" s="257" t="s">
        <v>61</v>
      </c>
      <c r="C126" s="257" t="s">
        <v>62</v>
      </c>
      <c r="D126" s="257">
        <v>20250523</v>
      </c>
      <c r="E126" s="257">
        <v>500</v>
      </c>
      <c r="F126" s="257">
        <v>604.1</v>
      </c>
      <c r="G126" s="257" t="s">
        <v>114</v>
      </c>
      <c r="H126" s="257">
        <f>I126*10000/100</f>
        <v>48640</v>
      </c>
      <c r="I126" s="257">
        <v>486.4</v>
      </c>
      <c r="J126" s="257" t="s">
        <v>39</v>
      </c>
    </row>
    <row r="127" s="253" customFormat="1" ht="24" customHeight="1" spans="1:10">
      <c r="A127" s="277" t="s">
        <v>55</v>
      </c>
      <c r="B127" s="278"/>
      <c r="C127" s="278"/>
      <c r="D127" s="279"/>
      <c r="E127" s="257">
        <f>SUM(E100:E105)</f>
        <v>600</v>
      </c>
      <c r="F127" s="257"/>
      <c r="G127" s="257" t="s">
        <v>115</v>
      </c>
      <c r="H127" s="257">
        <f>SUM(H100:H105)</f>
        <v>204560</v>
      </c>
      <c r="I127" s="257">
        <f>SUM(I100:I105)</f>
        <v>572.768</v>
      </c>
      <c r="J127" s="262"/>
    </row>
    <row r="128" s="253" customFormat="1" spans="1:10">
      <c r="A128" s="275" t="s">
        <v>56</v>
      </c>
      <c r="B128" s="275"/>
      <c r="C128" s="275"/>
      <c r="D128" s="275"/>
      <c r="E128" s="275"/>
      <c r="F128" s="275"/>
      <c r="G128" s="275"/>
      <c r="H128" s="275"/>
      <c r="I128" s="275" t="s">
        <v>57</v>
      </c>
      <c r="J128" s="275"/>
    </row>
    <row r="129" s="253" customFormat="1" spans="1:10">
      <c r="A129" s="275" t="s">
        <v>116</v>
      </c>
      <c r="B129" s="275"/>
      <c r="C129" s="275"/>
      <c r="D129" s="275"/>
      <c r="E129" s="275"/>
      <c r="F129" s="275"/>
      <c r="G129" s="275"/>
      <c r="H129" s="275"/>
      <c r="I129" s="275" t="s">
        <v>59</v>
      </c>
      <c r="J129" s="275"/>
    </row>
    <row r="130" s="253" customFormat="1" spans="1:1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</row>
    <row r="134" s="253" customFormat="1" ht="27" customHeight="1" spans="1:10">
      <c r="A134" s="255" t="s">
        <v>117</v>
      </c>
      <c r="B134" s="255"/>
      <c r="C134" s="255"/>
      <c r="D134" s="255"/>
      <c r="E134" s="255"/>
      <c r="F134" s="255"/>
      <c r="G134" s="255"/>
      <c r="H134" s="255"/>
      <c r="I134" s="255"/>
      <c r="J134" s="255"/>
    </row>
    <row r="135" s="253" customFormat="1" ht="27" spans="1:10">
      <c r="A135" s="256" t="s">
        <v>1</v>
      </c>
      <c r="B135" s="256" t="s">
        <v>2</v>
      </c>
      <c r="C135" s="256" t="s">
        <v>3</v>
      </c>
      <c r="D135" s="256" t="s">
        <v>4</v>
      </c>
      <c r="E135" s="256" t="s">
        <v>5</v>
      </c>
      <c r="F135" s="256" t="s">
        <v>6</v>
      </c>
      <c r="G135" s="256" t="s">
        <v>7</v>
      </c>
      <c r="H135" s="256" t="s">
        <v>8</v>
      </c>
      <c r="I135" s="256" t="s">
        <v>9</v>
      </c>
      <c r="J135" s="256" t="s">
        <v>10</v>
      </c>
    </row>
    <row r="136" s="253" customFormat="1" spans="1:10">
      <c r="A136" s="256"/>
      <c r="B136" s="256" t="s">
        <v>15</v>
      </c>
      <c r="C136" s="256" t="s">
        <v>16</v>
      </c>
      <c r="D136" s="256">
        <v>20250526</v>
      </c>
      <c r="E136" s="256"/>
      <c r="F136" s="256">
        <v>171.3</v>
      </c>
      <c r="G136" s="256"/>
      <c r="H136" s="256"/>
      <c r="I136" s="256"/>
      <c r="J136" s="256" t="s">
        <v>24</v>
      </c>
    </row>
    <row r="137" s="253" customFormat="1" ht="25" customHeight="1" spans="1:10">
      <c r="A137" s="257">
        <v>1</v>
      </c>
      <c r="B137" s="282" t="s">
        <v>76</v>
      </c>
      <c r="C137" s="282" t="s">
        <v>77</v>
      </c>
      <c r="D137" s="282">
        <v>20250604</v>
      </c>
      <c r="E137" s="282">
        <v>100</v>
      </c>
      <c r="F137" s="282">
        <v>554</v>
      </c>
      <c r="G137" s="257" t="s">
        <v>118</v>
      </c>
      <c r="H137" s="282">
        <f>I137/30*10000</f>
        <v>32350</v>
      </c>
      <c r="I137" s="282">
        <v>97.05</v>
      </c>
      <c r="J137" s="282" t="s">
        <v>101</v>
      </c>
    </row>
    <row r="138" s="253" customFormat="1" ht="24" customHeight="1" spans="1:10">
      <c r="A138" s="256">
        <v>2</v>
      </c>
      <c r="B138" s="256" t="s">
        <v>15</v>
      </c>
      <c r="C138" s="256" t="s">
        <v>16</v>
      </c>
      <c r="D138" s="257">
        <v>20250605</v>
      </c>
      <c r="E138" s="257">
        <v>50</v>
      </c>
      <c r="F138" s="257">
        <v>800.5</v>
      </c>
      <c r="G138" s="257">
        <v>343</v>
      </c>
      <c r="H138" s="257">
        <f>I138*10000/7</f>
        <v>68600</v>
      </c>
      <c r="I138" s="257">
        <v>48.02</v>
      </c>
      <c r="J138" s="257" t="s">
        <v>24</v>
      </c>
    </row>
    <row r="139" s="253" customFormat="1" ht="24" customHeight="1" spans="1:10">
      <c r="A139" s="258"/>
      <c r="B139" s="258"/>
      <c r="C139" s="258"/>
      <c r="D139" s="257">
        <v>20250606</v>
      </c>
      <c r="E139" s="257">
        <v>50</v>
      </c>
      <c r="F139" s="257">
        <v>279.5</v>
      </c>
      <c r="G139" s="257">
        <f>H139/400</f>
        <v>50</v>
      </c>
      <c r="H139" s="257">
        <f>I139*10000/10</f>
        <v>20000</v>
      </c>
      <c r="I139" s="257">
        <v>20</v>
      </c>
      <c r="J139" s="257" t="s">
        <v>119</v>
      </c>
    </row>
    <row r="140" s="253" customFormat="1" ht="24" customHeight="1" spans="1:10">
      <c r="A140" s="258"/>
      <c r="B140" s="258"/>
      <c r="C140" s="258"/>
      <c r="D140" s="257"/>
      <c r="E140" s="257"/>
      <c r="F140" s="257">
        <v>296.5</v>
      </c>
      <c r="G140" s="257">
        <f>H140/200</f>
        <v>194</v>
      </c>
      <c r="H140" s="257">
        <f>I140*10000/7</f>
        <v>38800</v>
      </c>
      <c r="I140" s="257">
        <v>27.16</v>
      </c>
      <c r="J140" s="257" t="s">
        <v>24</v>
      </c>
    </row>
    <row r="141" s="253" customFormat="1" ht="24" customHeight="1" spans="1:10">
      <c r="A141" s="258"/>
      <c r="B141" s="258"/>
      <c r="C141" s="258"/>
      <c r="D141" s="257">
        <v>20250607</v>
      </c>
      <c r="E141" s="256">
        <v>50</v>
      </c>
      <c r="F141" s="256">
        <v>1253.5</v>
      </c>
      <c r="G141" s="257" t="s">
        <v>105</v>
      </c>
      <c r="H141" s="257">
        <f>I141*10000/7</f>
        <v>68850</v>
      </c>
      <c r="I141" s="257">
        <v>48.195</v>
      </c>
      <c r="J141" s="257" t="s">
        <v>24</v>
      </c>
    </row>
    <row r="142" s="253" customFormat="1" ht="24" customHeight="1" spans="1:10">
      <c r="A142" s="258"/>
      <c r="B142" s="258"/>
      <c r="C142" s="258"/>
      <c r="D142" s="257">
        <v>20250608</v>
      </c>
      <c r="E142" s="262"/>
      <c r="F142" s="262"/>
      <c r="G142" s="257" t="s">
        <v>120</v>
      </c>
      <c r="H142" s="257">
        <f>I142*10000/7</f>
        <v>69880</v>
      </c>
      <c r="I142" s="257">
        <v>48.916</v>
      </c>
      <c r="J142" s="257" t="s">
        <v>24</v>
      </c>
    </row>
    <row r="143" s="253" customFormat="1" ht="24" customHeight="1" spans="1:10">
      <c r="A143" s="262"/>
      <c r="B143" s="262"/>
      <c r="C143" s="262"/>
      <c r="D143" s="257">
        <v>20250609</v>
      </c>
      <c r="E143" s="257">
        <v>50</v>
      </c>
      <c r="F143" s="257">
        <v>601.5</v>
      </c>
      <c r="G143" s="257" t="s">
        <v>121</v>
      </c>
      <c r="H143" s="257">
        <f>I143*10000/14</f>
        <v>34350</v>
      </c>
      <c r="I143" s="257">
        <v>48.09</v>
      </c>
      <c r="J143" s="257" t="s">
        <v>74</v>
      </c>
    </row>
    <row r="144" s="253" customFormat="1" ht="27" customHeight="1" spans="1:10">
      <c r="A144" s="257">
        <v>3</v>
      </c>
      <c r="B144" s="257" t="s">
        <v>42</v>
      </c>
      <c r="C144" s="257" t="s">
        <v>43</v>
      </c>
      <c r="D144" s="257">
        <v>20250610</v>
      </c>
      <c r="E144" s="257">
        <v>500</v>
      </c>
      <c r="F144" s="257">
        <v>484.8</v>
      </c>
      <c r="G144" s="257" t="s">
        <v>122</v>
      </c>
      <c r="H144" s="257">
        <f>I144*10000/100</f>
        <v>50790</v>
      </c>
      <c r="I144" s="257">
        <v>507.9</v>
      </c>
      <c r="J144" s="257" t="s">
        <v>39</v>
      </c>
    </row>
    <row r="145" s="253" customFormat="1" ht="24" customHeight="1" spans="1:10">
      <c r="A145" s="256">
        <v>4</v>
      </c>
      <c r="B145" s="257" t="s">
        <v>51</v>
      </c>
      <c r="C145" s="257" t="s">
        <v>52</v>
      </c>
      <c r="D145" s="257">
        <v>20250611</v>
      </c>
      <c r="E145" s="257">
        <v>40</v>
      </c>
      <c r="F145" s="257">
        <v>318.5</v>
      </c>
      <c r="G145" s="257" t="s">
        <v>123</v>
      </c>
      <c r="H145" s="257">
        <f>I145*10000/24</f>
        <v>15730</v>
      </c>
      <c r="I145" s="257">
        <v>37.752</v>
      </c>
      <c r="J145" s="257" t="s">
        <v>54</v>
      </c>
    </row>
    <row r="146" s="253" customFormat="1" ht="24" customHeight="1" spans="1:10">
      <c r="A146" s="262"/>
      <c r="B146" s="257"/>
      <c r="C146" s="257"/>
      <c r="D146" s="257">
        <v>20250612</v>
      </c>
      <c r="E146" s="257">
        <v>40</v>
      </c>
      <c r="F146" s="257">
        <v>445.5</v>
      </c>
      <c r="G146" s="257" t="s">
        <v>124</v>
      </c>
      <c r="H146" s="257">
        <f>I146*10000/36</f>
        <v>10370</v>
      </c>
      <c r="I146" s="257">
        <v>37.332</v>
      </c>
      <c r="J146" s="257" t="s">
        <v>125</v>
      </c>
    </row>
    <row r="147" s="253" customFormat="1" ht="24" customHeight="1" spans="1:10">
      <c r="A147" s="256">
        <v>5</v>
      </c>
      <c r="B147" s="256" t="s">
        <v>26</v>
      </c>
      <c r="C147" s="256" t="s">
        <v>27</v>
      </c>
      <c r="D147" s="257">
        <v>20250613</v>
      </c>
      <c r="E147" s="257">
        <v>120</v>
      </c>
      <c r="F147" s="257">
        <v>405</v>
      </c>
      <c r="G147" s="257" t="s">
        <v>126</v>
      </c>
      <c r="H147" s="257">
        <f>I147*10000/20</f>
        <v>40640</v>
      </c>
      <c r="I147" s="257">
        <v>81.28</v>
      </c>
      <c r="J147" s="257" t="s">
        <v>33</v>
      </c>
    </row>
    <row r="148" s="253" customFormat="1" ht="24" customHeight="1" spans="1:10">
      <c r="A148" s="262"/>
      <c r="B148" s="262"/>
      <c r="C148" s="262"/>
      <c r="D148" s="257"/>
      <c r="E148" s="257"/>
      <c r="F148" s="257">
        <v>427</v>
      </c>
      <c r="G148" s="257">
        <f>H148/300</f>
        <v>72</v>
      </c>
      <c r="H148" s="257">
        <f>I148/18*10000</f>
        <v>21600</v>
      </c>
      <c r="I148" s="257">
        <v>38.88</v>
      </c>
      <c r="J148" s="257" t="s">
        <v>127</v>
      </c>
    </row>
    <row r="149" s="253" customFormat="1" ht="24" customHeight="1" spans="1:10">
      <c r="A149" s="256">
        <v>6</v>
      </c>
      <c r="B149" s="256" t="s">
        <v>36</v>
      </c>
      <c r="C149" s="256" t="s">
        <v>37</v>
      </c>
      <c r="D149" s="257">
        <v>20250617</v>
      </c>
      <c r="E149" s="257">
        <v>500</v>
      </c>
      <c r="F149" s="256">
        <v>689.6</v>
      </c>
      <c r="G149" s="257">
        <f>H149/480</f>
        <v>103</v>
      </c>
      <c r="H149" s="257">
        <f>I149*10000/100</f>
        <v>49440</v>
      </c>
      <c r="I149" s="257">
        <v>494.4</v>
      </c>
      <c r="J149" s="257" t="s">
        <v>39</v>
      </c>
    </row>
    <row r="150" s="253" customFormat="1" ht="24" customHeight="1" spans="1:10">
      <c r="A150" s="262"/>
      <c r="B150" s="262"/>
      <c r="C150" s="262"/>
      <c r="D150" s="257">
        <v>20250618</v>
      </c>
      <c r="E150" s="257">
        <v>500</v>
      </c>
      <c r="F150" s="262"/>
      <c r="G150" s="257" t="s">
        <v>128</v>
      </c>
      <c r="H150" s="257">
        <f>I150*10000/100</f>
        <v>49580</v>
      </c>
      <c r="I150" s="257">
        <v>495.8</v>
      </c>
      <c r="J150" s="257"/>
    </row>
    <row r="151" s="253" customFormat="1" ht="24" customHeight="1" spans="1:10">
      <c r="A151" s="258">
        <v>7</v>
      </c>
      <c r="B151" s="258" t="s">
        <v>15</v>
      </c>
      <c r="C151" s="258" t="s">
        <v>16</v>
      </c>
      <c r="D151" s="263">
        <v>20250621</v>
      </c>
      <c r="E151" s="258">
        <v>50</v>
      </c>
      <c r="F151" s="257">
        <v>445</v>
      </c>
      <c r="G151" s="262">
        <f>H151/400</f>
        <v>80</v>
      </c>
      <c r="H151" s="262">
        <f>I151*10000/8</f>
        <v>32000</v>
      </c>
      <c r="I151" s="265">
        <v>25.6</v>
      </c>
      <c r="J151" s="262" t="s">
        <v>22</v>
      </c>
    </row>
    <row r="152" s="253" customFormat="1" ht="24" customHeight="1" spans="1:10">
      <c r="A152" s="258"/>
      <c r="B152" s="258"/>
      <c r="C152" s="258"/>
      <c r="D152" s="259"/>
      <c r="E152" s="262"/>
      <c r="F152" s="257">
        <v>410.2</v>
      </c>
      <c r="G152" s="257">
        <f>H152/200</f>
        <v>166</v>
      </c>
      <c r="H152" s="257">
        <f>I152*10000/7</f>
        <v>33200</v>
      </c>
      <c r="I152" s="260">
        <v>23.24</v>
      </c>
      <c r="J152" s="257" t="s">
        <v>24</v>
      </c>
    </row>
    <row r="153" s="253" customFormat="1" ht="24" customHeight="1" spans="1:10">
      <c r="A153" s="258"/>
      <c r="B153" s="258"/>
      <c r="C153" s="258"/>
      <c r="D153" s="257">
        <v>20250622</v>
      </c>
      <c r="E153" s="257">
        <v>50</v>
      </c>
      <c r="F153" s="257">
        <v>695.5</v>
      </c>
      <c r="G153" s="257" t="s">
        <v>129</v>
      </c>
      <c r="H153" s="257">
        <f>I153*10000/7</f>
        <v>70670</v>
      </c>
      <c r="I153" s="257">
        <v>49.469</v>
      </c>
      <c r="J153" s="257" t="s">
        <v>24</v>
      </c>
    </row>
    <row r="154" s="253" customFormat="1" ht="24" customHeight="1" spans="1:10">
      <c r="A154" s="258"/>
      <c r="B154" s="258"/>
      <c r="C154" s="258"/>
      <c r="D154" s="257">
        <v>20250623</v>
      </c>
      <c r="E154" s="257">
        <v>50</v>
      </c>
      <c r="F154" s="257">
        <v>557</v>
      </c>
      <c r="G154" s="257">
        <f>H154/400</f>
        <v>100</v>
      </c>
      <c r="H154" s="257">
        <f>I154*10000/12</f>
        <v>40000</v>
      </c>
      <c r="I154" s="257">
        <v>48</v>
      </c>
      <c r="J154" s="257" t="s">
        <v>18</v>
      </c>
    </row>
    <row r="155" s="253" customFormat="1" ht="24" customHeight="1" spans="1:10">
      <c r="A155" s="281">
        <v>8</v>
      </c>
      <c r="B155" s="257" t="s">
        <v>63</v>
      </c>
      <c r="C155" s="257" t="s">
        <v>64</v>
      </c>
      <c r="D155" s="259">
        <v>20250624</v>
      </c>
      <c r="E155" s="257">
        <v>250</v>
      </c>
      <c r="F155" s="257">
        <v>266.5</v>
      </c>
      <c r="G155" s="257" t="s">
        <v>130</v>
      </c>
      <c r="H155" s="257">
        <f>I155*10000/100</f>
        <v>24570</v>
      </c>
      <c r="I155" s="260">
        <v>245.7</v>
      </c>
      <c r="J155" s="257" t="s">
        <v>65</v>
      </c>
    </row>
    <row r="156" s="253" customFormat="1" ht="24" customHeight="1" spans="1:10">
      <c r="A156" s="256">
        <v>9</v>
      </c>
      <c r="B156" s="272" t="s">
        <v>51</v>
      </c>
      <c r="C156" s="272" t="s">
        <v>52</v>
      </c>
      <c r="D156" s="272">
        <v>20250626</v>
      </c>
      <c r="E156" s="272">
        <v>40</v>
      </c>
      <c r="F156" s="272">
        <v>445.5</v>
      </c>
      <c r="G156" s="272" t="s">
        <v>131</v>
      </c>
      <c r="H156" s="272">
        <f>I156*10000/24</f>
        <v>15240</v>
      </c>
      <c r="I156" s="272">
        <v>36.576</v>
      </c>
      <c r="J156" s="272" t="s">
        <v>54</v>
      </c>
    </row>
    <row r="157" s="253" customFormat="1" ht="24" customHeight="1" spans="1:10">
      <c r="A157" s="257">
        <v>10</v>
      </c>
      <c r="B157" s="257" t="s">
        <v>44</v>
      </c>
      <c r="C157" s="257" t="s">
        <v>45</v>
      </c>
      <c r="D157" s="257">
        <v>20250630</v>
      </c>
      <c r="E157" s="257">
        <v>35</v>
      </c>
      <c r="F157" s="292"/>
      <c r="G157" s="268"/>
      <c r="H157" s="268"/>
      <c r="I157" s="268"/>
      <c r="J157" s="268" t="s">
        <v>47</v>
      </c>
    </row>
    <row r="158" s="253" customFormat="1" ht="24" customHeight="1" spans="1:10">
      <c r="A158" s="257"/>
      <c r="B158" s="257"/>
      <c r="C158" s="257"/>
      <c r="D158" s="257"/>
      <c r="E158" s="257"/>
      <c r="F158" s="261"/>
      <c r="G158" s="257"/>
      <c r="H158" s="257"/>
      <c r="I158" s="257"/>
      <c r="J158" s="268" t="s">
        <v>49</v>
      </c>
    </row>
    <row r="159" s="253" customFormat="1" ht="24" customHeight="1" spans="1:10">
      <c r="A159" s="293" t="s">
        <v>55</v>
      </c>
      <c r="B159" s="294"/>
      <c r="C159" s="294"/>
      <c r="D159" s="295"/>
      <c r="E159" s="262">
        <f t="shared" ref="E159:I159" si="5">SUM(E137:E157)</f>
        <v>2475</v>
      </c>
      <c r="F159" s="257">
        <f t="shared" si="5"/>
        <v>9375.6</v>
      </c>
      <c r="G159" s="257"/>
      <c r="H159" s="257">
        <f t="shared" si="5"/>
        <v>786660</v>
      </c>
      <c r="I159" s="257">
        <f t="shared" si="5"/>
        <v>2459.36</v>
      </c>
      <c r="J159" s="262"/>
    </row>
    <row r="160" s="253" customFormat="1" spans="1:10">
      <c r="A160" s="275" t="s">
        <v>56</v>
      </c>
      <c r="B160" s="275"/>
      <c r="C160" s="275"/>
      <c r="D160" s="275"/>
      <c r="E160" s="275"/>
      <c r="F160" s="275"/>
      <c r="G160" s="275"/>
      <c r="H160" s="275"/>
      <c r="I160" s="275" t="s">
        <v>57</v>
      </c>
      <c r="J160" s="275"/>
    </row>
    <row r="161" s="253" customFormat="1" spans="1:10">
      <c r="A161" s="275" t="s">
        <v>132</v>
      </c>
      <c r="B161" s="275"/>
      <c r="C161" s="275"/>
      <c r="D161" s="275"/>
      <c r="E161" s="275"/>
      <c r="F161" s="275"/>
      <c r="G161" s="275"/>
      <c r="H161" s="275"/>
      <c r="I161" s="275" t="s">
        <v>59</v>
      </c>
      <c r="J161" s="275"/>
    </row>
    <row r="162" s="253" customFormat="1" spans="1:10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</row>
    <row r="166" s="253" customFormat="1" ht="27" customHeight="1" spans="1:10">
      <c r="A166" s="255" t="s">
        <v>133</v>
      </c>
      <c r="B166" s="255"/>
      <c r="C166" s="255"/>
      <c r="D166" s="255"/>
      <c r="E166" s="255"/>
      <c r="F166" s="255"/>
      <c r="G166" s="255"/>
      <c r="H166" s="255"/>
      <c r="I166" s="255"/>
      <c r="J166" s="255"/>
    </row>
    <row r="167" s="253" customFormat="1" ht="27" spans="1:10">
      <c r="A167" s="256" t="s">
        <v>1</v>
      </c>
      <c r="B167" s="256" t="s">
        <v>2</v>
      </c>
      <c r="C167" s="256" t="s">
        <v>3</v>
      </c>
      <c r="D167" s="256" t="s">
        <v>4</v>
      </c>
      <c r="E167" s="256" t="s">
        <v>5</v>
      </c>
      <c r="F167" s="256" t="s">
        <v>6</v>
      </c>
      <c r="G167" s="256" t="s">
        <v>7</v>
      </c>
      <c r="H167" s="256" t="s">
        <v>8</v>
      </c>
      <c r="I167" s="256" t="s">
        <v>9</v>
      </c>
      <c r="J167" s="256" t="s">
        <v>10</v>
      </c>
    </row>
    <row r="168" s="253" customFormat="1" ht="24" customHeight="1" spans="1:10">
      <c r="A168" s="257">
        <v>1</v>
      </c>
      <c r="B168" s="257" t="s">
        <v>44</v>
      </c>
      <c r="C168" s="257" t="s">
        <v>45</v>
      </c>
      <c r="D168" s="257">
        <v>20250630</v>
      </c>
      <c r="E168" s="257">
        <v>35</v>
      </c>
      <c r="F168" s="292">
        <v>406.2</v>
      </c>
      <c r="G168" s="268">
        <f>H168/300</f>
        <v>72</v>
      </c>
      <c r="H168" s="268">
        <f>I168/6*10000</f>
        <v>21600</v>
      </c>
      <c r="I168" s="268">
        <v>12.96</v>
      </c>
      <c r="J168" s="268" t="s">
        <v>47</v>
      </c>
    </row>
    <row r="169" s="253" customFormat="1" ht="24" customHeight="1" spans="1:10">
      <c r="A169" s="257"/>
      <c r="B169" s="257"/>
      <c r="C169" s="257"/>
      <c r="D169" s="257"/>
      <c r="E169" s="257"/>
      <c r="F169" s="261">
        <v>231.5</v>
      </c>
      <c r="G169" s="257">
        <f>H169/400</f>
        <v>51</v>
      </c>
      <c r="H169" s="257">
        <f>I169/10*10000</f>
        <v>20400</v>
      </c>
      <c r="I169" s="257">
        <v>20.4</v>
      </c>
      <c r="J169" s="268" t="s">
        <v>49</v>
      </c>
    </row>
    <row r="170" s="253" customFormat="1" ht="24" customHeight="1" spans="1:10">
      <c r="A170" s="256">
        <v>2</v>
      </c>
      <c r="B170" s="256" t="s">
        <v>15</v>
      </c>
      <c r="C170" s="256" t="s">
        <v>16</v>
      </c>
      <c r="D170" s="257">
        <v>20250701</v>
      </c>
      <c r="E170" s="257">
        <v>50</v>
      </c>
      <c r="F170" s="256">
        <v>1869</v>
      </c>
      <c r="G170" s="257" t="s">
        <v>134</v>
      </c>
      <c r="H170" s="257">
        <f t="shared" ref="H170:H172" si="6">I170/7*10000</f>
        <v>69280</v>
      </c>
      <c r="I170" s="257">
        <v>48.496</v>
      </c>
      <c r="J170" s="257" t="s">
        <v>24</v>
      </c>
    </row>
    <row r="171" s="253" customFormat="1" ht="24" customHeight="1" spans="1:10">
      <c r="A171" s="258"/>
      <c r="B171" s="258"/>
      <c r="C171" s="258"/>
      <c r="D171" s="257">
        <v>20250702</v>
      </c>
      <c r="E171" s="257">
        <v>50</v>
      </c>
      <c r="F171" s="258"/>
      <c r="G171" s="257" t="s">
        <v>135</v>
      </c>
      <c r="H171" s="257">
        <f t="shared" si="6"/>
        <v>69090</v>
      </c>
      <c r="I171" s="257">
        <v>48.363</v>
      </c>
      <c r="J171" s="257" t="s">
        <v>24</v>
      </c>
    </row>
    <row r="172" s="253" customFormat="1" ht="24" customHeight="1" spans="1:10">
      <c r="A172" s="258"/>
      <c r="B172" s="258"/>
      <c r="C172" s="258"/>
      <c r="D172" s="257">
        <v>20250703</v>
      </c>
      <c r="E172" s="257">
        <v>50</v>
      </c>
      <c r="F172" s="262"/>
      <c r="G172" s="257" t="s">
        <v>136</v>
      </c>
      <c r="H172" s="257">
        <f t="shared" si="6"/>
        <v>70030</v>
      </c>
      <c r="I172" s="257">
        <v>49.021</v>
      </c>
      <c r="J172" s="257" t="s">
        <v>24</v>
      </c>
    </row>
    <row r="173" s="253" customFormat="1" ht="24" customHeight="1" spans="1:10">
      <c r="A173" s="258"/>
      <c r="B173" s="258"/>
      <c r="C173" s="258"/>
      <c r="D173" s="257">
        <v>20250704</v>
      </c>
      <c r="E173" s="257">
        <v>50</v>
      </c>
      <c r="F173" s="257">
        <v>601.5</v>
      </c>
      <c r="G173" s="257">
        <f>H173/200</f>
        <v>171</v>
      </c>
      <c r="H173" s="257">
        <f>I173/14*10000</f>
        <v>34200</v>
      </c>
      <c r="I173" s="257">
        <v>47.88</v>
      </c>
      <c r="J173" s="257" t="s">
        <v>74</v>
      </c>
    </row>
    <row r="174" s="253" customFormat="1" ht="24" customHeight="1" spans="1:10">
      <c r="A174" s="262"/>
      <c r="B174" s="262"/>
      <c r="C174" s="262"/>
      <c r="D174" s="257">
        <v>20250705</v>
      </c>
      <c r="E174" s="257">
        <v>50</v>
      </c>
      <c r="F174" s="257">
        <v>557</v>
      </c>
      <c r="G174" s="257" t="s">
        <v>137</v>
      </c>
      <c r="H174" s="257">
        <f>I174/12*10000</f>
        <v>40750</v>
      </c>
      <c r="I174" s="257">
        <v>48.9</v>
      </c>
      <c r="J174" s="257" t="s">
        <v>18</v>
      </c>
    </row>
    <row r="175" s="253" customFormat="1" ht="27" customHeight="1" spans="1:10">
      <c r="A175" s="256">
        <v>3</v>
      </c>
      <c r="B175" s="256" t="s">
        <v>42</v>
      </c>
      <c r="C175" s="256" t="s">
        <v>43</v>
      </c>
      <c r="D175" s="257">
        <v>20250707</v>
      </c>
      <c r="E175" s="257">
        <v>500</v>
      </c>
      <c r="F175" s="256">
        <v>785.4</v>
      </c>
      <c r="G175" s="257">
        <f>H175/480</f>
        <v>106</v>
      </c>
      <c r="H175" s="257">
        <f t="shared" ref="H175:H179" si="7">I175/100*10000</f>
        <v>50880</v>
      </c>
      <c r="I175" s="257">
        <v>508.8</v>
      </c>
      <c r="J175" s="257" t="s">
        <v>39</v>
      </c>
    </row>
    <row r="176" s="253" customFormat="1" ht="24" customHeight="1" spans="1:10">
      <c r="A176" s="258"/>
      <c r="B176" s="262"/>
      <c r="C176" s="262"/>
      <c r="D176" s="257">
        <v>20250708</v>
      </c>
      <c r="E176" s="257">
        <v>500</v>
      </c>
      <c r="F176" s="262"/>
      <c r="G176" s="257">
        <f>H176/480</f>
        <v>105</v>
      </c>
      <c r="H176" s="257">
        <f t="shared" si="7"/>
        <v>50400</v>
      </c>
      <c r="I176" s="257">
        <v>504</v>
      </c>
      <c r="J176" s="257" t="s">
        <v>39</v>
      </c>
    </row>
    <row r="177" s="253" customFormat="1" ht="24" customHeight="1" spans="1:10">
      <c r="A177" s="256">
        <v>4</v>
      </c>
      <c r="B177" s="257" t="s">
        <v>51</v>
      </c>
      <c r="C177" s="257" t="s">
        <v>52</v>
      </c>
      <c r="D177" s="257">
        <v>20250701</v>
      </c>
      <c r="E177" s="257">
        <v>40</v>
      </c>
      <c r="F177" s="256">
        <v>657</v>
      </c>
      <c r="G177" s="257" t="s">
        <v>138</v>
      </c>
      <c r="H177" s="257">
        <f>I177/24*10000</f>
        <v>15720</v>
      </c>
      <c r="I177" s="257">
        <v>37.728</v>
      </c>
      <c r="J177" s="257" t="s">
        <v>54</v>
      </c>
    </row>
    <row r="178" s="253" customFormat="1" ht="24" customHeight="1" spans="1:10">
      <c r="A178" s="262"/>
      <c r="B178" s="257"/>
      <c r="C178" s="257"/>
      <c r="D178" s="257">
        <v>20250702</v>
      </c>
      <c r="E178" s="257">
        <v>40</v>
      </c>
      <c r="F178" s="262"/>
      <c r="G178" s="257" t="s">
        <v>139</v>
      </c>
      <c r="H178" s="257">
        <f>I178/24*10000</f>
        <v>15780</v>
      </c>
      <c r="I178" s="257">
        <v>37.872</v>
      </c>
      <c r="J178" s="257" t="s">
        <v>54</v>
      </c>
    </row>
    <row r="179" s="253" customFormat="1" ht="24" customHeight="1" spans="1:10">
      <c r="A179" s="281">
        <v>5</v>
      </c>
      <c r="B179" s="257" t="s">
        <v>63</v>
      </c>
      <c r="C179" s="257" t="s">
        <v>64</v>
      </c>
      <c r="D179" s="259">
        <v>20250709</v>
      </c>
      <c r="E179" s="257">
        <v>250</v>
      </c>
      <c r="F179" s="257">
        <v>267</v>
      </c>
      <c r="G179" s="257" t="s">
        <v>140</v>
      </c>
      <c r="H179" s="257">
        <f t="shared" si="7"/>
        <v>24360</v>
      </c>
      <c r="I179" s="260">
        <v>243.6</v>
      </c>
      <c r="J179" s="257" t="s">
        <v>65</v>
      </c>
    </row>
    <row r="180" s="253" customFormat="1" ht="24" customHeight="1" spans="1:10">
      <c r="A180" s="257">
        <v>6</v>
      </c>
      <c r="B180" s="257" t="s">
        <v>86</v>
      </c>
      <c r="C180" s="257" t="s">
        <v>27</v>
      </c>
      <c r="D180" s="257">
        <v>20250711</v>
      </c>
      <c r="E180" s="296">
        <v>100</v>
      </c>
      <c r="F180" s="266">
        <v>632</v>
      </c>
      <c r="G180" s="272" t="s">
        <v>141</v>
      </c>
      <c r="H180" s="272">
        <f>I180/30*10000</f>
        <v>32720</v>
      </c>
      <c r="I180" s="268">
        <v>98.16</v>
      </c>
      <c r="J180" s="262" t="s">
        <v>142</v>
      </c>
    </row>
    <row r="181" s="253" customFormat="1" ht="24" customHeight="1" spans="1:10">
      <c r="A181" s="257">
        <v>3</v>
      </c>
      <c r="B181" s="257" t="s">
        <v>11</v>
      </c>
      <c r="C181" s="257" t="s">
        <v>12</v>
      </c>
      <c r="D181" s="257">
        <v>20250730</v>
      </c>
      <c r="E181" s="257">
        <v>150</v>
      </c>
      <c r="F181" s="257">
        <v>283.5</v>
      </c>
      <c r="G181" s="257"/>
      <c r="H181" s="257"/>
      <c r="I181" s="257"/>
      <c r="J181" s="257" t="s">
        <v>14</v>
      </c>
    </row>
    <row r="182" s="253" customFormat="1" ht="24" customHeight="1" spans="1:10">
      <c r="A182" s="293" t="s">
        <v>55</v>
      </c>
      <c r="B182" s="294"/>
      <c r="C182" s="294"/>
      <c r="D182" s="295"/>
      <c r="E182" s="262">
        <f t="shared" ref="E182:I182" si="8">SUM(E168:E180)</f>
        <v>1715</v>
      </c>
      <c r="F182" s="257">
        <f t="shared" si="8"/>
        <v>6006.6</v>
      </c>
      <c r="G182" s="257"/>
      <c r="H182" s="257">
        <f t="shared" si="8"/>
        <v>515210</v>
      </c>
      <c r="I182" s="257">
        <f t="shared" si="8"/>
        <v>1706.18</v>
      </c>
      <c r="J182" s="262"/>
    </row>
    <row r="183" s="253" customFormat="1" spans="1:10">
      <c r="A183" s="275" t="s">
        <v>56</v>
      </c>
      <c r="B183" s="275"/>
      <c r="C183" s="275"/>
      <c r="D183" s="275"/>
      <c r="E183" s="275"/>
      <c r="F183" s="275"/>
      <c r="G183" s="275"/>
      <c r="H183" s="275"/>
      <c r="I183" s="275" t="s">
        <v>57</v>
      </c>
      <c r="J183" s="275"/>
    </row>
    <row r="184" s="253" customFormat="1" spans="1:10">
      <c r="A184" s="275" t="s">
        <v>143</v>
      </c>
      <c r="B184" s="275"/>
      <c r="C184" s="275"/>
      <c r="D184" s="275"/>
      <c r="E184" s="275"/>
      <c r="F184" s="275"/>
      <c r="G184" s="275"/>
      <c r="H184" s="275"/>
      <c r="I184" s="275" t="s">
        <v>59</v>
      </c>
      <c r="J184" s="275"/>
    </row>
    <row r="185" s="253" customFormat="1" spans="1:10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</row>
    <row r="189" s="253" customFormat="1" ht="27" customHeight="1" spans="1:10">
      <c r="A189" s="255" t="s">
        <v>144</v>
      </c>
      <c r="B189" s="255"/>
      <c r="C189" s="255"/>
      <c r="D189" s="255"/>
      <c r="E189" s="255"/>
      <c r="F189" s="255"/>
      <c r="G189" s="255"/>
      <c r="H189" s="255"/>
      <c r="I189" s="255"/>
      <c r="J189" s="255"/>
    </row>
    <row r="190" s="253" customFormat="1" ht="27" spans="1:10">
      <c r="A190" s="256" t="s">
        <v>1</v>
      </c>
      <c r="B190" s="256" t="s">
        <v>2</v>
      </c>
      <c r="C190" s="256" t="s">
        <v>3</v>
      </c>
      <c r="D190" s="256" t="s">
        <v>4</v>
      </c>
      <c r="E190" s="256" t="s">
        <v>5</v>
      </c>
      <c r="F190" s="256" t="s">
        <v>6</v>
      </c>
      <c r="G190" s="256" t="s">
        <v>7</v>
      </c>
      <c r="H190" s="256" t="s">
        <v>8</v>
      </c>
      <c r="I190" s="256" t="s">
        <v>9</v>
      </c>
      <c r="J190" s="256" t="s">
        <v>10</v>
      </c>
    </row>
    <row r="191" s="253" customFormat="1" ht="24" customHeight="1" spans="1:10">
      <c r="A191" s="257">
        <v>1</v>
      </c>
      <c r="B191" s="257" t="s">
        <v>11</v>
      </c>
      <c r="C191" s="257" t="s">
        <v>12</v>
      </c>
      <c r="D191" s="257">
        <v>20250730</v>
      </c>
      <c r="E191" s="257">
        <v>150</v>
      </c>
      <c r="F191" s="257">
        <v>509.1</v>
      </c>
      <c r="G191" s="257" t="s">
        <v>145</v>
      </c>
      <c r="H191" s="257">
        <f>289*400+140</f>
        <v>115740</v>
      </c>
      <c r="I191" s="257">
        <f>H191*12/10000</f>
        <v>138.888</v>
      </c>
      <c r="J191" s="257" t="s">
        <v>14</v>
      </c>
    </row>
    <row r="192" s="253" customFormat="1" ht="24" customHeight="1" spans="1:10">
      <c r="A192" s="257">
        <v>2</v>
      </c>
      <c r="B192" s="257" t="s">
        <v>61</v>
      </c>
      <c r="C192" s="257" t="s">
        <v>62</v>
      </c>
      <c r="D192" s="257">
        <v>20250805</v>
      </c>
      <c r="E192" s="257">
        <v>500</v>
      </c>
      <c r="F192" s="257">
        <v>609.1</v>
      </c>
      <c r="G192" s="257" t="s">
        <v>146</v>
      </c>
      <c r="H192" s="257">
        <f>101*480+380</f>
        <v>48860</v>
      </c>
      <c r="I192" s="257">
        <f>H192*100/10000</f>
        <v>488.6</v>
      </c>
      <c r="J192" s="257" t="s">
        <v>39</v>
      </c>
    </row>
    <row r="193" s="253" customFormat="1" ht="24" customHeight="1" spans="1:10">
      <c r="A193" s="256">
        <v>3</v>
      </c>
      <c r="B193" s="257" t="s">
        <v>51</v>
      </c>
      <c r="C193" s="257" t="s">
        <v>52</v>
      </c>
      <c r="D193" s="257">
        <v>20250805</v>
      </c>
      <c r="E193" s="257">
        <v>40</v>
      </c>
      <c r="F193" s="256">
        <v>656</v>
      </c>
      <c r="G193" s="257" t="s">
        <v>123</v>
      </c>
      <c r="H193" s="257">
        <f>52*300+130</f>
        <v>15730</v>
      </c>
      <c r="I193" s="257">
        <f>H193*24/10000</f>
        <v>37.752</v>
      </c>
      <c r="J193" s="257" t="s">
        <v>54</v>
      </c>
    </row>
    <row r="194" s="253" customFormat="1" ht="24" customHeight="1" spans="1:10">
      <c r="A194" s="262"/>
      <c r="B194" s="257"/>
      <c r="C194" s="257"/>
      <c r="D194" s="257">
        <v>20250806</v>
      </c>
      <c r="E194" s="257">
        <v>40</v>
      </c>
      <c r="F194" s="262"/>
      <c r="G194" s="257" t="s">
        <v>147</v>
      </c>
      <c r="H194" s="257">
        <f>53*300+120</f>
        <v>16020</v>
      </c>
      <c r="I194" s="257">
        <f>H194*24/10000</f>
        <v>38.448</v>
      </c>
      <c r="J194" s="257" t="s">
        <v>54</v>
      </c>
    </row>
    <row r="195" s="253" customFormat="1" ht="24" customHeight="1" spans="1:10">
      <c r="A195" s="257">
        <v>4</v>
      </c>
      <c r="B195" s="257" t="s">
        <v>44</v>
      </c>
      <c r="C195" s="257" t="s">
        <v>45</v>
      </c>
      <c r="D195" s="257">
        <v>20250807</v>
      </c>
      <c r="E195" s="257">
        <v>35</v>
      </c>
      <c r="F195" s="292">
        <v>522.5</v>
      </c>
      <c r="G195" s="268">
        <v>185</v>
      </c>
      <c r="H195" s="268">
        <f>G195*300</f>
        <v>55500</v>
      </c>
      <c r="I195" s="268">
        <f>H195*6/10000</f>
        <v>33.3</v>
      </c>
      <c r="J195" s="268" t="s">
        <v>47</v>
      </c>
    </row>
    <row r="196" s="253" customFormat="1" ht="24" customHeight="1" spans="1:10">
      <c r="A196" s="256">
        <v>5</v>
      </c>
      <c r="B196" s="256" t="s">
        <v>15</v>
      </c>
      <c r="C196" s="256" t="s">
        <v>16</v>
      </c>
      <c r="D196" s="257">
        <v>20250808</v>
      </c>
      <c r="E196" s="256">
        <v>50</v>
      </c>
      <c r="F196" s="257">
        <v>459.5</v>
      </c>
      <c r="G196" s="257">
        <v>100</v>
      </c>
      <c r="H196" s="257">
        <f>G196*300</f>
        <v>30000</v>
      </c>
      <c r="I196" s="260">
        <f>H196*5/10000</f>
        <v>15</v>
      </c>
      <c r="J196" s="257" t="s">
        <v>66</v>
      </c>
    </row>
    <row r="197" s="253" customFormat="1" ht="24" customHeight="1" spans="1:10">
      <c r="A197" s="258"/>
      <c r="B197" s="258"/>
      <c r="C197" s="258"/>
      <c r="D197" s="257"/>
      <c r="E197" s="262"/>
      <c r="F197" s="257">
        <v>469</v>
      </c>
      <c r="G197" s="257">
        <v>248</v>
      </c>
      <c r="H197" s="257">
        <f>G197*200</f>
        <v>49600</v>
      </c>
      <c r="I197" s="260">
        <f>H197*7/10000</f>
        <v>34.72</v>
      </c>
      <c r="J197" s="257" t="s">
        <v>24</v>
      </c>
    </row>
    <row r="198" s="253" customFormat="1" ht="24" customHeight="1" spans="1:10">
      <c r="A198" s="258"/>
      <c r="B198" s="258"/>
      <c r="C198" s="258"/>
      <c r="D198" s="257">
        <v>20250809</v>
      </c>
      <c r="E198" s="257">
        <v>50</v>
      </c>
      <c r="F198" s="258">
        <v>1253.5</v>
      </c>
      <c r="G198" s="257">
        <v>353</v>
      </c>
      <c r="H198" s="257">
        <f>G198*200</f>
        <v>70600</v>
      </c>
      <c r="I198" s="257">
        <f>H198*7/10000</f>
        <v>49.42</v>
      </c>
      <c r="J198" s="257" t="s">
        <v>24</v>
      </c>
    </row>
    <row r="199" s="253" customFormat="1" ht="24" customHeight="1" spans="1:10">
      <c r="A199" s="258"/>
      <c r="B199" s="258"/>
      <c r="C199" s="258"/>
      <c r="D199" s="257">
        <v>20250810</v>
      </c>
      <c r="E199" s="257">
        <v>50</v>
      </c>
      <c r="F199" s="262"/>
      <c r="G199" s="257" t="s">
        <v>148</v>
      </c>
      <c r="H199" s="257">
        <f>352*200+180</f>
        <v>70580</v>
      </c>
      <c r="I199" s="257">
        <f>H199*7/10000</f>
        <v>49.406</v>
      </c>
      <c r="J199" s="257" t="s">
        <v>24</v>
      </c>
    </row>
    <row r="200" s="253" customFormat="1" ht="24" customHeight="1" spans="1:10">
      <c r="A200" s="258"/>
      <c r="B200" s="258"/>
      <c r="C200" s="258"/>
      <c r="D200" s="257">
        <v>20250811</v>
      </c>
      <c r="E200" s="257">
        <v>50</v>
      </c>
      <c r="F200" s="257">
        <v>601.5</v>
      </c>
      <c r="G200" s="257">
        <v>174</v>
      </c>
      <c r="H200" s="257">
        <f>G200*200</f>
        <v>34800</v>
      </c>
      <c r="I200" s="257">
        <f>H200*14/10000</f>
        <v>48.72</v>
      </c>
      <c r="J200" s="257" t="s">
        <v>74</v>
      </c>
    </row>
    <row r="201" s="253" customFormat="1" ht="24" customHeight="1" spans="1:10">
      <c r="A201" s="256">
        <v>6</v>
      </c>
      <c r="B201" s="256" t="s">
        <v>36</v>
      </c>
      <c r="C201" s="256" t="s">
        <v>37</v>
      </c>
      <c r="D201" s="257">
        <v>20250813</v>
      </c>
      <c r="E201" s="257">
        <v>500</v>
      </c>
      <c r="F201" s="256">
        <v>689.6</v>
      </c>
      <c r="G201" s="257">
        <v>101</v>
      </c>
      <c r="H201" s="257">
        <f>G201*480</f>
        <v>48480</v>
      </c>
      <c r="I201" s="257">
        <f t="shared" ref="I201:I207" si="9">H201*100/10000</f>
        <v>484.8</v>
      </c>
      <c r="J201" s="257" t="s">
        <v>39</v>
      </c>
    </row>
    <row r="202" s="253" customFormat="1" ht="24" customHeight="1" spans="1:10">
      <c r="A202" s="262"/>
      <c r="B202" s="262"/>
      <c r="C202" s="262"/>
      <c r="D202" s="257">
        <v>20250814</v>
      </c>
      <c r="E202" s="257">
        <v>500</v>
      </c>
      <c r="F202" s="262"/>
      <c r="G202" s="257" t="s">
        <v>149</v>
      </c>
      <c r="H202" s="257">
        <f>102*480+380</f>
        <v>49340</v>
      </c>
      <c r="I202" s="257">
        <f t="shared" si="9"/>
        <v>493.4</v>
      </c>
      <c r="J202" s="257"/>
    </row>
    <row r="203" s="253" customFormat="1" ht="24" customHeight="1" spans="1:10">
      <c r="A203" s="256">
        <v>7</v>
      </c>
      <c r="B203" s="256" t="s">
        <v>26</v>
      </c>
      <c r="C203" s="256" t="s">
        <v>27</v>
      </c>
      <c r="D203" s="257">
        <v>20250813</v>
      </c>
      <c r="E203" s="257">
        <v>120</v>
      </c>
      <c r="F203" s="257">
        <v>762.5</v>
      </c>
      <c r="G203" s="257">
        <v>124</v>
      </c>
      <c r="H203" s="257">
        <f>G203*400</f>
        <v>49600</v>
      </c>
      <c r="I203" s="257">
        <f>H203*24/10000</f>
        <v>119.04</v>
      </c>
      <c r="J203" s="257" t="s">
        <v>78</v>
      </c>
    </row>
    <row r="204" s="253" customFormat="1" ht="24" customHeight="1" spans="1:10">
      <c r="A204" s="262"/>
      <c r="B204" s="262"/>
      <c r="C204" s="262"/>
      <c r="D204" s="257">
        <v>20250814</v>
      </c>
      <c r="E204" s="257"/>
      <c r="F204" s="257">
        <v>655.5</v>
      </c>
      <c r="G204" s="257">
        <v>149</v>
      </c>
      <c r="H204" s="257">
        <f>G204*400</f>
        <v>59600</v>
      </c>
      <c r="I204" s="257">
        <f>H204*20/10000</f>
        <v>119.2</v>
      </c>
      <c r="J204" s="257" t="s">
        <v>33</v>
      </c>
    </row>
    <row r="205" s="253" customFormat="1" ht="27" customHeight="1" spans="1:10">
      <c r="A205" s="257">
        <v>8</v>
      </c>
      <c r="B205" s="257" t="s">
        <v>42</v>
      </c>
      <c r="C205" s="257" t="s">
        <v>43</v>
      </c>
      <c r="D205" s="257">
        <v>20250817</v>
      </c>
      <c r="E205" s="257">
        <v>500</v>
      </c>
      <c r="F205" s="257">
        <v>484.8</v>
      </c>
      <c r="G205" s="257" t="s">
        <v>150</v>
      </c>
      <c r="H205" s="257">
        <f>105*480+340</f>
        <v>50740</v>
      </c>
      <c r="I205" s="257">
        <f t="shared" si="9"/>
        <v>507.4</v>
      </c>
      <c r="J205" s="257" t="s">
        <v>39</v>
      </c>
    </row>
    <row r="206" s="253" customFormat="1" ht="24" customHeight="1" spans="1:10">
      <c r="A206" s="256">
        <v>9</v>
      </c>
      <c r="B206" s="257" t="s">
        <v>61</v>
      </c>
      <c r="C206" s="257" t="s">
        <v>62</v>
      </c>
      <c r="D206" s="257">
        <v>20250829</v>
      </c>
      <c r="E206" s="257">
        <v>500</v>
      </c>
      <c r="F206" s="256">
        <v>438.5</v>
      </c>
      <c r="G206" s="257"/>
      <c r="H206" s="257"/>
      <c r="I206" s="257"/>
      <c r="J206" s="257" t="s">
        <v>39</v>
      </c>
    </row>
    <row r="207" s="253" customFormat="1" ht="24" customHeight="1" spans="1:10">
      <c r="A207" s="262"/>
      <c r="B207" s="257" t="s">
        <v>61</v>
      </c>
      <c r="C207" s="257" t="s">
        <v>62</v>
      </c>
      <c r="D207" s="257">
        <v>20250830</v>
      </c>
      <c r="E207" s="257">
        <v>500</v>
      </c>
      <c r="F207" s="262"/>
      <c r="G207" s="257"/>
      <c r="H207" s="257"/>
      <c r="I207" s="257"/>
      <c r="J207" s="257" t="s">
        <v>39</v>
      </c>
    </row>
    <row r="208" s="253" customFormat="1" ht="24" customHeight="1" spans="1:10">
      <c r="A208" s="293" t="s">
        <v>55</v>
      </c>
      <c r="B208" s="294"/>
      <c r="C208" s="294"/>
      <c r="D208" s="295"/>
      <c r="E208" s="262">
        <f>SUM(E195:E205)</f>
        <v>1855</v>
      </c>
      <c r="F208" s="262">
        <f>SUM(F195:F205)</f>
        <v>5898.4</v>
      </c>
      <c r="G208" s="257"/>
      <c r="H208" s="257">
        <f>SUM(H195:H205)</f>
        <v>568840</v>
      </c>
      <c r="I208" s="257">
        <f>SUM(I195:I205)</f>
        <v>1954.406</v>
      </c>
      <c r="J208" s="262"/>
    </row>
    <row r="209" s="253" customFormat="1" spans="1:10">
      <c r="A209" s="275" t="s">
        <v>56</v>
      </c>
      <c r="B209" s="275"/>
      <c r="C209" s="275"/>
      <c r="D209" s="275"/>
      <c r="E209" s="275"/>
      <c r="F209" s="275"/>
      <c r="G209" s="275"/>
      <c r="H209" s="275"/>
      <c r="I209" s="275" t="s">
        <v>57</v>
      </c>
      <c r="J209" s="275"/>
    </row>
    <row r="210" s="253" customFormat="1" spans="1:10">
      <c r="A210" s="275" t="s">
        <v>151</v>
      </c>
      <c r="B210" s="275"/>
      <c r="C210" s="275"/>
      <c r="D210" s="275"/>
      <c r="E210" s="275"/>
      <c r="F210" s="275"/>
      <c r="G210" s="275"/>
      <c r="H210" s="275"/>
      <c r="I210" s="275" t="s">
        <v>59</v>
      </c>
      <c r="J210" s="275"/>
    </row>
    <row r="211" s="253" customFormat="1" spans="1:10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</row>
    <row r="215" s="253" customFormat="1" ht="27" customHeight="1" spans="1:10">
      <c r="A215" s="255" t="s">
        <v>152</v>
      </c>
      <c r="B215" s="255"/>
      <c r="C215" s="255"/>
      <c r="D215" s="255"/>
      <c r="E215" s="255"/>
      <c r="F215" s="255"/>
      <c r="G215" s="255"/>
      <c r="H215" s="255"/>
      <c r="I215" s="255"/>
      <c r="J215" s="255"/>
    </row>
    <row r="216" s="253" customFormat="1" ht="27" spans="1:10">
      <c r="A216" s="256" t="s">
        <v>1</v>
      </c>
      <c r="B216" s="256" t="s">
        <v>2</v>
      </c>
      <c r="C216" s="256" t="s">
        <v>3</v>
      </c>
      <c r="D216" s="256" t="s">
        <v>4</v>
      </c>
      <c r="E216" s="256" t="s">
        <v>5</v>
      </c>
      <c r="F216" s="256" t="s">
        <v>6</v>
      </c>
      <c r="G216" s="256" t="s">
        <v>7</v>
      </c>
      <c r="H216" s="256" t="s">
        <v>8</v>
      </c>
      <c r="I216" s="256" t="s">
        <v>9</v>
      </c>
      <c r="J216" s="256" t="s">
        <v>10</v>
      </c>
    </row>
    <row r="217" s="253" customFormat="1" ht="24" customHeight="1" spans="1:10">
      <c r="A217" s="256">
        <v>9</v>
      </c>
      <c r="B217" s="257" t="s">
        <v>61</v>
      </c>
      <c r="C217" s="257" t="s">
        <v>62</v>
      </c>
      <c r="D217" s="257">
        <v>20250829</v>
      </c>
      <c r="E217" s="257">
        <v>500</v>
      </c>
      <c r="F217" s="256">
        <v>457.2</v>
      </c>
      <c r="G217" s="257">
        <f>H217/480</f>
        <v>99</v>
      </c>
      <c r="H217" s="257">
        <f>I217/100*10000</f>
        <v>47520</v>
      </c>
      <c r="I217" s="257">
        <v>475.2</v>
      </c>
      <c r="J217" s="257" t="s">
        <v>39</v>
      </c>
    </row>
    <row r="218" s="253" customFormat="1" ht="24" customHeight="1" spans="1:10">
      <c r="A218" s="262"/>
      <c r="B218" s="257" t="s">
        <v>61</v>
      </c>
      <c r="C218" s="257" t="s">
        <v>62</v>
      </c>
      <c r="D218" s="257">
        <v>20250830</v>
      </c>
      <c r="E218" s="257">
        <v>500</v>
      </c>
      <c r="F218" s="262"/>
      <c r="G218" s="257">
        <f>H218/480</f>
        <v>98</v>
      </c>
      <c r="H218" s="257">
        <f>I218/100*10000</f>
        <v>47040</v>
      </c>
      <c r="I218" s="257">
        <v>470.4</v>
      </c>
      <c r="J218" s="257" t="s">
        <v>39</v>
      </c>
    </row>
    <row r="219" s="253" customFormat="1" ht="24" customHeight="1" spans="1:10">
      <c r="A219" s="257">
        <v>1</v>
      </c>
      <c r="B219" s="257" t="s">
        <v>11</v>
      </c>
      <c r="C219" s="257" t="s">
        <v>12</v>
      </c>
      <c r="D219" s="257">
        <v>20250901</v>
      </c>
      <c r="E219" s="257">
        <v>150</v>
      </c>
      <c r="F219" s="257">
        <v>810.9</v>
      </c>
      <c r="G219" s="257" t="s">
        <v>153</v>
      </c>
      <c r="H219" s="257">
        <f>I219/12*10000</f>
        <v>121430</v>
      </c>
      <c r="I219" s="257">
        <v>145.716</v>
      </c>
      <c r="J219" s="257" t="s">
        <v>14</v>
      </c>
    </row>
    <row r="220" s="253" customFormat="1" ht="24" customHeight="1" spans="1:10">
      <c r="A220" s="256">
        <v>2</v>
      </c>
      <c r="B220" s="256" t="s">
        <v>82</v>
      </c>
      <c r="C220" s="256" t="s">
        <v>62</v>
      </c>
      <c r="D220" s="256">
        <v>20250902</v>
      </c>
      <c r="E220" s="256">
        <v>150</v>
      </c>
      <c r="F220" s="256">
        <v>1044.5</v>
      </c>
      <c r="G220" s="257">
        <f>H220/480</f>
        <v>52</v>
      </c>
      <c r="H220" s="257">
        <f t="shared" ref="H220:H225" si="10">I220*10000/60</f>
        <v>24960</v>
      </c>
      <c r="I220" s="260">
        <v>149.76</v>
      </c>
      <c r="J220" s="256" t="s">
        <v>84</v>
      </c>
    </row>
    <row r="221" s="253" customFormat="1" ht="24" customHeight="1" spans="1:10">
      <c r="A221" s="258"/>
      <c r="B221" s="258"/>
      <c r="C221" s="258"/>
      <c r="D221" s="256">
        <v>20250903</v>
      </c>
      <c r="E221" s="256">
        <v>150</v>
      </c>
      <c r="F221" s="258"/>
      <c r="G221" s="257" t="s">
        <v>154</v>
      </c>
      <c r="H221" s="257">
        <f t="shared" si="10"/>
        <v>24390</v>
      </c>
      <c r="I221" s="260">
        <v>146.34</v>
      </c>
      <c r="J221" s="258"/>
    </row>
    <row r="222" s="253" customFormat="1" ht="24" customHeight="1" spans="1:10">
      <c r="A222" s="258"/>
      <c r="B222" s="258"/>
      <c r="C222" s="258"/>
      <c r="D222" s="256">
        <v>20250904</v>
      </c>
      <c r="E222" s="256">
        <v>150</v>
      </c>
      <c r="F222" s="258"/>
      <c r="G222" s="257" t="s">
        <v>155</v>
      </c>
      <c r="H222" s="257">
        <f t="shared" si="10"/>
        <v>25050</v>
      </c>
      <c r="I222" s="260">
        <v>150.3</v>
      </c>
      <c r="J222" s="258"/>
    </row>
    <row r="223" s="253" customFormat="1" ht="24" customHeight="1" spans="1:10">
      <c r="A223" s="258"/>
      <c r="B223" s="258"/>
      <c r="C223" s="258"/>
      <c r="D223" s="256">
        <v>20250905</v>
      </c>
      <c r="E223" s="256">
        <v>150</v>
      </c>
      <c r="F223" s="258"/>
      <c r="G223" s="257">
        <f>H223/480</f>
        <v>52</v>
      </c>
      <c r="H223" s="257">
        <f t="shared" si="10"/>
        <v>24960</v>
      </c>
      <c r="I223" s="260">
        <v>149.76</v>
      </c>
      <c r="J223" s="258"/>
    </row>
    <row r="224" s="253" customFormat="1" ht="24" customHeight="1" spans="1:10">
      <c r="A224" s="258"/>
      <c r="B224" s="258"/>
      <c r="C224" s="258"/>
      <c r="D224" s="256">
        <v>20250906</v>
      </c>
      <c r="E224" s="256">
        <v>150</v>
      </c>
      <c r="F224" s="258"/>
      <c r="G224" s="257">
        <f>H224/480</f>
        <v>50</v>
      </c>
      <c r="H224" s="257">
        <f t="shared" si="10"/>
        <v>24000</v>
      </c>
      <c r="I224" s="260">
        <v>144</v>
      </c>
      <c r="J224" s="258"/>
    </row>
    <row r="225" s="253" customFormat="1" ht="24" customHeight="1" spans="1:10">
      <c r="A225" s="258"/>
      <c r="B225" s="258"/>
      <c r="C225" s="258"/>
      <c r="D225" s="256">
        <v>20250907</v>
      </c>
      <c r="E225" s="256">
        <v>150</v>
      </c>
      <c r="F225" s="258"/>
      <c r="G225" s="257" t="s">
        <v>156</v>
      </c>
      <c r="H225" s="257">
        <f t="shared" si="10"/>
        <v>24430</v>
      </c>
      <c r="I225" s="260">
        <v>146.58</v>
      </c>
      <c r="J225" s="258"/>
    </row>
    <row r="226" s="253" customFormat="1" ht="24" customHeight="1" spans="1:10">
      <c r="A226" s="256">
        <v>3</v>
      </c>
      <c r="B226" s="257" t="s">
        <v>51</v>
      </c>
      <c r="C226" s="257" t="s">
        <v>52</v>
      </c>
      <c r="D226" s="257">
        <v>20250904</v>
      </c>
      <c r="E226" s="257">
        <v>40</v>
      </c>
      <c r="F226" s="256">
        <v>636.5</v>
      </c>
      <c r="G226" s="257" t="s">
        <v>157</v>
      </c>
      <c r="H226" s="257">
        <f>I226/24*10000</f>
        <v>15570</v>
      </c>
      <c r="I226" s="257">
        <v>37.368</v>
      </c>
      <c r="J226" s="257" t="s">
        <v>54</v>
      </c>
    </row>
    <row r="227" s="253" customFormat="1" ht="24" customHeight="1" spans="1:10">
      <c r="A227" s="262"/>
      <c r="B227" s="257"/>
      <c r="C227" s="257"/>
      <c r="D227" s="257">
        <v>20250905</v>
      </c>
      <c r="E227" s="257">
        <v>40</v>
      </c>
      <c r="F227" s="262"/>
      <c r="G227" s="257" t="s">
        <v>158</v>
      </c>
      <c r="H227" s="257">
        <f>I227/24*10000</f>
        <v>15330</v>
      </c>
      <c r="I227" s="257">
        <v>36.792</v>
      </c>
      <c r="J227" s="257" t="s">
        <v>54</v>
      </c>
    </row>
    <row r="228" s="253" customFormat="1" ht="24" customHeight="1" spans="1:10">
      <c r="A228" s="281">
        <v>4</v>
      </c>
      <c r="B228" s="256" t="s">
        <v>63</v>
      </c>
      <c r="C228" s="256" t="s">
        <v>64</v>
      </c>
      <c r="D228" s="259">
        <v>20250909</v>
      </c>
      <c r="E228" s="257">
        <v>250</v>
      </c>
      <c r="F228" s="257">
        <v>263</v>
      </c>
      <c r="G228" s="257">
        <f>H228/360</f>
        <v>67</v>
      </c>
      <c r="H228" s="257">
        <f>I228/100*10000</f>
        <v>24120</v>
      </c>
      <c r="I228" s="260">
        <v>241.2</v>
      </c>
      <c r="J228" s="257" t="s">
        <v>65</v>
      </c>
    </row>
    <row r="229" s="253" customFormat="1" ht="24" customHeight="1" spans="1:10">
      <c r="A229" s="297"/>
      <c r="B229" s="262"/>
      <c r="C229" s="262"/>
      <c r="D229" s="259">
        <v>20250910</v>
      </c>
      <c r="E229" s="257">
        <v>250</v>
      </c>
      <c r="F229" s="262">
        <v>629</v>
      </c>
      <c r="G229" s="257">
        <f>H229/300</f>
        <v>132</v>
      </c>
      <c r="H229" s="257">
        <f>I229/60*10000</f>
        <v>39600</v>
      </c>
      <c r="I229" s="260">
        <v>237.6</v>
      </c>
      <c r="J229" s="257" t="s">
        <v>159</v>
      </c>
    </row>
    <row r="230" s="253" customFormat="1" ht="27" customHeight="1" spans="1:10">
      <c r="A230" s="257">
        <v>5</v>
      </c>
      <c r="B230" s="257" t="s">
        <v>42</v>
      </c>
      <c r="C230" s="257" t="s">
        <v>43</v>
      </c>
      <c r="D230" s="257">
        <v>20250912</v>
      </c>
      <c r="E230" s="257">
        <v>500</v>
      </c>
      <c r="F230" s="257">
        <v>475.8</v>
      </c>
      <c r="G230" s="257">
        <f>H230/480</f>
        <v>105</v>
      </c>
      <c r="H230" s="257">
        <f>I230/100*10000</f>
        <v>50400</v>
      </c>
      <c r="I230" s="257">
        <v>504</v>
      </c>
      <c r="J230" s="257" t="s">
        <v>39</v>
      </c>
    </row>
    <row r="231" s="253" customFormat="1" ht="24" customHeight="1" spans="1:10">
      <c r="A231" s="256">
        <v>6</v>
      </c>
      <c r="B231" s="256" t="s">
        <v>36</v>
      </c>
      <c r="C231" s="256" t="s">
        <v>37</v>
      </c>
      <c r="D231" s="257">
        <v>20250914</v>
      </c>
      <c r="E231" s="257">
        <v>500</v>
      </c>
      <c r="F231" s="256">
        <v>1231.2</v>
      </c>
      <c r="G231" s="257">
        <f>H231/480</f>
        <v>104</v>
      </c>
      <c r="H231" s="257">
        <f>I231/100*10000</f>
        <v>49920</v>
      </c>
      <c r="I231" s="257">
        <v>499.2</v>
      </c>
      <c r="J231" s="257" t="s">
        <v>39</v>
      </c>
    </row>
    <row r="232" s="253" customFormat="1" ht="24" customHeight="1" spans="1:10">
      <c r="A232" s="258"/>
      <c r="B232" s="258"/>
      <c r="C232" s="258"/>
      <c r="D232" s="257">
        <v>20250915</v>
      </c>
      <c r="E232" s="257">
        <v>500</v>
      </c>
      <c r="F232" s="258"/>
      <c r="G232" s="257">
        <f>H232/480</f>
        <v>102</v>
      </c>
      <c r="H232" s="257">
        <f>I232/100*10000</f>
        <v>48960</v>
      </c>
      <c r="I232" s="257">
        <v>489.6</v>
      </c>
      <c r="J232" s="257"/>
    </row>
    <row r="233" s="253" customFormat="1" ht="24" customHeight="1" spans="1:10">
      <c r="A233" s="258"/>
      <c r="B233" s="258"/>
      <c r="C233" s="258"/>
      <c r="D233" s="257">
        <v>20250916</v>
      </c>
      <c r="E233" s="257">
        <v>500</v>
      </c>
      <c r="F233" s="258"/>
      <c r="G233" s="257">
        <f>H233/480</f>
        <v>103</v>
      </c>
      <c r="H233" s="257">
        <f>I233/100*10000</f>
        <v>49440</v>
      </c>
      <c r="I233" s="257">
        <v>494.4</v>
      </c>
      <c r="J233" s="257"/>
    </row>
    <row r="234" s="253" customFormat="1" ht="24" customHeight="1" spans="1:10">
      <c r="A234" s="262"/>
      <c r="B234" s="262"/>
      <c r="C234" s="262"/>
      <c r="D234" s="257">
        <v>20250917</v>
      </c>
      <c r="E234" s="257">
        <v>500</v>
      </c>
      <c r="F234" s="262"/>
      <c r="G234" s="257">
        <f>H234/480</f>
        <v>104</v>
      </c>
      <c r="H234" s="257">
        <f>I234/100*10000</f>
        <v>49920</v>
      </c>
      <c r="I234" s="257">
        <v>499.2</v>
      </c>
      <c r="J234" s="257"/>
    </row>
    <row r="235" s="253" customFormat="1" spans="1:10">
      <c r="A235" s="256">
        <v>7</v>
      </c>
      <c r="B235" s="256" t="s">
        <v>86</v>
      </c>
      <c r="C235" s="256" t="s">
        <v>27</v>
      </c>
      <c r="D235" s="256">
        <v>20250919</v>
      </c>
      <c r="E235" s="256">
        <v>100</v>
      </c>
      <c r="F235" s="280">
        <v>1244</v>
      </c>
      <c r="G235" s="272">
        <f>H235/200</f>
        <v>138</v>
      </c>
      <c r="H235" s="272">
        <f>I235/36*10000</f>
        <v>27600</v>
      </c>
      <c r="I235" s="298">
        <v>99.36</v>
      </c>
      <c r="J235" s="258" t="s">
        <v>87</v>
      </c>
    </row>
    <row r="236" s="253" customFormat="1" spans="1:10">
      <c r="A236" s="258"/>
      <c r="B236" s="258"/>
      <c r="C236" s="258"/>
      <c r="D236" s="256">
        <v>20250927</v>
      </c>
      <c r="E236" s="256">
        <v>100</v>
      </c>
      <c r="F236" s="258"/>
      <c r="G236" s="272" t="s">
        <v>160</v>
      </c>
      <c r="H236" s="272">
        <f>I236/36*10000</f>
        <v>27360</v>
      </c>
      <c r="I236" s="298">
        <v>98.496</v>
      </c>
      <c r="J236" s="299"/>
    </row>
    <row r="237" s="253" customFormat="1" ht="24" customHeight="1" spans="1:10">
      <c r="A237" s="281">
        <v>8</v>
      </c>
      <c r="B237" s="256" t="s">
        <v>79</v>
      </c>
      <c r="C237" s="256" t="s">
        <v>37</v>
      </c>
      <c r="D237" s="256">
        <v>20250923</v>
      </c>
      <c r="E237" s="256">
        <v>200</v>
      </c>
      <c r="F237" s="256">
        <v>312.5</v>
      </c>
      <c r="G237" s="257">
        <f>H237/360</f>
        <v>54</v>
      </c>
      <c r="H237" s="257">
        <f>I237*10000/100</f>
        <v>19440</v>
      </c>
      <c r="I237" s="260">
        <v>194.4</v>
      </c>
      <c r="J237" s="257" t="s">
        <v>65</v>
      </c>
    </row>
    <row r="238" s="253" customFormat="1" ht="24" customHeight="1" spans="1:10">
      <c r="A238" s="256">
        <v>9</v>
      </c>
      <c r="B238" s="256" t="s">
        <v>15</v>
      </c>
      <c r="C238" s="256" t="s">
        <v>16</v>
      </c>
      <c r="D238" s="257">
        <v>20250924</v>
      </c>
      <c r="E238" s="257">
        <v>50</v>
      </c>
      <c r="F238" s="257">
        <v>601.5</v>
      </c>
      <c r="G238" s="257">
        <f>H238/200</f>
        <v>173</v>
      </c>
      <c r="H238" s="257">
        <f>I238/14*10000</f>
        <v>34600</v>
      </c>
      <c r="I238" s="257">
        <v>48.44</v>
      </c>
      <c r="J238" s="257" t="s">
        <v>74</v>
      </c>
    </row>
    <row r="239" s="253" customFormat="1" ht="24" customHeight="1" spans="1:10">
      <c r="A239" s="257">
        <v>10</v>
      </c>
      <c r="B239" s="257" t="s">
        <v>26</v>
      </c>
      <c r="C239" s="257" t="s">
        <v>27</v>
      </c>
      <c r="D239" s="257">
        <v>20250927</v>
      </c>
      <c r="E239" s="257">
        <v>120</v>
      </c>
      <c r="F239" s="257">
        <v>768</v>
      </c>
      <c r="G239" s="257" t="s">
        <v>161</v>
      </c>
      <c r="H239" s="257">
        <f>I239/24*10000</f>
        <v>49860</v>
      </c>
      <c r="I239" s="257">
        <v>119.664</v>
      </c>
      <c r="J239" s="257" t="s">
        <v>78</v>
      </c>
    </row>
    <row r="240" s="253" customFormat="1" ht="24" customHeight="1" spans="1:10">
      <c r="A240" s="293" t="s">
        <v>55</v>
      </c>
      <c r="B240" s="294"/>
      <c r="C240" s="294"/>
      <c r="D240" s="295"/>
      <c r="E240" s="262">
        <f t="shared" ref="E240:I240" si="11">SUM(E219:E239)</f>
        <v>4700</v>
      </c>
      <c r="F240" s="262">
        <f>SUM(F217:F239)</f>
        <v>8474.1</v>
      </c>
      <c r="G240" s="262"/>
      <c r="H240" s="262">
        <f t="shared" si="11"/>
        <v>771340</v>
      </c>
      <c r="I240" s="262">
        <f t="shared" si="11"/>
        <v>4632.176</v>
      </c>
      <c r="J240" s="262"/>
    </row>
    <row r="241" s="253" customFormat="1" ht="26" customHeight="1" spans="1:10">
      <c r="A241" s="275" t="s">
        <v>56</v>
      </c>
      <c r="B241" s="275"/>
      <c r="C241" s="275"/>
      <c r="D241" s="275"/>
      <c r="E241" s="275"/>
      <c r="F241" s="275"/>
      <c r="G241" s="275"/>
      <c r="H241" s="275"/>
      <c r="I241" s="275" t="s">
        <v>57</v>
      </c>
      <c r="J241" s="275"/>
    </row>
    <row r="242" s="253" customFormat="1" ht="26" customHeight="1" spans="1:10">
      <c r="A242" s="275" t="s">
        <v>162</v>
      </c>
      <c r="B242" s="275"/>
      <c r="C242" s="275"/>
      <c r="D242" s="275"/>
      <c r="E242" s="275"/>
      <c r="F242" s="275"/>
      <c r="G242" s="275"/>
      <c r="H242" s="275"/>
      <c r="I242" s="275" t="s">
        <v>59</v>
      </c>
      <c r="J242" s="275"/>
    </row>
    <row r="243" s="253" customFormat="1" spans="1:10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</row>
    <row r="247" s="253" customFormat="1" ht="27" customHeight="1" spans="1:10">
      <c r="A247" s="255" t="s">
        <v>163</v>
      </c>
      <c r="B247" s="255"/>
      <c r="C247" s="255"/>
      <c r="D247" s="255"/>
      <c r="E247" s="255"/>
      <c r="F247" s="255"/>
      <c r="G247" s="255"/>
      <c r="H247" s="255"/>
      <c r="I247" s="255"/>
      <c r="J247" s="255"/>
    </row>
    <row r="248" s="253" customFormat="1" ht="27" spans="1:10">
      <c r="A248" s="256" t="s">
        <v>1</v>
      </c>
      <c r="B248" s="256" t="s">
        <v>2</v>
      </c>
      <c r="C248" s="256" t="s">
        <v>3</v>
      </c>
      <c r="D248" s="256" t="s">
        <v>4</v>
      </c>
      <c r="E248" s="256" t="s">
        <v>5</v>
      </c>
      <c r="F248" s="256" t="s">
        <v>6</v>
      </c>
      <c r="G248" s="256" t="s">
        <v>7</v>
      </c>
      <c r="H248" s="256" t="s">
        <v>8</v>
      </c>
      <c r="I248" s="256" t="s">
        <v>9</v>
      </c>
      <c r="J248" s="256" t="s">
        <v>10</v>
      </c>
    </row>
    <row r="249" s="253" customFormat="1" ht="24" customHeight="1" spans="1:10">
      <c r="A249" s="256">
        <v>1</v>
      </c>
      <c r="B249" s="256" t="s">
        <v>15</v>
      </c>
      <c r="C249" s="256" t="s">
        <v>16</v>
      </c>
      <c r="D249" s="257">
        <v>20251009</v>
      </c>
      <c r="E249" s="257">
        <v>50</v>
      </c>
      <c r="F249" s="257">
        <v>604.5</v>
      </c>
      <c r="G249" s="257">
        <f>H249/200</f>
        <v>170</v>
      </c>
      <c r="H249" s="257">
        <f>I249*10000/14</f>
        <v>34000</v>
      </c>
      <c r="I249" s="257">
        <v>47.6</v>
      </c>
      <c r="J249" s="257" t="s">
        <v>74</v>
      </c>
    </row>
    <row r="250" s="253" customFormat="1" ht="24" customHeight="1" spans="1:10">
      <c r="A250" s="258"/>
      <c r="B250" s="258"/>
      <c r="C250" s="258"/>
      <c r="D250" s="257">
        <v>20251010</v>
      </c>
      <c r="E250" s="262">
        <v>50</v>
      </c>
      <c r="F250" s="256">
        <v>1869</v>
      </c>
      <c r="G250" s="257">
        <f>H250/200</f>
        <v>346</v>
      </c>
      <c r="H250" s="257">
        <f>I250*10000/7</f>
        <v>69200</v>
      </c>
      <c r="I250" s="260">
        <v>48.44</v>
      </c>
      <c r="J250" s="257" t="s">
        <v>24</v>
      </c>
    </row>
    <row r="251" s="253" customFormat="1" ht="24" customHeight="1" spans="1:10">
      <c r="A251" s="258"/>
      <c r="B251" s="258"/>
      <c r="C251" s="258"/>
      <c r="D251" s="257">
        <v>20251011</v>
      </c>
      <c r="E251" s="257">
        <v>50</v>
      </c>
      <c r="F251" s="258"/>
      <c r="G251" s="257">
        <f>H251/200</f>
        <v>353</v>
      </c>
      <c r="H251" s="257">
        <f>I251*10000/7</f>
        <v>70600</v>
      </c>
      <c r="I251" s="257">
        <v>49.42</v>
      </c>
      <c r="J251" s="257" t="s">
        <v>24</v>
      </c>
    </row>
    <row r="252" s="253" customFormat="1" ht="24" customHeight="1" spans="1:10">
      <c r="A252" s="258"/>
      <c r="B252" s="258"/>
      <c r="C252" s="258"/>
      <c r="D252" s="257">
        <v>20251012</v>
      </c>
      <c r="E252" s="257">
        <v>50</v>
      </c>
      <c r="F252" s="262"/>
      <c r="G252" s="257">
        <f>H252/200</f>
        <v>344</v>
      </c>
      <c r="H252" s="257">
        <f>I252*10000/7</f>
        <v>68800</v>
      </c>
      <c r="I252" s="257">
        <v>48.16</v>
      </c>
      <c r="J252" s="257" t="s">
        <v>24</v>
      </c>
    </row>
    <row r="253" s="253" customFormat="1" ht="24" customHeight="1" spans="1:10">
      <c r="A253" s="256">
        <v>2</v>
      </c>
      <c r="B253" s="256" t="s">
        <v>51</v>
      </c>
      <c r="C253" s="256" t="s">
        <v>52</v>
      </c>
      <c r="D253" s="257">
        <v>20251009</v>
      </c>
      <c r="E253" s="257">
        <v>40</v>
      </c>
      <c r="F253" s="256">
        <v>1052.5</v>
      </c>
      <c r="G253" s="257">
        <f>H253/300</f>
        <v>51</v>
      </c>
      <c r="H253" s="257">
        <f>I253*10000/24</f>
        <v>15300</v>
      </c>
      <c r="I253" s="257">
        <v>36.72</v>
      </c>
      <c r="J253" s="257" t="s">
        <v>54</v>
      </c>
    </row>
    <row r="254" s="253" customFormat="1" ht="24" customHeight="1" spans="1:10">
      <c r="A254" s="258"/>
      <c r="B254" s="258"/>
      <c r="C254" s="258"/>
      <c r="D254" s="257">
        <v>20251010</v>
      </c>
      <c r="E254" s="257">
        <v>40</v>
      </c>
      <c r="F254" s="258"/>
      <c r="G254" s="257" t="s">
        <v>164</v>
      </c>
      <c r="H254" s="257">
        <f>I254*10000/24</f>
        <v>16150</v>
      </c>
      <c r="I254" s="257">
        <v>38.76</v>
      </c>
      <c r="J254" s="257" t="s">
        <v>54</v>
      </c>
    </row>
    <row r="255" s="253" customFormat="1" ht="24" customHeight="1" spans="1:10">
      <c r="A255" s="258"/>
      <c r="B255" s="258"/>
      <c r="C255" s="258"/>
      <c r="D255" s="257">
        <v>20251021</v>
      </c>
      <c r="E255" s="257">
        <v>40</v>
      </c>
      <c r="F255" s="262"/>
      <c r="G255" s="257" t="s">
        <v>165</v>
      </c>
      <c r="H255" s="257">
        <f>I255*10000/24</f>
        <v>15560</v>
      </c>
      <c r="I255" s="257">
        <v>37.344</v>
      </c>
      <c r="J255" s="257" t="s">
        <v>54</v>
      </c>
    </row>
    <row r="256" s="253" customFormat="1" ht="24" customHeight="1" spans="1:10">
      <c r="A256" s="256">
        <v>3</v>
      </c>
      <c r="B256" s="256" t="s">
        <v>26</v>
      </c>
      <c r="C256" s="256" t="s">
        <v>27</v>
      </c>
      <c r="D256" s="257">
        <v>20251012</v>
      </c>
      <c r="E256" s="257">
        <v>120</v>
      </c>
      <c r="F256" s="256">
        <v>1290.5</v>
      </c>
      <c r="G256" s="257">
        <f>H256/400</f>
        <v>123</v>
      </c>
      <c r="H256" s="257">
        <f>I256*10000/24</f>
        <v>49200</v>
      </c>
      <c r="I256" s="257">
        <v>118.08</v>
      </c>
      <c r="J256" s="257" t="s">
        <v>78</v>
      </c>
    </row>
    <row r="257" s="253" customFormat="1" ht="24" customHeight="1" spans="1:10">
      <c r="A257" s="258"/>
      <c r="B257" s="258"/>
      <c r="C257" s="258"/>
      <c r="D257" s="257">
        <v>20251013</v>
      </c>
      <c r="E257" s="257">
        <v>120</v>
      </c>
      <c r="F257" s="262"/>
      <c r="G257" s="257" t="s">
        <v>166</v>
      </c>
      <c r="H257" s="257">
        <f>I257*10000/24</f>
        <v>49560</v>
      </c>
      <c r="I257" s="257">
        <v>118.944</v>
      </c>
      <c r="J257" s="257" t="s">
        <v>78</v>
      </c>
    </row>
    <row r="258" s="253" customFormat="1" ht="24" customHeight="1" spans="1:10">
      <c r="A258" s="258"/>
      <c r="B258" s="258"/>
      <c r="C258" s="258"/>
      <c r="D258" s="256">
        <v>20251014</v>
      </c>
      <c r="E258" s="256">
        <v>120</v>
      </c>
      <c r="F258" s="257">
        <v>517</v>
      </c>
      <c r="G258" s="257" t="s">
        <v>167</v>
      </c>
      <c r="H258" s="257">
        <f>I258*10000/18</f>
        <v>29810</v>
      </c>
      <c r="I258" s="257">
        <v>53.658</v>
      </c>
      <c r="J258" s="257" t="s">
        <v>127</v>
      </c>
    </row>
    <row r="259" s="253" customFormat="1" ht="24" customHeight="1" spans="1:10">
      <c r="A259" s="258"/>
      <c r="B259" s="258"/>
      <c r="C259" s="258"/>
      <c r="D259" s="262"/>
      <c r="E259" s="262"/>
      <c r="F259" s="257">
        <v>332.5</v>
      </c>
      <c r="G259" s="257" t="s">
        <v>168</v>
      </c>
      <c r="H259" s="257">
        <f>I259*10000/16</f>
        <v>41340</v>
      </c>
      <c r="I259" s="257">
        <v>66.144</v>
      </c>
      <c r="J259" s="264" t="s">
        <v>35</v>
      </c>
    </row>
    <row r="260" s="253" customFormat="1" ht="24" customHeight="1" spans="1:10">
      <c r="A260" s="258"/>
      <c r="B260" s="262"/>
      <c r="C260" s="262"/>
      <c r="D260" s="257">
        <v>20251015</v>
      </c>
      <c r="E260" s="257">
        <v>120</v>
      </c>
      <c r="F260" s="257">
        <v>605.7</v>
      </c>
      <c r="G260" s="257">
        <f>H260/300</f>
        <v>133</v>
      </c>
      <c r="H260" s="257">
        <f>I260*10000/30</f>
        <v>39900</v>
      </c>
      <c r="I260" s="257">
        <v>119.7</v>
      </c>
      <c r="J260" s="264" t="s">
        <v>29</v>
      </c>
    </row>
    <row r="261" s="253" customFormat="1" ht="27" customHeight="1" spans="1:10">
      <c r="A261" s="257">
        <v>4</v>
      </c>
      <c r="B261" s="256" t="s">
        <v>42</v>
      </c>
      <c r="C261" s="256" t="s">
        <v>43</v>
      </c>
      <c r="D261" s="257">
        <v>20251022</v>
      </c>
      <c r="E261" s="257">
        <v>500</v>
      </c>
      <c r="F261" s="256">
        <v>786</v>
      </c>
      <c r="G261" s="257">
        <f>H261/480</f>
        <v>105</v>
      </c>
      <c r="H261" s="257">
        <f>I261/100*10000</f>
        <v>50400</v>
      </c>
      <c r="I261" s="257">
        <v>504</v>
      </c>
      <c r="J261" s="257" t="s">
        <v>39</v>
      </c>
    </row>
    <row r="262" s="253" customFormat="1" ht="24" customHeight="1" spans="1:10">
      <c r="A262" s="257"/>
      <c r="B262" s="262"/>
      <c r="C262" s="262"/>
      <c r="D262" s="257">
        <v>20251023</v>
      </c>
      <c r="E262" s="257">
        <v>500</v>
      </c>
      <c r="F262" s="262"/>
      <c r="G262" s="257">
        <f>H262/480</f>
        <v>106</v>
      </c>
      <c r="H262" s="257">
        <f>I262/100*10000</f>
        <v>50880</v>
      </c>
      <c r="I262" s="257">
        <v>508.8</v>
      </c>
      <c r="J262" s="257" t="s">
        <v>39</v>
      </c>
    </row>
    <row r="263" s="253" customFormat="1" ht="24" customHeight="1" spans="1:10">
      <c r="A263" s="293" t="s">
        <v>55</v>
      </c>
      <c r="B263" s="294"/>
      <c r="C263" s="294"/>
      <c r="D263" s="295"/>
      <c r="E263" s="262">
        <f>SUM(E256:E256)</f>
        <v>120</v>
      </c>
      <c r="F263" s="262">
        <f>SUM(F253:F256)</f>
        <v>2343</v>
      </c>
      <c r="G263" s="262"/>
      <c r="H263" s="262">
        <f>SUM(H256:H256)</f>
        <v>49200</v>
      </c>
      <c r="I263" s="262">
        <f>SUM(I256:I256)</f>
        <v>118.08</v>
      </c>
      <c r="J263" s="262"/>
    </row>
    <row r="264" s="253" customFormat="1" ht="26" customHeight="1" spans="1:10">
      <c r="A264" s="275" t="s">
        <v>56</v>
      </c>
      <c r="B264" s="275"/>
      <c r="C264" s="275"/>
      <c r="D264" s="275"/>
      <c r="E264" s="275"/>
      <c r="F264" s="275"/>
      <c r="G264" s="275"/>
      <c r="H264" s="275"/>
      <c r="I264" s="275" t="s">
        <v>57</v>
      </c>
      <c r="J264" s="275"/>
    </row>
    <row r="265" s="253" customFormat="1" ht="26" customHeight="1" spans="1:10">
      <c r="A265" s="275" t="s">
        <v>169</v>
      </c>
      <c r="B265" s="275"/>
      <c r="C265" s="275"/>
      <c r="D265" s="275"/>
      <c r="E265" s="275"/>
      <c r="F265" s="275"/>
      <c r="G265" s="275"/>
      <c r="H265" s="275"/>
      <c r="I265" s="275" t="s">
        <v>59</v>
      </c>
      <c r="J265" s="275"/>
    </row>
    <row r="266" s="253" customFormat="1" spans="1:10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</row>
    <row r="270" s="253" customFormat="1" ht="27" customHeight="1" spans="1:10">
      <c r="A270" s="255" t="s">
        <v>170</v>
      </c>
      <c r="B270" s="255"/>
      <c r="C270" s="255"/>
      <c r="D270" s="255"/>
      <c r="E270" s="255"/>
      <c r="F270" s="255"/>
      <c r="G270" s="255"/>
      <c r="H270" s="255"/>
      <c r="I270" s="255"/>
      <c r="J270" s="255"/>
    </row>
    <row r="271" s="253" customFormat="1" ht="27" spans="1:10">
      <c r="A271" s="256" t="s">
        <v>1</v>
      </c>
      <c r="B271" s="256" t="s">
        <v>2</v>
      </c>
      <c r="C271" s="256" t="s">
        <v>3</v>
      </c>
      <c r="D271" s="256" t="s">
        <v>4</v>
      </c>
      <c r="E271" s="256" t="s">
        <v>5</v>
      </c>
      <c r="F271" s="256" t="s">
        <v>6</v>
      </c>
      <c r="G271" s="256" t="s">
        <v>7</v>
      </c>
      <c r="H271" s="256" t="s">
        <v>8</v>
      </c>
      <c r="I271" s="256" t="s">
        <v>9</v>
      </c>
      <c r="J271" s="256" t="s">
        <v>10</v>
      </c>
    </row>
    <row r="272" s="253" customFormat="1" spans="1:10">
      <c r="A272" s="257">
        <v>1</v>
      </c>
      <c r="B272" s="282" t="s">
        <v>76</v>
      </c>
      <c r="C272" s="282" t="s">
        <v>77</v>
      </c>
      <c r="D272" s="282">
        <v>20251101</v>
      </c>
      <c r="E272" s="282">
        <v>100</v>
      </c>
      <c r="F272" s="282">
        <v>509</v>
      </c>
      <c r="G272" s="284">
        <f>H272/400</f>
        <v>99</v>
      </c>
      <c r="H272" s="282">
        <f t="shared" ref="H272:H274" si="12">I272/24*10000</f>
        <v>39600</v>
      </c>
      <c r="I272" s="285">
        <v>95.04</v>
      </c>
      <c r="J272" s="282" t="s">
        <v>78</v>
      </c>
    </row>
    <row r="273" s="253" customFormat="1" ht="24" customHeight="1" spans="1:10">
      <c r="A273" s="256">
        <v>2</v>
      </c>
      <c r="B273" s="257" t="s">
        <v>51</v>
      </c>
      <c r="C273" s="257" t="s">
        <v>52</v>
      </c>
      <c r="D273" s="257">
        <v>20251101</v>
      </c>
      <c r="E273" s="257">
        <v>80</v>
      </c>
      <c r="F273" s="256">
        <v>1163.5</v>
      </c>
      <c r="G273" s="257" t="s">
        <v>171</v>
      </c>
      <c r="H273" s="257">
        <f t="shared" si="12"/>
        <v>30820</v>
      </c>
      <c r="I273" s="257">
        <v>73.968</v>
      </c>
      <c r="J273" s="257" t="s">
        <v>54</v>
      </c>
    </row>
    <row r="274" s="253" customFormat="1" ht="24" customHeight="1" spans="1:10">
      <c r="A274" s="262"/>
      <c r="B274" s="257"/>
      <c r="C274" s="257"/>
      <c r="D274" s="257">
        <v>20251102</v>
      </c>
      <c r="E274" s="257">
        <v>80</v>
      </c>
      <c r="F274" s="262"/>
      <c r="G274" s="257" t="s">
        <v>172</v>
      </c>
      <c r="H274" s="257">
        <f t="shared" si="12"/>
        <v>30830</v>
      </c>
      <c r="I274" s="257">
        <v>73.992</v>
      </c>
      <c r="J274" s="257" t="s">
        <v>54</v>
      </c>
    </row>
    <row r="275" s="253" customFormat="1" ht="24" customHeight="1" spans="1:10">
      <c r="A275" s="256">
        <v>3</v>
      </c>
      <c r="B275" s="256" t="s">
        <v>15</v>
      </c>
      <c r="C275" s="256" t="s">
        <v>16</v>
      </c>
      <c r="D275" s="256">
        <v>20251102</v>
      </c>
      <c r="E275" s="256">
        <v>50</v>
      </c>
      <c r="F275" s="257">
        <v>459.5</v>
      </c>
      <c r="G275" s="257" t="s">
        <v>173</v>
      </c>
      <c r="H275" s="257">
        <f>I275/5*10000</f>
        <v>30250</v>
      </c>
      <c r="I275" s="260">
        <v>15.125</v>
      </c>
      <c r="J275" s="257" t="s">
        <v>66</v>
      </c>
    </row>
    <row r="276" s="253" customFormat="1" ht="24" customHeight="1" spans="1:10">
      <c r="A276" s="258"/>
      <c r="B276" s="258"/>
      <c r="C276" s="258"/>
      <c r="D276" s="258"/>
      <c r="E276" s="258"/>
      <c r="F276" s="262">
        <v>475</v>
      </c>
      <c r="G276" s="257" t="s">
        <v>174</v>
      </c>
      <c r="H276" s="257">
        <f>I276/16*10000</f>
        <v>18110</v>
      </c>
      <c r="I276" s="260">
        <v>28.976</v>
      </c>
      <c r="J276" s="257" t="s">
        <v>20</v>
      </c>
    </row>
    <row r="277" s="253" customFormat="1" ht="24" customHeight="1" spans="1:10">
      <c r="A277" s="258"/>
      <c r="B277" s="258"/>
      <c r="C277" s="258"/>
      <c r="D277" s="262"/>
      <c r="E277" s="262"/>
      <c r="F277" s="257">
        <v>73</v>
      </c>
      <c r="G277" s="257">
        <f>H277/200</f>
        <v>33</v>
      </c>
      <c r="H277" s="257">
        <f>I277/7*10000</f>
        <v>6600</v>
      </c>
      <c r="I277" s="260">
        <v>4.62</v>
      </c>
      <c r="J277" s="257" t="s">
        <v>24</v>
      </c>
    </row>
    <row r="278" s="253" customFormat="1" ht="24" customHeight="1" spans="1:10">
      <c r="A278" s="258"/>
      <c r="B278" s="258"/>
      <c r="C278" s="258"/>
      <c r="D278" s="263">
        <v>20251103</v>
      </c>
      <c r="E278" s="258">
        <v>50</v>
      </c>
      <c r="F278" s="257">
        <v>440</v>
      </c>
      <c r="G278" s="262" t="s">
        <v>175</v>
      </c>
      <c r="H278" s="262">
        <f>I278*10000/8</f>
        <v>31440</v>
      </c>
      <c r="I278" s="265">
        <v>25.152</v>
      </c>
      <c r="J278" s="262" t="s">
        <v>22</v>
      </c>
    </row>
    <row r="279" s="253" customFormat="1" ht="24" customHeight="1" spans="1:10">
      <c r="A279" s="258"/>
      <c r="B279" s="258"/>
      <c r="C279" s="258"/>
      <c r="D279" s="259"/>
      <c r="E279" s="262"/>
      <c r="F279" s="257">
        <v>420.5</v>
      </c>
      <c r="G279" s="257">
        <f>H279/200</f>
        <v>169</v>
      </c>
      <c r="H279" s="257">
        <f t="shared" ref="H279:H281" si="13">I279*10000/7</f>
        <v>33800</v>
      </c>
      <c r="I279" s="260">
        <v>23.66</v>
      </c>
      <c r="J279" s="257" t="s">
        <v>24</v>
      </c>
    </row>
    <row r="280" s="253" customFormat="1" ht="24" customHeight="1" spans="1:10">
      <c r="A280" s="258"/>
      <c r="B280" s="258"/>
      <c r="C280" s="258"/>
      <c r="D280" s="257">
        <v>20251104</v>
      </c>
      <c r="E280" s="256">
        <v>50</v>
      </c>
      <c r="F280" s="256">
        <v>1228.5</v>
      </c>
      <c r="G280" s="257" t="s">
        <v>105</v>
      </c>
      <c r="H280" s="257">
        <f t="shared" si="13"/>
        <v>68600</v>
      </c>
      <c r="I280" s="257">
        <v>48.02</v>
      </c>
      <c r="J280" s="257" t="s">
        <v>24</v>
      </c>
    </row>
    <row r="281" s="253" customFormat="1" ht="24" customHeight="1" spans="1:10">
      <c r="A281" s="258"/>
      <c r="B281" s="258"/>
      <c r="C281" s="258"/>
      <c r="D281" s="257">
        <v>20251105</v>
      </c>
      <c r="E281" s="262"/>
      <c r="F281" s="262"/>
      <c r="G281" s="257" t="s">
        <v>176</v>
      </c>
      <c r="H281" s="257">
        <f t="shared" si="13"/>
        <v>67340</v>
      </c>
      <c r="I281" s="257">
        <v>47.138</v>
      </c>
      <c r="J281" s="257" t="s">
        <v>24</v>
      </c>
    </row>
    <row r="282" s="253" customFormat="1" ht="24" customHeight="1" spans="1:10">
      <c r="A282" s="258"/>
      <c r="B282" s="258"/>
      <c r="C282" s="258"/>
      <c r="D282" s="257">
        <v>20251106</v>
      </c>
      <c r="E282" s="256">
        <v>50</v>
      </c>
      <c r="F282" s="256">
        <v>1088.5</v>
      </c>
      <c r="G282" s="257" t="s">
        <v>177</v>
      </c>
      <c r="H282" s="257">
        <f>I282*10000/14</f>
        <v>34750</v>
      </c>
      <c r="I282" s="257">
        <v>48.65</v>
      </c>
      <c r="J282" s="257" t="s">
        <v>74</v>
      </c>
    </row>
    <row r="283" s="253" customFormat="1" ht="24" customHeight="1" spans="1:10">
      <c r="A283" s="258"/>
      <c r="B283" s="258"/>
      <c r="C283" s="258"/>
      <c r="D283" s="257">
        <v>20251107</v>
      </c>
      <c r="E283" s="262"/>
      <c r="F283" s="262"/>
      <c r="G283" s="257" t="s">
        <v>178</v>
      </c>
      <c r="H283" s="257">
        <f>I283*10000/14</f>
        <v>34850</v>
      </c>
      <c r="I283" s="257">
        <v>48.79</v>
      </c>
      <c r="J283" s="257" t="s">
        <v>74</v>
      </c>
    </row>
    <row r="284" s="253" customFormat="1" ht="24" customHeight="1" spans="1:10">
      <c r="A284" s="256">
        <v>4</v>
      </c>
      <c r="B284" s="256" t="s">
        <v>26</v>
      </c>
      <c r="C284" s="256" t="s">
        <v>27</v>
      </c>
      <c r="D284" s="257">
        <v>20251104</v>
      </c>
      <c r="E284" s="257">
        <v>120</v>
      </c>
      <c r="F284" s="256">
        <v>1440</v>
      </c>
      <c r="G284" s="257" t="s">
        <v>179</v>
      </c>
      <c r="H284" s="257">
        <f>I284*10000/24</f>
        <v>48590</v>
      </c>
      <c r="I284" s="257">
        <v>116.616</v>
      </c>
      <c r="J284" s="257" t="s">
        <v>78</v>
      </c>
    </row>
    <row r="285" s="253" customFormat="1" ht="24" customHeight="1" spans="1:10">
      <c r="A285" s="258"/>
      <c r="B285" s="258"/>
      <c r="C285" s="258"/>
      <c r="D285" s="257">
        <v>20251120</v>
      </c>
      <c r="E285" s="257">
        <v>120</v>
      </c>
      <c r="F285" s="262"/>
      <c r="G285" s="257">
        <f>H285/400</f>
        <v>125</v>
      </c>
      <c r="H285" s="257">
        <f>I285*10000/24</f>
        <v>50000</v>
      </c>
      <c r="I285" s="257">
        <v>120</v>
      </c>
      <c r="J285" s="257" t="s">
        <v>78</v>
      </c>
    </row>
    <row r="286" s="253" customFormat="1" spans="1:10">
      <c r="A286" s="296">
        <v>5</v>
      </c>
      <c r="B286" s="267" t="s">
        <v>44</v>
      </c>
      <c r="C286" s="267" t="s">
        <v>45</v>
      </c>
      <c r="D286" s="268">
        <v>20251108</v>
      </c>
      <c r="E286" s="268">
        <v>35</v>
      </c>
      <c r="F286" s="268">
        <v>328.5</v>
      </c>
      <c r="G286" s="268" t="s">
        <v>180</v>
      </c>
      <c r="H286" s="268">
        <f>I286/10*10000</f>
        <v>34550</v>
      </c>
      <c r="I286" s="268">
        <v>34.55</v>
      </c>
      <c r="J286" s="268" t="s">
        <v>49</v>
      </c>
    </row>
    <row r="287" s="253" customFormat="1" spans="1:10">
      <c r="A287" s="296"/>
      <c r="B287" s="267"/>
      <c r="C287" s="267"/>
      <c r="D287" s="266">
        <v>20251109</v>
      </c>
      <c r="E287" s="266">
        <v>35</v>
      </c>
      <c r="F287" s="267">
        <v>393.5</v>
      </c>
      <c r="G287" s="268">
        <f>H287/300</f>
        <v>156</v>
      </c>
      <c r="H287" s="268">
        <f>I287/6*10000</f>
        <v>46800</v>
      </c>
      <c r="I287" s="268">
        <v>28.08</v>
      </c>
      <c r="J287" s="268" t="s">
        <v>47</v>
      </c>
    </row>
    <row r="288" s="253" customFormat="1" spans="1:10">
      <c r="A288" s="296"/>
      <c r="B288" s="267"/>
      <c r="C288" s="267"/>
      <c r="D288" s="270"/>
      <c r="E288" s="270"/>
      <c r="F288" s="271">
        <v>104.5</v>
      </c>
      <c r="G288" s="268" t="s">
        <v>181</v>
      </c>
      <c r="H288" s="268">
        <f>I288/10*10000</f>
        <v>6420</v>
      </c>
      <c r="I288" s="268">
        <v>6.42</v>
      </c>
      <c r="J288" s="268" t="s">
        <v>49</v>
      </c>
    </row>
    <row r="289" s="253" customFormat="1" ht="24" customHeight="1" spans="1:10">
      <c r="A289" s="256">
        <v>6</v>
      </c>
      <c r="B289" s="256" t="s">
        <v>36</v>
      </c>
      <c r="C289" s="256" t="s">
        <v>37</v>
      </c>
      <c r="D289" s="257">
        <v>20251108</v>
      </c>
      <c r="E289" s="257">
        <v>500</v>
      </c>
      <c r="F289" s="256">
        <v>2318.4</v>
      </c>
      <c r="G289" s="257">
        <f t="shared" ref="G289:G298" si="14">H289/480</f>
        <v>103</v>
      </c>
      <c r="H289" s="257">
        <f t="shared" ref="H289:H296" si="15">I289/100*10000</f>
        <v>49440</v>
      </c>
      <c r="I289" s="257">
        <v>494.4</v>
      </c>
      <c r="J289" s="256" t="s">
        <v>39</v>
      </c>
    </row>
    <row r="290" s="253" customFormat="1" ht="24" customHeight="1" spans="1:10">
      <c r="A290" s="258"/>
      <c r="B290" s="258"/>
      <c r="C290" s="258"/>
      <c r="D290" s="257">
        <v>20251109</v>
      </c>
      <c r="E290" s="257">
        <v>500</v>
      </c>
      <c r="F290" s="258"/>
      <c r="G290" s="257">
        <f t="shared" si="14"/>
        <v>103</v>
      </c>
      <c r="H290" s="257">
        <f t="shared" si="15"/>
        <v>49440</v>
      </c>
      <c r="I290" s="257">
        <v>494.4</v>
      </c>
      <c r="J290" s="258"/>
    </row>
    <row r="291" s="253" customFormat="1" ht="24" customHeight="1" spans="1:10">
      <c r="A291" s="258"/>
      <c r="B291" s="258"/>
      <c r="C291" s="258"/>
      <c r="D291" s="257">
        <v>20251110</v>
      </c>
      <c r="E291" s="257">
        <v>500</v>
      </c>
      <c r="F291" s="258"/>
      <c r="G291" s="257">
        <f t="shared" si="14"/>
        <v>103</v>
      </c>
      <c r="H291" s="257">
        <f t="shared" si="15"/>
        <v>49440</v>
      </c>
      <c r="I291" s="257">
        <v>494.4</v>
      </c>
      <c r="J291" s="258"/>
    </row>
    <row r="292" s="253" customFormat="1" ht="24" customHeight="1" spans="1:10">
      <c r="A292" s="258"/>
      <c r="B292" s="258"/>
      <c r="C292" s="258"/>
      <c r="D292" s="257">
        <v>20251111</v>
      </c>
      <c r="E292" s="257">
        <v>500</v>
      </c>
      <c r="F292" s="258"/>
      <c r="G292" s="257">
        <f t="shared" si="14"/>
        <v>103</v>
      </c>
      <c r="H292" s="257">
        <f t="shared" si="15"/>
        <v>49440</v>
      </c>
      <c r="I292" s="257">
        <v>494.4</v>
      </c>
      <c r="J292" s="258"/>
    </row>
    <row r="293" s="253" customFormat="1" ht="24" customHeight="1" spans="1:10">
      <c r="A293" s="258"/>
      <c r="B293" s="258"/>
      <c r="C293" s="258"/>
      <c r="D293" s="257">
        <v>20251112</v>
      </c>
      <c r="E293" s="257">
        <v>500</v>
      </c>
      <c r="F293" s="258"/>
      <c r="G293" s="257">
        <f t="shared" si="14"/>
        <v>103</v>
      </c>
      <c r="H293" s="257">
        <f t="shared" si="15"/>
        <v>49440</v>
      </c>
      <c r="I293" s="257">
        <v>494.4</v>
      </c>
      <c r="J293" s="258"/>
    </row>
    <row r="294" s="253" customFormat="1" ht="24" customHeight="1" spans="1:10">
      <c r="A294" s="258"/>
      <c r="B294" s="258"/>
      <c r="C294" s="258"/>
      <c r="D294" s="257">
        <v>20251113</v>
      </c>
      <c r="E294" s="257">
        <v>500</v>
      </c>
      <c r="F294" s="258"/>
      <c r="G294" s="257">
        <f t="shared" si="14"/>
        <v>103</v>
      </c>
      <c r="H294" s="257">
        <f t="shared" si="15"/>
        <v>49440</v>
      </c>
      <c r="I294" s="257">
        <v>494.4</v>
      </c>
      <c r="J294" s="258"/>
    </row>
    <row r="295" s="253" customFormat="1" ht="24" customHeight="1" spans="1:10">
      <c r="A295" s="258"/>
      <c r="B295" s="258"/>
      <c r="C295" s="258"/>
      <c r="D295" s="257">
        <v>20251114</v>
      </c>
      <c r="E295" s="257">
        <v>500</v>
      </c>
      <c r="F295" s="258"/>
      <c r="G295" s="257">
        <f t="shared" si="14"/>
        <v>103</v>
      </c>
      <c r="H295" s="257">
        <f t="shared" si="15"/>
        <v>49440</v>
      </c>
      <c r="I295" s="257">
        <v>494.4</v>
      </c>
      <c r="J295" s="258"/>
    </row>
    <row r="296" s="253" customFormat="1" ht="24" customHeight="1" spans="1:10">
      <c r="A296" s="258"/>
      <c r="B296" s="258"/>
      <c r="C296" s="258"/>
      <c r="D296" s="257">
        <v>20251115</v>
      </c>
      <c r="E296" s="257">
        <v>500</v>
      </c>
      <c r="F296" s="258"/>
      <c r="G296" s="257">
        <f t="shared" si="14"/>
        <v>104</v>
      </c>
      <c r="H296" s="257">
        <f t="shared" si="15"/>
        <v>49920</v>
      </c>
      <c r="I296" s="257">
        <v>499.2</v>
      </c>
      <c r="J296" s="262"/>
    </row>
    <row r="297" s="253" customFormat="1" ht="24" customHeight="1" spans="1:10">
      <c r="A297" s="256">
        <v>7</v>
      </c>
      <c r="B297" s="256" t="s">
        <v>82</v>
      </c>
      <c r="C297" s="256" t="s">
        <v>62</v>
      </c>
      <c r="D297" s="257">
        <v>20251119</v>
      </c>
      <c r="E297" s="257">
        <v>150</v>
      </c>
      <c r="F297" s="256">
        <v>484.5</v>
      </c>
      <c r="G297" s="257">
        <f t="shared" si="14"/>
        <v>51</v>
      </c>
      <c r="H297" s="257">
        <f>I297/60*10000</f>
        <v>24480</v>
      </c>
      <c r="I297" s="260">
        <v>146.88</v>
      </c>
      <c r="J297" s="257" t="s">
        <v>84</v>
      </c>
    </row>
    <row r="298" s="253" customFormat="1" ht="24" customHeight="1" spans="1:10">
      <c r="A298" s="262"/>
      <c r="B298" s="262"/>
      <c r="C298" s="262"/>
      <c r="D298" s="257">
        <v>20251120</v>
      </c>
      <c r="E298" s="257">
        <v>150</v>
      </c>
      <c r="F298" s="262"/>
      <c r="G298" s="257">
        <f t="shared" si="14"/>
        <v>52</v>
      </c>
      <c r="H298" s="257">
        <f>I298/60*10000</f>
        <v>24960</v>
      </c>
      <c r="I298" s="260">
        <v>149.76</v>
      </c>
      <c r="J298" s="257"/>
    </row>
    <row r="299" s="253" customFormat="1" ht="24" customHeight="1" spans="1:10">
      <c r="A299" s="293" t="s">
        <v>55</v>
      </c>
      <c r="B299" s="294"/>
      <c r="C299" s="294"/>
      <c r="D299" s="295"/>
      <c r="E299" s="262">
        <f>SUM(E272:E298)</f>
        <v>5070</v>
      </c>
      <c r="F299" s="262">
        <f>SUM(F272:F298)</f>
        <v>10926.9</v>
      </c>
      <c r="G299" s="262"/>
      <c r="H299" s="262">
        <f>SUM(H272:H298)</f>
        <v>1058790</v>
      </c>
      <c r="I299" s="262">
        <f>SUM(I272:I298)</f>
        <v>5095.437</v>
      </c>
      <c r="J299" s="262"/>
    </row>
    <row r="300" s="253" customFormat="1" ht="26" customHeight="1" spans="1:10">
      <c r="A300" s="275" t="s">
        <v>56</v>
      </c>
      <c r="B300" s="275"/>
      <c r="C300" s="275"/>
      <c r="D300" s="275"/>
      <c r="E300" s="275"/>
      <c r="F300" s="275"/>
      <c r="G300" s="275"/>
      <c r="H300" s="275"/>
      <c r="I300" s="275" t="s">
        <v>57</v>
      </c>
      <c r="J300" s="275"/>
    </row>
    <row r="301" s="253" customFormat="1" ht="26" customHeight="1" spans="1:10">
      <c r="A301" s="275" t="s">
        <v>182</v>
      </c>
      <c r="B301" s="275"/>
      <c r="C301" s="275"/>
      <c r="D301" s="275"/>
      <c r="E301" s="275"/>
      <c r="F301" s="275"/>
      <c r="G301" s="275"/>
      <c r="H301" s="275"/>
      <c r="I301" s="275" t="s">
        <v>59</v>
      </c>
      <c r="J301" s="275"/>
    </row>
    <row r="302" s="253" customFormat="1" spans="1:10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</row>
    <row r="306" s="253" customFormat="1" ht="27" customHeight="1" spans="1:10">
      <c r="A306" s="255" t="s">
        <v>183</v>
      </c>
      <c r="B306" s="255"/>
      <c r="C306" s="255"/>
      <c r="D306" s="255"/>
      <c r="E306" s="255"/>
      <c r="F306" s="255"/>
      <c r="G306" s="255"/>
      <c r="H306" s="255"/>
      <c r="I306" s="255"/>
      <c r="J306" s="255"/>
    </row>
    <row r="307" s="253" customFormat="1" ht="27" spans="1:10">
      <c r="A307" s="257" t="s">
        <v>1</v>
      </c>
      <c r="B307" s="256" t="s">
        <v>2</v>
      </c>
      <c r="C307" s="256" t="s">
        <v>3</v>
      </c>
      <c r="D307" s="256" t="s">
        <v>4</v>
      </c>
      <c r="E307" s="256" t="s">
        <v>5</v>
      </c>
      <c r="F307" s="256" t="s">
        <v>6</v>
      </c>
      <c r="G307" s="256" t="s">
        <v>7</v>
      </c>
      <c r="H307" s="256" t="s">
        <v>8</v>
      </c>
      <c r="I307" s="256" t="s">
        <v>9</v>
      </c>
      <c r="J307" s="256" t="s">
        <v>10</v>
      </c>
    </row>
    <row r="308" s="253" customFormat="1" ht="24" customHeight="1" spans="1:10">
      <c r="A308" s="258">
        <v>1</v>
      </c>
      <c r="B308" s="256" t="s">
        <v>15</v>
      </c>
      <c r="C308" s="256" t="s">
        <v>16</v>
      </c>
      <c r="D308" s="257">
        <v>20251201</v>
      </c>
      <c r="E308" s="256">
        <v>50</v>
      </c>
      <c r="F308" s="256">
        <v>3895.5</v>
      </c>
      <c r="G308" s="257">
        <f>H308/200</f>
        <v>349</v>
      </c>
      <c r="H308" s="257">
        <f t="shared" ref="H308:H313" si="16">I308*10000/7</f>
        <v>69800</v>
      </c>
      <c r="I308" s="257">
        <v>48.86</v>
      </c>
      <c r="J308" s="257" t="s">
        <v>24</v>
      </c>
    </row>
    <row r="309" s="253" customFormat="1" ht="24" customHeight="1" spans="1:10">
      <c r="A309" s="258"/>
      <c r="B309" s="258"/>
      <c r="C309" s="258"/>
      <c r="D309" s="257">
        <v>20251202</v>
      </c>
      <c r="E309" s="256">
        <v>50</v>
      </c>
      <c r="F309" s="258"/>
      <c r="G309" s="257">
        <f>H309/200</f>
        <v>350</v>
      </c>
      <c r="H309" s="257">
        <f t="shared" si="16"/>
        <v>70000</v>
      </c>
      <c r="I309" s="257">
        <v>49</v>
      </c>
      <c r="J309" s="257" t="s">
        <v>24</v>
      </c>
    </row>
    <row r="310" s="253" customFormat="1" ht="24" customHeight="1" spans="1:10">
      <c r="A310" s="258"/>
      <c r="B310" s="258"/>
      <c r="C310" s="258"/>
      <c r="D310" s="257">
        <v>20251203</v>
      </c>
      <c r="E310" s="256">
        <v>50</v>
      </c>
      <c r="F310" s="258"/>
      <c r="G310" s="257" t="s">
        <v>184</v>
      </c>
      <c r="H310" s="257">
        <f t="shared" si="16"/>
        <v>69920</v>
      </c>
      <c r="I310" s="257">
        <v>48.944</v>
      </c>
      <c r="J310" s="257" t="s">
        <v>24</v>
      </c>
    </row>
    <row r="311" s="253" customFormat="1" ht="24" customHeight="1" spans="1:10">
      <c r="A311" s="258"/>
      <c r="B311" s="258"/>
      <c r="C311" s="258"/>
      <c r="D311" s="257">
        <v>20251204</v>
      </c>
      <c r="E311" s="256">
        <v>50</v>
      </c>
      <c r="F311" s="258"/>
      <c r="G311" s="257" t="s">
        <v>120</v>
      </c>
      <c r="H311" s="257">
        <f t="shared" si="16"/>
        <v>69880</v>
      </c>
      <c r="I311" s="257">
        <v>48.916</v>
      </c>
      <c r="J311" s="257" t="s">
        <v>24</v>
      </c>
    </row>
    <row r="312" s="253" customFormat="1" ht="24" customHeight="1" spans="1:10">
      <c r="A312" s="258"/>
      <c r="B312" s="258"/>
      <c r="C312" s="258"/>
      <c r="D312" s="257">
        <v>20251205</v>
      </c>
      <c r="E312" s="256">
        <v>50</v>
      </c>
      <c r="F312" s="258"/>
      <c r="G312" s="257">
        <f>H312/200</f>
        <v>347</v>
      </c>
      <c r="H312" s="257">
        <f t="shared" si="16"/>
        <v>69400</v>
      </c>
      <c r="I312" s="257">
        <v>48.58</v>
      </c>
      <c r="J312" s="257" t="s">
        <v>24</v>
      </c>
    </row>
    <row r="313" s="253" customFormat="1" ht="24" customHeight="1" spans="1:10">
      <c r="A313" s="258"/>
      <c r="B313" s="258"/>
      <c r="C313" s="258"/>
      <c r="D313" s="257">
        <v>20251218</v>
      </c>
      <c r="E313" s="256">
        <v>50</v>
      </c>
      <c r="F313" s="258"/>
      <c r="G313" s="257" t="s">
        <v>185</v>
      </c>
      <c r="H313" s="257">
        <f t="shared" si="16"/>
        <v>68770</v>
      </c>
      <c r="I313" s="257">
        <v>48.139</v>
      </c>
      <c r="J313" s="257" t="s">
        <v>24</v>
      </c>
    </row>
    <row r="314" s="253" customFormat="1" ht="24" customHeight="1" spans="1:10">
      <c r="A314" s="258"/>
      <c r="B314" s="258"/>
      <c r="C314" s="258"/>
      <c r="D314" s="257">
        <v>20251219</v>
      </c>
      <c r="E314" s="256">
        <v>50</v>
      </c>
      <c r="F314" s="256">
        <v>1671.5</v>
      </c>
      <c r="G314" s="257" t="s">
        <v>186</v>
      </c>
      <c r="H314" s="257">
        <f>I314*10000/14</f>
        <v>34560</v>
      </c>
      <c r="I314" s="257">
        <v>48.384</v>
      </c>
      <c r="J314" s="257" t="s">
        <v>74</v>
      </c>
    </row>
    <row r="315" s="253" customFormat="1" ht="24" customHeight="1" spans="1:10">
      <c r="A315" s="258"/>
      <c r="B315" s="258"/>
      <c r="C315" s="258"/>
      <c r="D315" s="257">
        <v>20251220</v>
      </c>
      <c r="E315" s="256">
        <v>50</v>
      </c>
      <c r="F315" s="258"/>
      <c r="G315" s="257" t="s">
        <v>187</v>
      </c>
      <c r="H315" s="257">
        <f>I315*10000/14</f>
        <v>34150</v>
      </c>
      <c r="I315" s="257">
        <v>47.81</v>
      </c>
      <c r="J315" s="257" t="s">
        <v>74</v>
      </c>
    </row>
    <row r="316" s="253" customFormat="1" ht="24" customHeight="1" spans="1:10">
      <c r="A316" s="258"/>
      <c r="B316" s="258"/>
      <c r="C316" s="258"/>
      <c r="D316" s="257">
        <v>20251221</v>
      </c>
      <c r="E316" s="256">
        <v>50</v>
      </c>
      <c r="F316" s="262"/>
      <c r="G316" s="257" t="s">
        <v>188</v>
      </c>
      <c r="H316" s="257">
        <f>I316*10000/14</f>
        <v>34890</v>
      </c>
      <c r="I316" s="257">
        <v>48.846</v>
      </c>
      <c r="J316" s="257" t="s">
        <v>74</v>
      </c>
    </row>
    <row r="317" s="253" customFormat="1" ht="24" customHeight="1" spans="1:10">
      <c r="A317" s="256">
        <v>2</v>
      </c>
      <c r="B317" s="257" t="s">
        <v>51</v>
      </c>
      <c r="C317" s="257" t="s">
        <v>52</v>
      </c>
      <c r="D317" s="256">
        <v>20251205</v>
      </c>
      <c r="E317" s="256">
        <v>80</v>
      </c>
      <c r="F317" s="257">
        <v>366.5</v>
      </c>
      <c r="G317" s="257" t="s">
        <v>189</v>
      </c>
      <c r="H317" s="257">
        <f>I317*10000/24</f>
        <v>17160</v>
      </c>
      <c r="I317" s="257">
        <v>41.184</v>
      </c>
      <c r="J317" s="257" t="s">
        <v>54</v>
      </c>
    </row>
    <row r="318" s="253" customFormat="1" ht="24" customHeight="1" spans="1:10">
      <c r="A318" s="262"/>
      <c r="B318" s="257"/>
      <c r="C318" s="257"/>
      <c r="D318" s="262"/>
      <c r="E318" s="262"/>
      <c r="F318" s="257">
        <v>375.5</v>
      </c>
      <c r="G318" s="257">
        <f>H318/300</f>
        <v>30</v>
      </c>
      <c r="H318" s="257">
        <f>I318*10000/36</f>
        <v>9000</v>
      </c>
      <c r="I318" s="257">
        <v>32.4</v>
      </c>
      <c r="J318" s="257" t="s">
        <v>125</v>
      </c>
    </row>
    <row r="319" s="253" customFormat="1" ht="27" customHeight="1" spans="1:10">
      <c r="A319" s="257">
        <v>4</v>
      </c>
      <c r="B319" s="256" t="s">
        <v>42</v>
      </c>
      <c r="C319" s="256" t="s">
        <v>43</v>
      </c>
      <c r="D319" s="257">
        <v>20251206</v>
      </c>
      <c r="E319" s="257">
        <v>500</v>
      </c>
      <c r="F319" s="256">
        <v>791</v>
      </c>
      <c r="G319" s="257">
        <f>H319/480</f>
        <v>106</v>
      </c>
      <c r="H319" s="257">
        <f>I319/100*10000</f>
        <v>50880</v>
      </c>
      <c r="I319" s="257">
        <v>508.8</v>
      </c>
      <c r="J319" s="257" t="s">
        <v>39</v>
      </c>
    </row>
    <row r="320" s="253" customFormat="1" ht="24" customHeight="1" spans="1:10">
      <c r="A320" s="257"/>
      <c r="B320" s="262"/>
      <c r="C320" s="262"/>
      <c r="D320" s="257">
        <v>20251207</v>
      </c>
      <c r="E320" s="257">
        <v>500</v>
      </c>
      <c r="F320" s="262"/>
      <c r="G320" s="257">
        <f>H320/480</f>
        <v>106</v>
      </c>
      <c r="H320" s="257">
        <f>I320/100*10000</f>
        <v>50880</v>
      </c>
      <c r="I320" s="257">
        <v>508.8</v>
      </c>
      <c r="J320" s="257" t="s">
        <v>39</v>
      </c>
    </row>
    <row r="321" s="253" customFormat="1" ht="24" customHeight="1" spans="1:10">
      <c r="A321" s="256">
        <v>3</v>
      </c>
      <c r="B321" s="256" t="s">
        <v>26</v>
      </c>
      <c r="C321" s="256" t="s">
        <v>27</v>
      </c>
      <c r="D321" s="257">
        <v>20251212</v>
      </c>
      <c r="E321" s="257">
        <v>120</v>
      </c>
      <c r="F321" s="256">
        <v>889.5</v>
      </c>
      <c r="G321" s="257">
        <f>H321/500</f>
        <v>198</v>
      </c>
      <c r="H321" s="257">
        <f>I321*10000/12</f>
        <v>99000</v>
      </c>
      <c r="I321" s="257">
        <v>118.8</v>
      </c>
      <c r="J321" s="257" t="s">
        <v>14</v>
      </c>
    </row>
    <row r="322" s="253" customFormat="1" ht="24" customHeight="1" spans="1:10">
      <c r="A322" s="256">
        <v>4</v>
      </c>
      <c r="B322" s="256" t="s">
        <v>11</v>
      </c>
      <c r="C322" s="256" t="s">
        <v>12</v>
      </c>
      <c r="D322" s="256">
        <v>20251219</v>
      </c>
      <c r="E322" s="256">
        <v>150</v>
      </c>
      <c r="F322" s="257">
        <v>331.7</v>
      </c>
      <c r="G322" s="257" t="s">
        <v>190</v>
      </c>
      <c r="H322" s="257">
        <f>I322/12*10000</f>
        <v>40050</v>
      </c>
      <c r="I322" s="257">
        <v>48.06</v>
      </c>
      <c r="J322" s="257" t="s">
        <v>14</v>
      </c>
    </row>
    <row r="323" s="253" customFormat="1" ht="24" customHeight="1" spans="1:10">
      <c r="A323" s="258"/>
      <c r="B323" s="258"/>
      <c r="C323" s="258"/>
      <c r="D323" s="258"/>
      <c r="E323" s="258"/>
      <c r="F323" s="256">
        <v>645.2</v>
      </c>
      <c r="G323" s="257">
        <f>H323/400</f>
        <v>120</v>
      </c>
      <c r="H323" s="257">
        <f>I323/20*10000</f>
        <v>48000</v>
      </c>
      <c r="I323" s="260">
        <v>96</v>
      </c>
      <c r="J323" s="257" t="s">
        <v>191</v>
      </c>
    </row>
    <row r="324" s="253" customFormat="1" ht="33" customHeight="1" spans="1:10">
      <c r="A324" s="257">
        <v>5</v>
      </c>
      <c r="B324" s="257" t="s">
        <v>192</v>
      </c>
      <c r="C324" s="257" t="s">
        <v>193</v>
      </c>
      <c r="D324" s="257">
        <v>20251217</v>
      </c>
      <c r="E324" s="257">
        <v>23</v>
      </c>
      <c r="F324" s="257">
        <v>269</v>
      </c>
      <c r="G324" s="257" t="s">
        <v>194</v>
      </c>
      <c r="H324" s="257">
        <f>I324/24*10000</f>
        <v>9590</v>
      </c>
      <c r="I324" s="260">
        <v>23.016</v>
      </c>
      <c r="J324" s="257" t="s">
        <v>31</v>
      </c>
    </row>
    <row r="325" s="253" customFormat="1" ht="24" customHeight="1" spans="1:10">
      <c r="A325" s="257">
        <v>6</v>
      </c>
      <c r="B325" s="257" t="s">
        <v>82</v>
      </c>
      <c r="C325" s="257" t="s">
        <v>62</v>
      </c>
      <c r="D325" s="257">
        <v>20251228</v>
      </c>
      <c r="E325" s="257">
        <v>150</v>
      </c>
      <c r="F325" s="257">
        <v>265.5</v>
      </c>
      <c r="G325" s="257" t="s">
        <v>195</v>
      </c>
      <c r="H325" s="257">
        <f>I325/60*10000</f>
        <v>24230</v>
      </c>
      <c r="I325" s="257">
        <v>145.38</v>
      </c>
      <c r="J325" s="257" t="s">
        <v>84</v>
      </c>
    </row>
    <row r="326" s="253" customFormat="1" ht="24" customHeight="1" spans="1:10">
      <c r="A326" s="274" t="s">
        <v>55</v>
      </c>
      <c r="B326" s="274"/>
      <c r="C326" s="274"/>
      <c r="D326" s="274"/>
      <c r="E326" s="257">
        <f>SUM(E308:E325)</f>
        <v>1973</v>
      </c>
      <c r="F326" s="257">
        <f>SUM(F308:F325)</f>
        <v>9500.9</v>
      </c>
      <c r="G326" s="257"/>
      <c r="H326" s="257">
        <f>SUM(H308:H325)</f>
        <v>870160</v>
      </c>
      <c r="I326" s="257">
        <f>SUM(I308:I325)</f>
        <v>1959.919</v>
      </c>
      <c r="J326" s="257"/>
    </row>
    <row r="327" s="253" customFormat="1" ht="26" customHeight="1" spans="1:10">
      <c r="A327" s="275" t="s">
        <v>56</v>
      </c>
      <c r="B327" s="275"/>
      <c r="C327" s="275"/>
      <c r="D327" s="275"/>
      <c r="E327" s="275"/>
      <c r="F327" s="275"/>
      <c r="G327" s="275"/>
      <c r="H327" s="275"/>
      <c r="I327" s="275" t="s">
        <v>57</v>
      </c>
      <c r="J327" s="275"/>
    </row>
    <row r="328" s="253" customFormat="1" ht="26" customHeight="1" spans="1:10">
      <c r="A328" s="275" t="s">
        <v>196</v>
      </c>
      <c r="B328" s="275"/>
      <c r="C328" s="275"/>
      <c r="D328" s="275"/>
      <c r="E328" s="275"/>
      <c r="F328" s="275"/>
      <c r="G328" s="275"/>
      <c r="H328" s="275"/>
      <c r="I328" s="275" t="s">
        <v>59</v>
      </c>
      <c r="J328" s="275"/>
    </row>
    <row r="329" s="253" customFormat="1" spans="1:10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</row>
  </sheetData>
  <mergeCells count="346">
    <mergeCell ref="A1:J1"/>
    <mergeCell ref="A22:D22"/>
    <mergeCell ref="A23:B23"/>
    <mergeCell ref="I23:J23"/>
    <mergeCell ref="A24:C24"/>
    <mergeCell ref="I24:J24"/>
    <mergeCell ref="A25:C25"/>
    <mergeCell ref="I25:J25"/>
    <mergeCell ref="A28:J28"/>
    <mergeCell ref="A48:D48"/>
    <mergeCell ref="A49:B49"/>
    <mergeCell ref="I49:J49"/>
    <mergeCell ref="A50:C50"/>
    <mergeCell ref="I50:J50"/>
    <mergeCell ref="A51:C51"/>
    <mergeCell ref="I51:J51"/>
    <mergeCell ref="A55:J55"/>
    <mergeCell ref="A71:D71"/>
    <mergeCell ref="A72:B72"/>
    <mergeCell ref="I72:J72"/>
    <mergeCell ref="A73:C73"/>
    <mergeCell ref="I73:J73"/>
    <mergeCell ref="A74:C74"/>
    <mergeCell ref="I74:J74"/>
    <mergeCell ref="A77:J77"/>
    <mergeCell ref="A92:D92"/>
    <mergeCell ref="A93:B93"/>
    <mergeCell ref="I93:J93"/>
    <mergeCell ref="A94:C94"/>
    <mergeCell ref="I94:J94"/>
    <mergeCell ref="A95:C95"/>
    <mergeCell ref="I95:J95"/>
    <mergeCell ref="A98:J98"/>
    <mergeCell ref="A127:D127"/>
    <mergeCell ref="A128:B128"/>
    <mergeCell ref="I128:J128"/>
    <mergeCell ref="A129:C129"/>
    <mergeCell ref="I129:J129"/>
    <mergeCell ref="A130:C130"/>
    <mergeCell ref="I130:J130"/>
    <mergeCell ref="A134:J134"/>
    <mergeCell ref="A159:D159"/>
    <mergeCell ref="A160:B160"/>
    <mergeCell ref="I160:J160"/>
    <mergeCell ref="A161:C161"/>
    <mergeCell ref="I161:J161"/>
    <mergeCell ref="A162:C162"/>
    <mergeCell ref="I162:J162"/>
    <mergeCell ref="A166:J166"/>
    <mergeCell ref="A182:D182"/>
    <mergeCell ref="A183:B183"/>
    <mergeCell ref="I183:J183"/>
    <mergeCell ref="A184:C184"/>
    <mergeCell ref="I184:J184"/>
    <mergeCell ref="A185:C185"/>
    <mergeCell ref="I185:J185"/>
    <mergeCell ref="A189:J189"/>
    <mergeCell ref="A208:D208"/>
    <mergeCell ref="A209:B209"/>
    <mergeCell ref="I209:J209"/>
    <mergeCell ref="A210:C210"/>
    <mergeCell ref="I210:J210"/>
    <mergeCell ref="A211:C211"/>
    <mergeCell ref="I211:J211"/>
    <mergeCell ref="A215:J215"/>
    <mergeCell ref="A240:D240"/>
    <mergeCell ref="A241:B241"/>
    <mergeCell ref="I241:J241"/>
    <mergeCell ref="A242:C242"/>
    <mergeCell ref="I242:J242"/>
    <mergeCell ref="A243:C243"/>
    <mergeCell ref="I243:J243"/>
    <mergeCell ref="A247:J247"/>
    <mergeCell ref="A263:D263"/>
    <mergeCell ref="A264:B264"/>
    <mergeCell ref="I264:J264"/>
    <mergeCell ref="A265:C265"/>
    <mergeCell ref="I265:J265"/>
    <mergeCell ref="A266:C266"/>
    <mergeCell ref="I266:J266"/>
    <mergeCell ref="A270:J270"/>
    <mergeCell ref="A299:D299"/>
    <mergeCell ref="A300:B300"/>
    <mergeCell ref="I300:J300"/>
    <mergeCell ref="A301:C301"/>
    <mergeCell ref="I301:J301"/>
    <mergeCell ref="A302:C302"/>
    <mergeCell ref="I302:J302"/>
    <mergeCell ref="A306:J306"/>
    <mergeCell ref="A326:D326"/>
    <mergeCell ref="A327:B327"/>
    <mergeCell ref="I327:J327"/>
    <mergeCell ref="A328:C328"/>
    <mergeCell ref="I328:J328"/>
    <mergeCell ref="A329:C329"/>
    <mergeCell ref="I329:J329"/>
    <mergeCell ref="A4:A8"/>
    <mergeCell ref="A9:A12"/>
    <mergeCell ref="A13:A15"/>
    <mergeCell ref="A17:A19"/>
    <mergeCell ref="A34:A37"/>
    <mergeCell ref="A38:A40"/>
    <mergeCell ref="A44:A46"/>
    <mergeCell ref="A57:A62"/>
    <mergeCell ref="A63:A64"/>
    <mergeCell ref="A79:A82"/>
    <mergeCell ref="A84:A85"/>
    <mergeCell ref="A86:A91"/>
    <mergeCell ref="A100:A105"/>
    <mergeCell ref="A106:A109"/>
    <mergeCell ref="A110:A111"/>
    <mergeCell ref="A112:A116"/>
    <mergeCell ref="A120:A124"/>
    <mergeCell ref="A138:A143"/>
    <mergeCell ref="A145:A146"/>
    <mergeCell ref="A147:A148"/>
    <mergeCell ref="A149:A150"/>
    <mergeCell ref="A151:A154"/>
    <mergeCell ref="A157:A158"/>
    <mergeCell ref="A168:A169"/>
    <mergeCell ref="A170:A174"/>
    <mergeCell ref="A175:A176"/>
    <mergeCell ref="A177:A178"/>
    <mergeCell ref="A193:A194"/>
    <mergeCell ref="A196:A200"/>
    <mergeCell ref="A201:A202"/>
    <mergeCell ref="A203:A204"/>
    <mergeCell ref="A206:A207"/>
    <mergeCell ref="A217:A218"/>
    <mergeCell ref="A220:A225"/>
    <mergeCell ref="A226:A227"/>
    <mergeCell ref="A228:A229"/>
    <mergeCell ref="A231:A234"/>
    <mergeCell ref="A235:A236"/>
    <mergeCell ref="A249:A252"/>
    <mergeCell ref="A253:A255"/>
    <mergeCell ref="A256:A260"/>
    <mergeCell ref="A261:A262"/>
    <mergeCell ref="A273:A274"/>
    <mergeCell ref="A275:A283"/>
    <mergeCell ref="A284:A285"/>
    <mergeCell ref="A286:A288"/>
    <mergeCell ref="A289:A296"/>
    <mergeCell ref="A297:A298"/>
    <mergeCell ref="A308:A316"/>
    <mergeCell ref="A317:A318"/>
    <mergeCell ref="A319:A320"/>
    <mergeCell ref="A322:A323"/>
    <mergeCell ref="B4:B8"/>
    <mergeCell ref="B9:B12"/>
    <mergeCell ref="B13:B15"/>
    <mergeCell ref="B17:B19"/>
    <mergeCell ref="B34:B37"/>
    <mergeCell ref="B38:B40"/>
    <mergeCell ref="B44:B46"/>
    <mergeCell ref="B57:B62"/>
    <mergeCell ref="B63:B64"/>
    <mergeCell ref="B79:B82"/>
    <mergeCell ref="B84:B85"/>
    <mergeCell ref="B86:B91"/>
    <mergeCell ref="B100:B105"/>
    <mergeCell ref="B106:B109"/>
    <mergeCell ref="B112:B116"/>
    <mergeCell ref="B120:B124"/>
    <mergeCell ref="B138:B143"/>
    <mergeCell ref="B145:B146"/>
    <mergeCell ref="B147:B148"/>
    <mergeCell ref="B149:B150"/>
    <mergeCell ref="B151:B154"/>
    <mergeCell ref="B157:B158"/>
    <mergeCell ref="B168:B169"/>
    <mergeCell ref="B170:B174"/>
    <mergeCell ref="B175:B176"/>
    <mergeCell ref="B177:B178"/>
    <mergeCell ref="B193:B194"/>
    <mergeCell ref="B196:B200"/>
    <mergeCell ref="B201:B202"/>
    <mergeCell ref="B203:B204"/>
    <mergeCell ref="B220:B225"/>
    <mergeCell ref="B226:B227"/>
    <mergeCell ref="B228:B229"/>
    <mergeCell ref="B231:B234"/>
    <mergeCell ref="B235:B236"/>
    <mergeCell ref="B249:B252"/>
    <mergeCell ref="B253:B255"/>
    <mergeCell ref="B256:B260"/>
    <mergeCell ref="B261:B262"/>
    <mergeCell ref="B273:B274"/>
    <mergeCell ref="B275:B283"/>
    <mergeCell ref="B284:B285"/>
    <mergeCell ref="B286:B288"/>
    <mergeCell ref="B289:B296"/>
    <mergeCell ref="B297:B298"/>
    <mergeCell ref="B308:B316"/>
    <mergeCell ref="B317:B318"/>
    <mergeCell ref="B319:B320"/>
    <mergeCell ref="B322:B323"/>
    <mergeCell ref="C4:C8"/>
    <mergeCell ref="C9:C12"/>
    <mergeCell ref="C13:C15"/>
    <mergeCell ref="C17:C19"/>
    <mergeCell ref="C34:C37"/>
    <mergeCell ref="C38:C40"/>
    <mergeCell ref="C44:C46"/>
    <mergeCell ref="C57:C62"/>
    <mergeCell ref="C63:C64"/>
    <mergeCell ref="C79:C82"/>
    <mergeCell ref="C84:C85"/>
    <mergeCell ref="C86:C91"/>
    <mergeCell ref="C100:C105"/>
    <mergeCell ref="C106:C109"/>
    <mergeCell ref="C112:C116"/>
    <mergeCell ref="C120:C124"/>
    <mergeCell ref="C138:C143"/>
    <mergeCell ref="C145:C146"/>
    <mergeCell ref="C147:C148"/>
    <mergeCell ref="C149:C150"/>
    <mergeCell ref="C151:C154"/>
    <mergeCell ref="C157:C158"/>
    <mergeCell ref="C168:C169"/>
    <mergeCell ref="C170:C174"/>
    <mergeCell ref="C175:C176"/>
    <mergeCell ref="C177:C178"/>
    <mergeCell ref="C193:C194"/>
    <mergeCell ref="C196:C200"/>
    <mergeCell ref="C201:C202"/>
    <mergeCell ref="C203:C204"/>
    <mergeCell ref="C220:C225"/>
    <mergeCell ref="C226:C227"/>
    <mergeCell ref="C228:C229"/>
    <mergeCell ref="C231:C234"/>
    <mergeCell ref="C235:C236"/>
    <mergeCell ref="C249:C252"/>
    <mergeCell ref="C253:C255"/>
    <mergeCell ref="C256:C260"/>
    <mergeCell ref="C261:C262"/>
    <mergeCell ref="C273:C274"/>
    <mergeCell ref="C275:C283"/>
    <mergeCell ref="C284:C285"/>
    <mergeCell ref="C286:C288"/>
    <mergeCell ref="C289:C296"/>
    <mergeCell ref="C297:C298"/>
    <mergeCell ref="C308:C316"/>
    <mergeCell ref="C317:C318"/>
    <mergeCell ref="C319:C320"/>
    <mergeCell ref="C322:C323"/>
    <mergeCell ref="D6:D7"/>
    <mergeCell ref="D17:D18"/>
    <mergeCell ref="D34:D35"/>
    <mergeCell ref="D36:D37"/>
    <mergeCell ref="D59:D60"/>
    <mergeCell ref="D80:D81"/>
    <mergeCell ref="D108:D109"/>
    <mergeCell ref="D112:D113"/>
    <mergeCell ref="D115:D116"/>
    <mergeCell ref="D139:D140"/>
    <mergeCell ref="D147:D148"/>
    <mergeCell ref="D151:D152"/>
    <mergeCell ref="D157:D158"/>
    <mergeCell ref="D168:D169"/>
    <mergeCell ref="D258:D259"/>
    <mergeCell ref="D275:D277"/>
    <mergeCell ref="D278:D279"/>
    <mergeCell ref="D287:D288"/>
    <mergeCell ref="D317:D318"/>
    <mergeCell ref="D322:D323"/>
    <mergeCell ref="E6:E7"/>
    <mergeCell ref="E17:E18"/>
    <mergeCell ref="E34:E35"/>
    <mergeCell ref="E36:E37"/>
    <mergeCell ref="E59:E60"/>
    <mergeCell ref="E80:E81"/>
    <mergeCell ref="E108:E109"/>
    <mergeCell ref="E112:E113"/>
    <mergeCell ref="E115:E116"/>
    <mergeCell ref="E139:E140"/>
    <mergeCell ref="E141:E142"/>
    <mergeCell ref="E147:E148"/>
    <mergeCell ref="E151:E152"/>
    <mergeCell ref="E157:E158"/>
    <mergeCell ref="E168:E169"/>
    <mergeCell ref="E196:E197"/>
    <mergeCell ref="E203:E204"/>
    <mergeCell ref="E258:E259"/>
    <mergeCell ref="E275:E277"/>
    <mergeCell ref="E278:E279"/>
    <mergeCell ref="E280:E281"/>
    <mergeCell ref="E282:E283"/>
    <mergeCell ref="E287:E288"/>
    <mergeCell ref="E317:E318"/>
    <mergeCell ref="E322:E323"/>
    <mergeCell ref="F13:F15"/>
    <mergeCell ref="F38:F40"/>
    <mergeCell ref="F57:F58"/>
    <mergeCell ref="F61:F62"/>
    <mergeCell ref="F63:F64"/>
    <mergeCell ref="F84:F85"/>
    <mergeCell ref="F87:F91"/>
    <mergeCell ref="F100:F105"/>
    <mergeCell ref="F106:F107"/>
    <mergeCell ref="F120:F124"/>
    <mergeCell ref="F141:F142"/>
    <mergeCell ref="F149:F150"/>
    <mergeCell ref="F170:F172"/>
    <mergeCell ref="F175:F176"/>
    <mergeCell ref="F177:F178"/>
    <mergeCell ref="F193:F194"/>
    <mergeCell ref="F198:F199"/>
    <mergeCell ref="F201:F202"/>
    <mergeCell ref="F206:F207"/>
    <mergeCell ref="F217:F218"/>
    <mergeCell ref="F220:F225"/>
    <mergeCell ref="F226:F227"/>
    <mergeCell ref="F231:F234"/>
    <mergeCell ref="F235:F236"/>
    <mergeCell ref="F250:F252"/>
    <mergeCell ref="F253:F255"/>
    <mergeCell ref="F256:F257"/>
    <mergeCell ref="F261:F262"/>
    <mergeCell ref="F273:F274"/>
    <mergeCell ref="F280:F281"/>
    <mergeCell ref="F282:F283"/>
    <mergeCell ref="F284:F285"/>
    <mergeCell ref="F289:F296"/>
    <mergeCell ref="F297:F298"/>
    <mergeCell ref="F308:F313"/>
    <mergeCell ref="F314:F316"/>
    <mergeCell ref="F319:F320"/>
    <mergeCell ref="J13:J15"/>
    <mergeCell ref="J38:J40"/>
    <mergeCell ref="J43:J46"/>
    <mergeCell ref="J57:J58"/>
    <mergeCell ref="J61:J62"/>
    <mergeCell ref="J63:J64"/>
    <mergeCell ref="J84:J85"/>
    <mergeCell ref="J100:J105"/>
    <mergeCell ref="J106:J107"/>
    <mergeCell ref="J117:J118"/>
    <mergeCell ref="J120:J124"/>
    <mergeCell ref="J149:J150"/>
    <mergeCell ref="J201:J202"/>
    <mergeCell ref="J220:J225"/>
    <mergeCell ref="J231:J234"/>
    <mergeCell ref="J235:J236"/>
    <mergeCell ref="J289:J296"/>
    <mergeCell ref="J297:J298"/>
  </mergeCells>
  <pageMargins left="0.7" right="0.7" top="0.75" bottom="0.75" header="0.3" footer="0.3"/>
  <pageSetup paperSize="9" scale="1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2"/>
  <sheetViews>
    <sheetView topLeftCell="A430" workbookViewId="0">
      <selection activeCell="A341" sqref="$A341:$XFD422"/>
    </sheetView>
  </sheetViews>
  <sheetFormatPr defaultColWidth="9" defaultRowHeight="13.5"/>
  <sheetData>
    <row r="1" s="2" customFormat="1" ht="21.75" customHeight="1" spans="1:11">
      <c r="A1" s="88" t="s">
        <v>197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="2" customFormat="1" ht="21.75" customHeight="1" spans="1:11">
      <c r="A2" s="91" t="s">
        <v>198</v>
      </c>
      <c r="B2" s="91"/>
      <c r="C2" s="91"/>
      <c r="D2" s="92" t="s">
        <v>199</v>
      </c>
      <c r="E2" s="93"/>
      <c r="F2" s="91"/>
      <c r="G2" s="93"/>
      <c r="H2" s="91"/>
      <c r="I2" s="91"/>
      <c r="J2" s="91"/>
      <c r="K2" s="91"/>
    </row>
    <row r="3" s="2" customFormat="1" ht="21.75" customHeight="1" spans="1:11">
      <c r="A3" s="93" t="s">
        <v>200</v>
      </c>
      <c r="B3" s="93" t="s">
        <v>201</v>
      </c>
      <c r="C3" s="94" t="s">
        <v>202</v>
      </c>
      <c r="D3" s="95" t="s">
        <v>6</v>
      </c>
      <c r="E3" s="95" t="s">
        <v>6</v>
      </c>
      <c r="F3" s="93" t="s">
        <v>6</v>
      </c>
      <c r="G3" s="93" t="s">
        <v>6</v>
      </c>
      <c r="H3" s="93" t="s">
        <v>6</v>
      </c>
      <c r="I3" s="93" t="s">
        <v>6</v>
      </c>
      <c r="J3" s="93" t="s">
        <v>203</v>
      </c>
      <c r="K3" s="93" t="s">
        <v>204</v>
      </c>
    </row>
    <row r="4" s="2" customFormat="1" ht="21.75" customHeight="1" spans="1:11">
      <c r="A4" s="13" t="s">
        <v>205</v>
      </c>
      <c r="B4" s="13">
        <v>12</v>
      </c>
      <c r="C4" s="38" t="s">
        <v>206</v>
      </c>
      <c r="D4" s="28">
        <v>12</v>
      </c>
      <c r="E4" s="28">
        <v>11</v>
      </c>
      <c r="F4" s="28">
        <v>20</v>
      </c>
      <c r="G4" s="28"/>
      <c r="H4" s="28"/>
      <c r="I4" s="13"/>
      <c r="J4" s="13"/>
      <c r="K4" s="13">
        <f t="shared" ref="K4:K25" si="0">SUM(D4:J4)</f>
        <v>43</v>
      </c>
    </row>
    <row r="5" s="2" customFormat="1" ht="21.75" customHeight="1" spans="1:11">
      <c r="A5" s="96" t="s">
        <v>207</v>
      </c>
      <c r="B5" s="13">
        <v>11.5</v>
      </c>
      <c r="C5" s="17" t="s">
        <v>208</v>
      </c>
      <c r="D5" s="28">
        <v>11.5</v>
      </c>
      <c r="E5" s="28">
        <v>10</v>
      </c>
      <c r="F5" s="28">
        <v>20</v>
      </c>
      <c r="G5" s="28"/>
      <c r="H5" s="28"/>
      <c r="I5" s="13"/>
      <c r="J5" s="13"/>
      <c r="K5" s="13">
        <f t="shared" si="0"/>
        <v>41.5</v>
      </c>
    </row>
    <row r="6" s="2" customFormat="1" ht="21.75" customHeight="1" spans="1:11">
      <c r="A6" s="96"/>
      <c r="B6" s="13"/>
      <c r="C6" s="13" t="s">
        <v>209</v>
      </c>
      <c r="D6" s="28">
        <v>11.5</v>
      </c>
      <c r="E6" s="28">
        <v>10</v>
      </c>
      <c r="F6" s="28">
        <v>20</v>
      </c>
      <c r="G6" s="28"/>
      <c r="H6" s="28"/>
      <c r="I6" s="13"/>
      <c r="J6" s="13"/>
      <c r="K6" s="13">
        <f t="shared" si="0"/>
        <v>41.5</v>
      </c>
    </row>
    <row r="7" s="2" customFormat="1" ht="21.75" customHeight="1" spans="1:11">
      <c r="A7" s="96"/>
      <c r="B7" s="13"/>
      <c r="C7" s="17" t="s">
        <v>210</v>
      </c>
      <c r="D7" s="28">
        <v>11.5</v>
      </c>
      <c r="E7" s="28">
        <v>10</v>
      </c>
      <c r="F7" s="28">
        <v>20</v>
      </c>
      <c r="G7" s="28"/>
      <c r="H7" s="28"/>
      <c r="I7" s="13"/>
      <c r="J7" s="13"/>
      <c r="K7" s="13">
        <f t="shared" si="0"/>
        <v>41.5</v>
      </c>
    </row>
    <row r="8" s="2" customFormat="1" ht="21.75" customHeight="1" spans="1:11">
      <c r="A8" s="96" t="s">
        <v>211</v>
      </c>
      <c r="B8" s="13">
        <v>11.5</v>
      </c>
      <c r="C8" s="17" t="s">
        <v>212</v>
      </c>
      <c r="D8" s="28">
        <v>24.6</v>
      </c>
      <c r="E8" s="28">
        <v>10</v>
      </c>
      <c r="F8" s="28">
        <v>20</v>
      </c>
      <c r="G8" s="28"/>
      <c r="H8" s="28"/>
      <c r="I8" s="13"/>
      <c r="J8" s="13"/>
      <c r="K8" s="13">
        <f t="shared" si="0"/>
        <v>54.6</v>
      </c>
    </row>
    <row r="9" s="2" customFormat="1" ht="21.75" customHeight="1" spans="1:11">
      <c r="A9" s="96"/>
      <c r="B9" s="13"/>
      <c r="C9" s="17" t="s">
        <v>213</v>
      </c>
      <c r="D9" s="28">
        <v>20</v>
      </c>
      <c r="E9" s="28">
        <v>20</v>
      </c>
      <c r="F9" s="28">
        <v>0</v>
      </c>
      <c r="G9" s="28"/>
      <c r="H9" s="28"/>
      <c r="I9" s="13"/>
      <c r="J9" s="13"/>
      <c r="K9" s="13">
        <f t="shared" si="0"/>
        <v>40</v>
      </c>
    </row>
    <row r="10" s="2" customFormat="1" ht="21.75" customHeight="1" spans="1:11">
      <c r="A10" s="96"/>
      <c r="B10" s="13"/>
      <c r="C10" s="13" t="s">
        <v>214</v>
      </c>
      <c r="D10" s="28">
        <v>20</v>
      </c>
      <c r="E10" s="28">
        <v>20</v>
      </c>
      <c r="F10" s="28">
        <v>0</v>
      </c>
      <c r="G10" s="28"/>
      <c r="H10" s="28"/>
      <c r="I10" s="13"/>
      <c r="J10" s="13"/>
      <c r="K10" s="13">
        <f t="shared" si="0"/>
        <v>40</v>
      </c>
    </row>
    <row r="11" s="2" customFormat="1" ht="21.75" customHeight="1" spans="1:11">
      <c r="A11" s="96"/>
      <c r="B11" s="13"/>
      <c r="C11" s="13" t="s">
        <v>215</v>
      </c>
      <c r="D11" s="28">
        <v>20</v>
      </c>
      <c r="E11" s="28">
        <v>20</v>
      </c>
      <c r="F11" s="28">
        <v>0</v>
      </c>
      <c r="G11" s="28"/>
      <c r="H11" s="28"/>
      <c r="I11" s="28"/>
      <c r="J11" s="13"/>
      <c r="K11" s="13">
        <f t="shared" si="0"/>
        <v>40</v>
      </c>
    </row>
    <row r="12" s="2" customFormat="1" ht="21.75" customHeight="1" spans="1:11">
      <c r="A12" s="96"/>
      <c r="B12" s="13"/>
      <c r="C12" s="17" t="s">
        <v>216</v>
      </c>
      <c r="D12" s="28">
        <v>20</v>
      </c>
      <c r="E12" s="28">
        <v>20</v>
      </c>
      <c r="F12" s="28">
        <v>0</v>
      </c>
      <c r="G12" s="28"/>
      <c r="H12" s="28"/>
      <c r="I12" s="28"/>
      <c r="J12" s="13"/>
      <c r="K12" s="13">
        <f t="shared" si="0"/>
        <v>40</v>
      </c>
    </row>
    <row r="13" s="2" customFormat="1" ht="21.75" customHeight="1" spans="1:11">
      <c r="A13" s="13" t="s">
        <v>217</v>
      </c>
      <c r="B13" s="13">
        <v>10.5</v>
      </c>
      <c r="C13" s="13" t="s">
        <v>218</v>
      </c>
      <c r="D13" s="28">
        <v>20</v>
      </c>
      <c r="E13" s="28">
        <v>20</v>
      </c>
      <c r="F13" s="28">
        <v>0</v>
      </c>
      <c r="G13" s="28"/>
      <c r="H13" s="28"/>
      <c r="I13" s="13"/>
      <c r="J13" s="13"/>
      <c r="K13" s="13">
        <f t="shared" si="0"/>
        <v>40</v>
      </c>
    </row>
    <row r="14" s="2" customFormat="1" ht="21.75" customHeight="1" spans="1:11">
      <c r="A14" s="13"/>
      <c r="B14" s="13"/>
      <c r="C14" s="13" t="s">
        <v>219</v>
      </c>
      <c r="D14" s="28">
        <v>20</v>
      </c>
      <c r="E14" s="28">
        <v>20</v>
      </c>
      <c r="F14" s="28">
        <v>0</v>
      </c>
      <c r="G14" s="28"/>
      <c r="H14" s="28"/>
      <c r="I14" s="13"/>
      <c r="J14" s="13"/>
      <c r="K14" s="13">
        <f t="shared" si="0"/>
        <v>40</v>
      </c>
    </row>
    <row r="15" s="2" customFormat="1" ht="21.75" customHeight="1" spans="1:11">
      <c r="A15" s="13" t="s">
        <v>220</v>
      </c>
      <c r="B15" s="13">
        <v>11.5</v>
      </c>
      <c r="C15" s="17" t="s">
        <v>221</v>
      </c>
      <c r="D15" s="28">
        <v>10</v>
      </c>
      <c r="E15" s="28">
        <v>33.5</v>
      </c>
      <c r="F15" s="28">
        <v>5</v>
      </c>
      <c r="G15" s="28"/>
      <c r="H15" s="28"/>
      <c r="I15" s="13"/>
      <c r="J15" s="13"/>
      <c r="K15" s="13">
        <f t="shared" si="0"/>
        <v>48.5</v>
      </c>
    </row>
    <row r="16" s="2" customFormat="1" ht="21.75" customHeight="1" spans="1:11">
      <c r="A16" s="13"/>
      <c r="B16" s="13"/>
      <c r="C16" s="17" t="s">
        <v>222</v>
      </c>
      <c r="D16" s="28">
        <v>31.5</v>
      </c>
      <c r="E16" s="28">
        <v>5</v>
      </c>
      <c r="F16" s="28">
        <v>5</v>
      </c>
      <c r="G16" s="28"/>
      <c r="H16" s="28"/>
      <c r="I16" s="13"/>
      <c r="J16" s="13"/>
      <c r="K16" s="13">
        <f t="shared" si="0"/>
        <v>41.5</v>
      </c>
    </row>
    <row r="17" s="2" customFormat="1" ht="21.75" customHeight="1" spans="1:11">
      <c r="A17" s="13"/>
      <c r="B17" s="13"/>
      <c r="C17" s="17" t="s">
        <v>223</v>
      </c>
      <c r="D17" s="28">
        <v>35.5</v>
      </c>
      <c r="E17" s="28">
        <v>5</v>
      </c>
      <c r="F17" s="28">
        <v>5</v>
      </c>
      <c r="G17" s="28"/>
      <c r="H17" s="28"/>
      <c r="I17" s="13"/>
      <c r="J17" s="13"/>
      <c r="K17" s="13">
        <f t="shared" si="0"/>
        <v>45.5</v>
      </c>
    </row>
    <row r="18" s="2" customFormat="1" ht="21.75" customHeight="1" spans="1:11">
      <c r="A18" s="13"/>
      <c r="B18" s="13"/>
      <c r="C18" s="17" t="s">
        <v>224</v>
      </c>
      <c r="D18" s="28">
        <v>35.5</v>
      </c>
      <c r="E18" s="28">
        <v>20</v>
      </c>
      <c r="F18" s="28">
        <v>5</v>
      </c>
      <c r="G18" s="28"/>
      <c r="H18" s="28"/>
      <c r="I18" s="13"/>
      <c r="J18" s="13"/>
      <c r="K18" s="13">
        <f t="shared" si="0"/>
        <v>60.5</v>
      </c>
    </row>
    <row r="19" s="2" customFormat="1" ht="21.75" customHeight="1" spans="1:11">
      <c r="A19" s="85" t="s">
        <v>225</v>
      </c>
      <c r="B19" s="242">
        <v>10.5</v>
      </c>
      <c r="C19" s="13" t="s">
        <v>226</v>
      </c>
      <c r="D19" s="28">
        <v>40.5</v>
      </c>
      <c r="E19" s="28">
        <v>10</v>
      </c>
      <c r="F19" s="28">
        <v>5</v>
      </c>
      <c r="G19" s="28"/>
      <c r="H19" s="28"/>
      <c r="I19" s="13"/>
      <c r="J19" s="13"/>
      <c r="K19" s="13">
        <f t="shared" si="0"/>
        <v>55.5</v>
      </c>
    </row>
    <row r="20" s="2" customFormat="1" ht="21.75" customHeight="1" spans="1:11">
      <c r="A20" s="85"/>
      <c r="B20" s="242"/>
      <c r="C20" s="13" t="s">
        <v>227</v>
      </c>
      <c r="D20" s="28">
        <v>20</v>
      </c>
      <c r="E20" s="28">
        <v>20</v>
      </c>
      <c r="F20" s="28">
        <v>0</v>
      </c>
      <c r="G20" s="28"/>
      <c r="H20" s="28"/>
      <c r="I20" s="13"/>
      <c r="J20" s="13"/>
      <c r="K20" s="13">
        <f t="shared" si="0"/>
        <v>40</v>
      </c>
    </row>
    <row r="21" s="2" customFormat="1" ht="21.75" customHeight="1" spans="1:11">
      <c r="A21" s="85"/>
      <c r="B21" s="242"/>
      <c r="C21" s="13" t="s">
        <v>228</v>
      </c>
      <c r="D21" s="28">
        <v>40.5</v>
      </c>
      <c r="E21" s="28">
        <v>20</v>
      </c>
      <c r="F21" s="28">
        <v>15</v>
      </c>
      <c r="G21" s="28"/>
      <c r="H21" s="28"/>
      <c r="I21" s="13"/>
      <c r="J21" s="98"/>
      <c r="K21" s="13">
        <f t="shared" si="0"/>
        <v>75.5</v>
      </c>
    </row>
    <row r="22" s="2" customFormat="1" ht="21.75" customHeight="1" spans="1:11">
      <c r="A22" s="85"/>
      <c r="B22" s="242"/>
      <c r="C22" s="13" t="s">
        <v>229</v>
      </c>
      <c r="D22" s="28">
        <v>40.5</v>
      </c>
      <c r="E22" s="28">
        <v>20</v>
      </c>
      <c r="F22" s="28">
        <v>15</v>
      </c>
      <c r="G22" s="13"/>
      <c r="H22" s="28"/>
      <c r="I22" s="13"/>
      <c r="J22" s="98"/>
      <c r="K22" s="13">
        <f t="shared" si="0"/>
        <v>75.5</v>
      </c>
    </row>
    <row r="23" s="2" customFormat="1" ht="21.75" customHeight="1" spans="1:11">
      <c r="A23" s="28" t="s">
        <v>230</v>
      </c>
      <c r="B23" s="28">
        <v>10.5</v>
      </c>
      <c r="C23" s="13" t="s">
        <v>231</v>
      </c>
      <c r="D23" s="13">
        <v>10</v>
      </c>
      <c r="E23" s="13">
        <v>20</v>
      </c>
      <c r="F23" s="28">
        <v>0</v>
      </c>
      <c r="H23" s="13"/>
      <c r="I23" s="13"/>
      <c r="J23" s="98"/>
      <c r="K23" s="13">
        <f t="shared" si="0"/>
        <v>30</v>
      </c>
    </row>
    <row r="24" s="2" customFormat="1" ht="21.75" customHeight="1" spans="1:11">
      <c r="A24" s="13" t="s">
        <v>232</v>
      </c>
      <c r="B24" s="13">
        <v>12</v>
      </c>
      <c r="C24" s="13" t="s">
        <v>233</v>
      </c>
      <c r="D24" s="13">
        <v>12</v>
      </c>
      <c r="E24" s="13">
        <v>20</v>
      </c>
      <c r="F24" s="13">
        <v>0</v>
      </c>
      <c r="G24" s="13"/>
      <c r="H24" s="13"/>
      <c r="I24" s="13"/>
      <c r="J24" s="98"/>
      <c r="K24" s="13">
        <f t="shared" si="0"/>
        <v>32</v>
      </c>
    </row>
    <row r="25" s="2" customFormat="1" ht="21.75" customHeight="1" spans="1:11">
      <c r="A25" s="17"/>
      <c r="B25" s="29"/>
      <c r="C25" s="29"/>
      <c r="D25" s="29"/>
      <c r="E25" s="29"/>
      <c r="F25" s="29"/>
      <c r="G25" s="29"/>
      <c r="H25" s="29"/>
      <c r="I25" s="29"/>
      <c r="J25" s="98"/>
      <c r="K25" s="13">
        <f>SUM(K4:K24)</f>
        <v>966.6</v>
      </c>
    </row>
    <row r="26" s="104" customFormat="1"/>
    <row r="27" s="104" customFormat="1"/>
    <row r="28" s="3" customFormat="1" ht="21" customHeight="1" spans="1:11">
      <c r="A28" s="133" t="s">
        <v>234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</row>
    <row r="29" s="3" customFormat="1" ht="21" customHeight="1" spans="1:11">
      <c r="A29" s="134" t="s">
        <v>235</v>
      </c>
      <c r="B29" s="134"/>
      <c r="C29" s="134"/>
      <c r="D29" s="134" t="s">
        <v>236</v>
      </c>
      <c r="E29" s="134"/>
      <c r="F29" s="134"/>
      <c r="G29" s="134"/>
      <c r="H29" s="134"/>
      <c r="I29" s="134"/>
      <c r="J29" s="134"/>
      <c r="K29" s="134"/>
    </row>
    <row r="30" s="3" customFormat="1" ht="21" customHeight="1" spans="1:11">
      <c r="A30" s="135" t="s">
        <v>200</v>
      </c>
      <c r="B30" s="135" t="s">
        <v>201</v>
      </c>
      <c r="C30" s="136" t="s">
        <v>202</v>
      </c>
      <c r="D30" s="137" t="s">
        <v>6</v>
      </c>
      <c r="E30" s="137" t="s">
        <v>6</v>
      </c>
      <c r="F30" s="135" t="s">
        <v>6</v>
      </c>
      <c r="G30" s="135" t="s">
        <v>6</v>
      </c>
      <c r="H30" s="135" t="s">
        <v>6</v>
      </c>
      <c r="I30" s="135" t="s">
        <v>6</v>
      </c>
      <c r="J30" s="135" t="s">
        <v>203</v>
      </c>
      <c r="K30" s="135" t="s">
        <v>204</v>
      </c>
    </row>
    <row r="31" s="3" customFormat="1" ht="21" customHeight="1" spans="1:11">
      <c r="A31" s="68" t="s">
        <v>205</v>
      </c>
      <c r="B31" s="68">
        <v>12</v>
      </c>
      <c r="C31" s="113" t="s">
        <v>206</v>
      </c>
      <c r="D31" s="191">
        <v>12</v>
      </c>
      <c r="E31" s="191">
        <v>5</v>
      </c>
      <c r="F31" s="121"/>
      <c r="G31" s="121"/>
      <c r="H31" s="121"/>
      <c r="I31" s="68"/>
      <c r="J31" s="68"/>
      <c r="K31" s="56">
        <f t="shared" ref="K31:K53" si="1">SUM(D31:J31)</f>
        <v>17</v>
      </c>
    </row>
    <row r="32" s="3" customFormat="1" ht="21" customHeight="1" spans="1:11">
      <c r="A32" s="116" t="s">
        <v>207</v>
      </c>
      <c r="B32" s="68">
        <v>11.5</v>
      </c>
      <c r="C32" s="117" t="s">
        <v>208</v>
      </c>
      <c r="D32" s="191">
        <v>11.5</v>
      </c>
      <c r="E32" s="191">
        <v>5</v>
      </c>
      <c r="F32" s="121"/>
      <c r="G32" s="121"/>
      <c r="H32" s="121"/>
      <c r="I32" s="68"/>
      <c r="J32" s="68"/>
      <c r="K32" s="56">
        <f t="shared" si="1"/>
        <v>16.5</v>
      </c>
    </row>
    <row r="33" s="3" customFormat="1" ht="21" customHeight="1" spans="1:11">
      <c r="A33" s="116"/>
      <c r="B33" s="68"/>
      <c r="C33" s="68" t="s">
        <v>209</v>
      </c>
      <c r="D33" s="191">
        <v>11.5</v>
      </c>
      <c r="E33" s="191">
        <v>5</v>
      </c>
      <c r="F33" s="121"/>
      <c r="G33" s="121"/>
      <c r="H33" s="121"/>
      <c r="I33" s="68"/>
      <c r="J33" s="68"/>
      <c r="K33" s="56">
        <f t="shared" si="1"/>
        <v>16.5</v>
      </c>
    </row>
    <row r="34" s="3" customFormat="1" ht="21" customHeight="1" spans="1:11">
      <c r="A34" s="116"/>
      <c r="B34" s="68"/>
      <c r="C34" s="117" t="s">
        <v>210</v>
      </c>
      <c r="D34" s="191">
        <v>11.5</v>
      </c>
      <c r="E34" s="191">
        <v>5</v>
      </c>
      <c r="F34" s="121"/>
      <c r="G34" s="121"/>
      <c r="H34" s="121"/>
      <c r="I34" s="68"/>
      <c r="J34" s="68"/>
      <c r="K34" s="56">
        <f t="shared" si="1"/>
        <v>16.5</v>
      </c>
    </row>
    <row r="35" s="3" customFormat="1" ht="21" customHeight="1" spans="1:11">
      <c r="A35" s="79" t="s">
        <v>237</v>
      </c>
      <c r="B35" s="56">
        <v>11.5</v>
      </c>
      <c r="C35" s="61" t="s">
        <v>212</v>
      </c>
      <c r="D35" s="190">
        <v>11.5</v>
      </c>
      <c r="E35" s="191">
        <v>5</v>
      </c>
      <c r="F35" s="121"/>
      <c r="G35" s="121"/>
      <c r="H35" s="121"/>
      <c r="I35" s="68"/>
      <c r="J35" s="68"/>
      <c r="K35" s="56">
        <f t="shared" si="1"/>
        <v>16.5</v>
      </c>
    </row>
    <row r="36" s="3" customFormat="1" ht="21" customHeight="1" spans="1:11">
      <c r="A36" s="80"/>
      <c r="B36" s="56"/>
      <c r="C36" s="3" t="s">
        <v>215</v>
      </c>
      <c r="D36" s="190">
        <v>23</v>
      </c>
      <c r="E36" s="190">
        <v>5</v>
      </c>
      <c r="F36" s="121"/>
      <c r="G36" s="121"/>
      <c r="H36" s="121"/>
      <c r="I36" s="68"/>
      <c r="J36" s="68"/>
      <c r="K36" s="56">
        <f t="shared" si="1"/>
        <v>28</v>
      </c>
    </row>
    <row r="37" s="3" customFormat="1" ht="21" customHeight="1" spans="1:11">
      <c r="A37" s="81" t="s">
        <v>238</v>
      </c>
      <c r="B37" s="56"/>
      <c r="C37" s="61" t="s">
        <v>213</v>
      </c>
      <c r="D37" s="190">
        <v>23</v>
      </c>
      <c r="E37" s="190">
        <v>5</v>
      </c>
      <c r="F37" s="121"/>
      <c r="G37" s="121"/>
      <c r="H37" s="121"/>
      <c r="I37" s="68"/>
      <c r="J37" s="68"/>
      <c r="K37" s="56">
        <f t="shared" si="1"/>
        <v>28</v>
      </c>
    </row>
    <row r="38" s="3" customFormat="1" ht="21" customHeight="1" spans="1:11">
      <c r="A38" s="82"/>
      <c r="B38" s="56"/>
      <c r="C38" s="61" t="s">
        <v>216</v>
      </c>
      <c r="D38" s="190">
        <v>23</v>
      </c>
      <c r="E38" s="190">
        <v>5</v>
      </c>
      <c r="F38" s="121"/>
      <c r="G38" s="121"/>
      <c r="H38" s="121"/>
      <c r="I38" s="121"/>
      <c r="J38" s="68"/>
      <c r="K38" s="56">
        <f t="shared" si="1"/>
        <v>28</v>
      </c>
    </row>
    <row r="39" s="3" customFormat="1" ht="21" customHeight="1" spans="1:11">
      <c r="A39" s="84" t="s">
        <v>239</v>
      </c>
      <c r="B39" s="56"/>
      <c r="C39" s="56" t="s">
        <v>214</v>
      </c>
      <c r="D39" s="191">
        <v>0</v>
      </c>
      <c r="E39" s="190">
        <v>10</v>
      </c>
      <c r="F39" s="121"/>
      <c r="G39" s="121"/>
      <c r="H39" s="121"/>
      <c r="I39" s="121"/>
      <c r="J39" s="68"/>
      <c r="K39" s="56">
        <f t="shared" si="1"/>
        <v>10</v>
      </c>
    </row>
    <row r="40" s="3" customFormat="1" ht="21" customHeight="1" spans="1:11">
      <c r="A40" s="68" t="s">
        <v>217</v>
      </c>
      <c r="B40" s="68">
        <v>10.5</v>
      </c>
      <c r="C40" s="68" t="s">
        <v>218</v>
      </c>
      <c r="D40" s="190">
        <v>0</v>
      </c>
      <c r="E40" s="190">
        <v>10</v>
      </c>
      <c r="F40" s="121"/>
      <c r="G40" s="121"/>
      <c r="H40" s="121"/>
      <c r="I40" s="68"/>
      <c r="J40" s="68"/>
      <c r="K40" s="56">
        <f t="shared" si="1"/>
        <v>10</v>
      </c>
    </row>
    <row r="41" s="3" customFormat="1" ht="21" customHeight="1" spans="1:11">
      <c r="A41" s="68"/>
      <c r="B41" s="68"/>
      <c r="C41" s="68" t="s">
        <v>219</v>
      </c>
      <c r="D41" s="190">
        <v>0</v>
      </c>
      <c r="E41" s="190">
        <v>15</v>
      </c>
      <c r="F41" s="121"/>
      <c r="G41" s="121"/>
      <c r="H41" s="121"/>
      <c r="I41" s="68"/>
      <c r="J41" s="68"/>
      <c r="K41" s="56">
        <f t="shared" si="1"/>
        <v>15</v>
      </c>
    </row>
    <row r="42" s="3" customFormat="1" ht="21" customHeight="1" spans="1:11">
      <c r="A42" s="68" t="s">
        <v>220</v>
      </c>
      <c r="B42" s="68">
        <v>11.5</v>
      </c>
      <c r="C42" s="117" t="s">
        <v>221</v>
      </c>
      <c r="D42" s="191">
        <v>11.5</v>
      </c>
      <c r="E42" s="191">
        <v>15</v>
      </c>
      <c r="F42" s="121"/>
      <c r="G42" s="121"/>
      <c r="H42" s="121"/>
      <c r="I42" s="68"/>
      <c r="J42" s="68"/>
      <c r="K42" s="56">
        <f t="shared" si="1"/>
        <v>26.5</v>
      </c>
    </row>
    <row r="43" s="3" customFormat="1" ht="21" customHeight="1" spans="1:11">
      <c r="A43" s="68"/>
      <c r="B43" s="68"/>
      <c r="C43" s="117" t="s">
        <v>222</v>
      </c>
      <c r="D43" s="191">
        <v>10.5</v>
      </c>
      <c r="E43" s="191">
        <v>15</v>
      </c>
      <c r="F43" s="121"/>
      <c r="G43" s="121"/>
      <c r="H43" s="121"/>
      <c r="I43" s="68"/>
      <c r="J43" s="68"/>
      <c r="K43" s="56">
        <f t="shared" si="1"/>
        <v>25.5</v>
      </c>
    </row>
    <row r="44" s="3" customFormat="1" ht="21" customHeight="1" spans="1:11">
      <c r="A44" s="68"/>
      <c r="B44" s="68"/>
      <c r="C44" s="117" t="s">
        <v>223</v>
      </c>
      <c r="D44" s="191">
        <v>0</v>
      </c>
      <c r="E44" s="191">
        <v>10</v>
      </c>
      <c r="F44" s="121"/>
      <c r="G44" s="121"/>
      <c r="H44" s="121"/>
      <c r="I44" s="68"/>
      <c r="J44" s="68"/>
      <c r="K44" s="56">
        <f t="shared" si="1"/>
        <v>10</v>
      </c>
    </row>
    <row r="45" s="3" customFormat="1" ht="21" customHeight="1" spans="1:11">
      <c r="A45" s="68"/>
      <c r="B45" s="68"/>
      <c r="C45" s="117" t="s">
        <v>224</v>
      </c>
      <c r="D45" s="191">
        <v>0</v>
      </c>
      <c r="E45" s="191">
        <v>80</v>
      </c>
      <c r="F45" s="121"/>
      <c r="G45" s="121"/>
      <c r="H45" s="121"/>
      <c r="I45" s="68"/>
      <c r="J45" s="68"/>
      <c r="K45" s="56">
        <f t="shared" si="1"/>
        <v>80</v>
      </c>
    </row>
    <row r="46" s="3" customFormat="1" ht="21" customHeight="1" spans="1:11">
      <c r="A46" s="119" t="s">
        <v>225</v>
      </c>
      <c r="B46" s="119">
        <v>10.5</v>
      </c>
      <c r="C46" s="68" t="s">
        <v>226</v>
      </c>
      <c r="D46" s="191">
        <v>14</v>
      </c>
      <c r="E46" s="191">
        <v>5</v>
      </c>
      <c r="F46" s="121"/>
      <c r="G46" s="121"/>
      <c r="H46" s="121"/>
      <c r="I46" s="68"/>
      <c r="J46" s="68"/>
      <c r="K46" s="56">
        <f t="shared" si="1"/>
        <v>19</v>
      </c>
    </row>
    <row r="47" s="3" customFormat="1" ht="21" customHeight="1" spans="1:11">
      <c r="A47" s="119"/>
      <c r="B47" s="119"/>
      <c r="C47" s="68" t="s">
        <v>228</v>
      </c>
      <c r="D47" s="190">
        <v>10</v>
      </c>
      <c r="E47" s="190">
        <v>0</v>
      </c>
      <c r="F47" s="121"/>
      <c r="G47" s="121"/>
      <c r="H47" s="121"/>
      <c r="I47" s="68"/>
      <c r="J47" s="68"/>
      <c r="K47" s="56">
        <f t="shared" si="1"/>
        <v>10</v>
      </c>
    </row>
    <row r="48" s="3" customFormat="1" ht="21" customHeight="1" spans="1:11">
      <c r="A48" s="119"/>
      <c r="B48" s="119"/>
      <c r="C48" s="68" t="s">
        <v>227</v>
      </c>
      <c r="D48" s="190">
        <v>10</v>
      </c>
      <c r="E48" s="190">
        <v>10</v>
      </c>
      <c r="F48" s="121"/>
      <c r="G48" s="121"/>
      <c r="H48" s="121"/>
      <c r="I48" s="68"/>
      <c r="J48" s="68"/>
      <c r="K48" s="56">
        <f t="shared" si="1"/>
        <v>20</v>
      </c>
    </row>
    <row r="49" s="3" customFormat="1" ht="21" customHeight="1" spans="1:11">
      <c r="A49" s="119"/>
      <c r="B49" s="119"/>
      <c r="C49" s="68" t="s">
        <v>229</v>
      </c>
      <c r="D49" s="191">
        <v>14</v>
      </c>
      <c r="E49" s="191">
        <v>0</v>
      </c>
      <c r="F49" s="121"/>
      <c r="G49" s="121"/>
      <c r="H49" s="121"/>
      <c r="I49" s="68"/>
      <c r="J49" s="141"/>
      <c r="K49" s="56">
        <f t="shared" si="1"/>
        <v>14</v>
      </c>
    </row>
    <row r="50" s="3" customFormat="1" ht="21" customHeight="1" spans="1:11">
      <c r="A50" s="119"/>
      <c r="B50" s="119"/>
      <c r="C50" s="68" t="s">
        <v>240</v>
      </c>
      <c r="D50" s="191">
        <v>10</v>
      </c>
      <c r="E50" s="191">
        <v>0</v>
      </c>
      <c r="F50" s="121"/>
      <c r="G50" s="121"/>
      <c r="H50" s="121"/>
      <c r="I50" s="68"/>
      <c r="J50" s="141"/>
      <c r="K50" s="56">
        <f t="shared" si="1"/>
        <v>10</v>
      </c>
    </row>
    <row r="51" s="3" customFormat="1" ht="21" customHeight="1" spans="1:11">
      <c r="A51" s="121" t="s">
        <v>230</v>
      </c>
      <c r="B51" s="121">
        <v>10.5</v>
      </c>
      <c r="C51" s="121" t="s">
        <v>231</v>
      </c>
      <c r="D51" s="191">
        <v>10</v>
      </c>
      <c r="E51" s="191">
        <v>0</v>
      </c>
      <c r="F51" s="121"/>
      <c r="G51" s="121"/>
      <c r="H51" s="121"/>
      <c r="I51" s="121"/>
      <c r="J51" s="139"/>
      <c r="K51" s="56">
        <f t="shared" si="1"/>
        <v>10</v>
      </c>
    </row>
    <row r="52" s="3" customFormat="1" ht="21" customHeight="1" spans="1:11">
      <c r="A52" s="243" t="s">
        <v>232</v>
      </c>
      <c r="B52" s="244">
        <v>12</v>
      </c>
      <c r="C52" s="244" t="s">
        <v>233</v>
      </c>
      <c r="D52" s="190">
        <v>12</v>
      </c>
      <c r="E52" s="190">
        <v>0</v>
      </c>
      <c r="F52" s="244"/>
      <c r="G52" s="244"/>
      <c r="H52" s="244"/>
      <c r="I52" s="244"/>
      <c r="J52" s="245"/>
      <c r="K52" s="60">
        <f t="shared" si="1"/>
        <v>12</v>
      </c>
    </row>
    <row r="53" s="3" customFormat="1" ht="21" customHeight="1" spans="1:11">
      <c r="A53" s="211"/>
      <c r="B53" s="212"/>
      <c r="C53" s="212"/>
      <c r="D53" s="212"/>
      <c r="E53" s="212"/>
      <c r="F53" s="212"/>
      <c r="G53" s="212"/>
      <c r="H53" s="212"/>
      <c r="I53" s="212"/>
      <c r="J53" s="246"/>
      <c r="K53" s="141">
        <f>SUM(K31:K52)</f>
        <v>439</v>
      </c>
    </row>
    <row r="54" s="104" customFormat="1"/>
    <row r="55" s="104" customFormat="1"/>
    <row r="56" s="1" customFormat="1" ht="21" customHeight="1" spans="1:11">
      <c r="A56" s="4" t="s">
        <v>234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="1" customFormat="1" ht="21" customHeight="1" spans="1:11">
      <c r="A57" s="5" t="s">
        <v>235</v>
      </c>
      <c r="B57" s="5"/>
      <c r="C57" s="5"/>
      <c r="D57" s="5" t="s">
        <v>241</v>
      </c>
      <c r="E57" s="5"/>
      <c r="F57" s="5"/>
      <c r="G57" s="5"/>
      <c r="H57" s="5"/>
      <c r="I57" s="5"/>
      <c r="J57" s="5"/>
      <c r="K57" s="5"/>
    </row>
    <row r="58" s="1" customFormat="1" ht="21" customHeight="1" spans="1:11">
      <c r="A58" s="6" t="s">
        <v>200</v>
      </c>
      <c r="B58" s="6" t="s">
        <v>201</v>
      </c>
      <c r="C58" s="7" t="s">
        <v>202</v>
      </c>
      <c r="D58" s="8" t="s">
        <v>6</v>
      </c>
      <c r="E58" s="8" t="s">
        <v>6</v>
      </c>
      <c r="F58" s="6" t="s">
        <v>6</v>
      </c>
      <c r="G58" s="6" t="s">
        <v>6</v>
      </c>
      <c r="H58" s="6" t="s">
        <v>6</v>
      </c>
      <c r="I58" s="6" t="s">
        <v>6</v>
      </c>
      <c r="J58" s="6" t="s">
        <v>203</v>
      </c>
      <c r="K58" s="6" t="s">
        <v>204</v>
      </c>
    </row>
    <row r="59" s="1" customFormat="1" ht="21" customHeight="1" spans="1:11">
      <c r="A59" s="9" t="s">
        <v>205</v>
      </c>
      <c r="B59" s="9">
        <v>12</v>
      </c>
      <c r="C59" s="10" t="s">
        <v>206</v>
      </c>
      <c r="D59" s="86">
        <v>12</v>
      </c>
      <c r="E59" s="86">
        <v>20</v>
      </c>
      <c r="F59" s="26"/>
      <c r="G59" s="26"/>
      <c r="H59" s="26"/>
      <c r="I59" s="9"/>
      <c r="J59" s="9"/>
      <c r="K59" s="13">
        <f t="shared" ref="K59:K81" si="2">SUM(D59:J59)</f>
        <v>32</v>
      </c>
    </row>
    <row r="60" s="1" customFormat="1" ht="21" customHeight="1" spans="1:11">
      <c r="A60" s="14" t="s">
        <v>207</v>
      </c>
      <c r="B60" s="9">
        <v>11.5</v>
      </c>
      <c r="C60" s="15" t="s">
        <v>208</v>
      </c>
      <c r="D60" s="86">
        <v>11.5</v>
      </c>
      <c r="E60" s="86">
        <v>20</v>
      </c>
      <c r="F60" s="26"/>
      <c r="G60" s="26"/>
      <c r="H60" s="26"/>
      <c r="I60" s="9"/>
      <c r="J60" s="9"/>
      <c r="K60" s="13">
        <f t="shared" si="2"/>
        <v>31.5</v>
      </c>
    </row>
    <row r="61" s="1" customFormat="1" ht="21" customHeight="1" spans="1:11">
      <c r="A61" s="14"/>
      <c r="B61" s="9"/>
      <c r="C61" s="9" t="s">
        <v>209</v>
      </c>
      <c r="D61" s="86">
        <v>11.5</v>
      </c>
      <c r="E61" s="86">
        <v>20</v>
      </c>
      <c r="F61" s="26"/>
      <c r="G61" s="26"/>
      <c r="H61" s="26"/>
      <c r="I61" s="9"/>
      <c r="J61" s="9"/>
      <c r="K61" s="13">
        <f t="shared" si="2"/>
        <v>31.5</v>
      </c>
    </row>
    <row r="62" s="1" customFormat="1" ht="21" customHeight="1" spans="1:11">
      <c r="A62" s="14"/>
      <c r="B62" s="9"/>
      <c r="C62" s="15" t="s">
        <v>210</v>
      </c>
      <c r="D62" s="86">
        <v>11.5</v>
      </c>
      <c r="E62" s="86">
        <v>20</v>
      </c>
      <c r="F62" s="26"/>
      <c r="G62" s="26"/>
      <c r="H62" s="26"/>
      <c r="I62" s="9"/>
      <c r="J62" s="9"/>
      <c r="K62" s="13">
        <f t="shared" si="2"/>
        <v>31.5</v>
      </c>
    </row>
    <row r="63" s="1" customFormat="1" ht="21" customHeight="1" spans="1:11">
      <c r="A63" s="16" t="s">
        <v>237</v>
      </c>
      <c r="B63" s="13">
        <v>11.5</v>
      </c>
      <c r="C63" s="17" t="s">
        <v>212</v>
      </c>
      <c r="D63" s="86">
        <v>11.5</v>
      </c>
      <c r="E63" s="86">
        <v>0</v>
      </c>
      <c r="F63" s="26"/>
      <c r="G63" s="26"/>
      <c r="H63" s="26"/>
      <c r="I63" s="9"/>
      <c r="J63" s="9"/>
      <c r="K63" s="13">
        <f t="shared" si="2"/>
        <v>11.5</v>
      </c>
    </row>
    <row r="64" s="1" customFormat="1" ht="21" customHeight="1" spans="1:11">
      <c r="A64" s="18"/>
      <c r="B64" s="13"/>
      <c r="C64" s="1" t="s">
        <v>215</v>
      </c>
      <c r="D64" s="86">
        <v>23</v>
      </c>
      <c r="E64" s="86">
        <v>0</v>
      </c>
      <c r="F64" s="26"/>
      <c r="G64" s="26"/>
      <c r="H64" s="26"/>
      <c r="I64" s="9"/>
      <c r="J64" s="9"/>
      <c r="K64" s="13">
        <f t="shared" si="2"/>
        <v>23</v>
      </c>
    </row>
    <row r="65" s="1" customFormat="1" ht="21" customHeight="1" spans="1:11">
      <c r="A65" s="19" t="s">
        <v>238</v>
      </c>
      <c r="B65" s="13"/>
      <c r="C65" s="17" t="s">
        <v>213</v>
      </c>
      <c r="D65" s="86">
        <v>23</v>
      </c>
      <c r="E65" s="86">
        <v>20</v>
      </c>
      <c r="F65" s="26"/>
      <c r="G65" s="26"/>
      <c r="H65" s="26"/>
      <c r="I65" s="9"/>
      <c r="J65" s="9"/>
      <c r="K65" s="13">
        <f t="shared" si="2"/>
        <v>43</v>
      </c>
    </row>
    <row r="66" s="1" customFormat="1" ht="21" customHeight="1" spans="1:11">
      <c r="A66" s="20"/>
      <c r="B66" s="13"/>
      <c r="C66" s="17" t="s">
        <v>216</v>
      </c>
      <c r="D66" s="86">
        <v>23</v>
      </c>
      <c r="E66" s="86">
        <v>20</v>
      </c>
      <c r="F66" s="26"/>
      <c r="G66" s="26"/>
      <c r="H66" s="26"/>
      <c r="I66" s="26"/>
      <c r="J66" s="9"/>
      <c r="K66" s="13">
        <f t="shared" si="2"/>
        <v>43</v>
      </c>
    </row>
    <row r="67" s="1" customFormat="1" ht="21" customHeight="1" spans="1:11">
      <c r="A67" s="21" t="s">
        <v>239</v>
      </c>
      <c r="B67" s="13"/>
      <c r="C67" s="13" t="s">
        <v>214</v>
      </c>
      <c r="D67" s="86">
        <v>0</v>
      </c>
      <c r="E67" s="86">
        <v>20</v>
      </c>
      <c r="F67" s="26"/>
      <c r="G67" s="26"/>
      <c r="H67" s="26"/>
      <c r="I67" s="26"/>
      <c r="J67" s="9"/>
      <c r="K67" s="13">
        <f t="shared" si="2"/>
        <v>20</v>
      </c>
    </row>
    <row r="68" s="1" customFormat="1" ht="21" customHeight="1" spans="1:11">
      <c r="A68" s="9" t="s">
        <v>217</v>
      </c>
      <c r="B68" s="9">
        <v>10.5</v>
      </c>
      <c r="C68" s="9" t="s">
        <v>218</v>
      </c>
      <c r="D68" s="86">
        <v>0</v>
      </c>
      <c r="E68" s="86">
        <v>20</v>
      </c>
      <c r="F68" s="26"/>
      <c r="G68" s="26"/>
      <c r="H68" s="26"/>
      <c r="I68" s="9"/>
      <c r="J68" s="9"/>
      <c r="K68" s="13">
        <f t="shared" si="2"/>
        <v>20</v>
      </c>
    </row>
    <row r="69" s="1" customFormat="1" ht="21" customHeight="1" spans="1:11">
      <c r="A69" s="9"/>
      <c r="B69" s="9"/>
      <c r="C69" s="9" t="s">
        <v>219</v>
      </c>
      <c r="D69" s="86">
        <v>0</v>
      </c>
      <c r="E69" s="86">
        <v>20</v>
      </c>
      <c r="F69" s="26"/>
      <c r="G69" s="26"/>
      <c r="H69" s="26"/>
      <c r="I69" s="9"/>
      <c r="J69" s="9"/>
      <c r="K69" s="13">
        <f t="shared" si="2"/>
        <v>20</v>
      </c>
    </row>
    <row r="70" s="1" customFormat="1" ht="21" customHeight="1" spans="1:11">
      <c r="A70" s="9" t="s">
        <v>220</v>
      </c>
      <c r="B70" s="9">
        <v>11.5</v>
      </c>
      <c r="C70" s="15" t="s">
        <v>221</v>
      </c>
      <c r="D70" s="86">
        <v>28</v>
      </c>
      <c r="E70" s="86">
        <v>20</v>
      </c>
      <c r="F70" s="26"/>
      <c r="G70" s="26"/>
      <c r="H70" s="26"/>
      <c r="I70" s="9"/>
      <c r="J70" s="9"/>
      <c r="K70" s="13">
        <f t="shared" si="2"/>
        <v>48</v>
      </c>
    </row>
    <row r="71" s="1" customFormat="1" ht="21" customHeight="1" spans="1:11">
      <c r="A71" s="9"/>
      <c r="B71" s="9"/>
      <c r="C71" s="15" t="s">
        <v>222</v>
      </c>
      <c r="D71" s="86">
        <v>16</v>
      </c>
      <c r="E71" s="86">
        <v>0</v>
      </c>
      <c r="F71" s="26"/>
      <c r="G71" s="26"/>
      <c r="H71" s="26"/>
      <c r="I71" s="9"/>
      <c r="J71" s="9"/>
      <c r="K71" s="13">
        <f t="shared" si="2"/>
        <v>16</v>
      </c>
    </row>
    <row r="72" s="1" customFormat="1" ht="21" customHeight="1" spans="1:11">
      <c r="A72" s="9"/>
      <c r="B72" s="9"/>
      <c r="C72" s="15" t="s">
        <v>223</v>
      </c>
      <c r="D72" s="86">
        <v>16</v>
      </c>
      <c r="E72" s="86">
        <v>20</v>
      </c>
      <c r="F72" s="26"/>
      <c r="G72" s="26"/>
      <c r="H72" s="26"/>
      <c r="I72" s="9"/>
      <c r="J72" s="9"/>
      <c r="K72" s="13">
        <f t="shared" si="2"/>
        <v>36</v>
      </c>
    </row>
    <row r="73" s="1" customFormat="1" ht="21" customHeight="1" spans="1:11">
      <c r="A73" s="9"/>
      <c r="B73" s="9"/>
      <c r="C73" s="15" t="s">
        <v>224</v>
      </c>
      <c r="D73" s="86">
        <v>68</v>
      </c>
      <c r="E73" s="86">
        <v>0</v>
      </c>
      <c r="F73" s="26"/>
      <c r="G73" s="26"/>
      <c r="H73" s="26"/>
      <c r="I73" s="9"/>
      <c r="J73" s="9"/>
      <c r="K73" s="13">
        <f t="shared" si="2"/>
        <v>68</v>
      </c>
    </row>
    <row r="74" s="1" customFormat="1" ht="21" customHeight="1" spans="1:11">
      <c r="A74" s="25" t="s">
        <v>225</v>
      </c>
      <c r="B74" s="25">
        <v>10.5</v>
      </c>
      <c r="C74" s="9" t="s">
        <v>226</v>
      </c>
      <c r="D74" s="86">
        <v>11</v>
      </c>
      <c r="E74" s="86">
        <v>20</v>
      </c>
      <c r="F74" s="26"/>
      <c r="G74" s="26"/>
      <c r="H74" s="26"/>
      <c r="I74" s="9"/>
      <c r="J74" s="9"/>
      <c r="K74" s="13">
        <f t="shared" si="2"/>
        <v>31</v>
      </c>
    </row>
    <row r="75" s="1" customFormat="1" ht="21" customHeight="1" spans="1:11">
      <c r="A75" s="25"/>
      <c r="B75" s="25"/>
      <c r="C75" s="9" t="s">
        <v>228</v>
      </c>
      <c r="D75" s="86">
        <v>20</v>
      </c>
      <c r="E75" s="86">
        <v>20</v>
      </c>
      <c r="F75" s="26"/>
      <c r="G75" s="26"/>
      <c r="H75" s="26"/>
      <c r="I75" s="9"/>
      <c r="J75" s="9"/>
      <c r="K75" s="13">
        <f t="shared" si="2"/>
        <v>40</v>
      </c>
    </row>
    <row r="76" s="1" customFormat="1" ht="21" customHeight="1" spans="1:11">
      <c r="A76" s="25"/>
      <c r="B76" s="25"/>
      <c r="C76" s="9" t="s">
        <v>227</v>
      </c>
      <c r="D76" s="86">
        <v>11</v>
      </c>
      <c r="E76" s="86">
        <v>20</v>
      </c>
      <c r="F76" s="26"/>
      <c r="G76" s="26"/>
      <c r="H76" s="26"/>
      <c r="I76" s="9"/>
      <c r="J76" s="9"/>
      <c r="K76" s="13">
        <f t="shared" si="2"/>
        <v>31</v>
      </c>
    </row>
    <row r="77" s="1" customFormat="1" ht="21" customHeight="1" spans="1:11">
      <c r="A77" s="25"/>
      <c r="B77" s="25"/>
      <c r="C77" s="9" t="s">
        <v>240</v>
      </c>
      <c r="D77" s="86">
        <v>22</v>
      </c>
      <c r="E77" s="86">
        <v>20</v>
      </c>
      <c r="F77" s="26"/>
      <c r="G77" s="26"/>
      <c r="H77" s="26"/>
      <c r="I77" s="9"/>
      <c r="J77" s="106"/>
      <c r="K77" s="13">
        <f t="shared" si="2"/>
        <v>42</v>
      </c>
    </row>
    <row r="78" s="1" customFormat="1" ht="21" customHeight="1" spans="1:11">
      <c r="A78" s="25"/>
      <c r="B78" s="25"/>
      <c r="C78" s="9" t="s">
        <v>229</v>
      </c>
      <c r="D78" s="86">
        <v>11</v>
      </c>
      <c r="E78" s="86">
        <v>20</v>
      </c>
      <c r="F78" s="26"/>
      <c r="G78" s="26"/>
      <c r="H78" s="26"/>
      <c r="I78" s="9"/>
      <c r="J78" s="106"/>
      <c r="K78" s="13">
        <f t="shared" si="2"/>
        <v>31</v>
      </c>
    </row>
    <row r="79" s="1" customFormat="1" ht="21" customHeight="1" spans="1:11">
      <c r="A79" s="26" t="s">
        <v>230</v>
      </c>
      <c r="B79" s="26">
        <v>10.5</v>
      </c>
      <c r="C79" s="9" t="s">
        <v>231</v>
      </c>
      <c r="D79" s="86">
        <v>10</v>
      </c>
      <c r="E79" s="86">
        <v>15</v>
      </c>
      <c r="F79" s="9"/>
      <c r="G79" s="9"/>
      <c r="H79" s="9"/>
      <c r="I79" s="9"/>
      <c r="J79" s="106"/>
      <c r="K79" s="13">
        <f t="shared" si="2"/>
        <v>25</v>
      </c>
    </row>
    <row r="80" s="1" customFormat="1" ht="21" customHeight="1" spans="1:11">
      <c r="A80" s="26" t="s">
        <v>232</v>
      </c>
      <c r="B80" s="26">
        <v>12</v>
      </c>
      <c r="C80" s="26" t="s">
        <v>233</v>
      </c>
      <c r="D80" s="86">
        <v>12</v>
      </c>
      <c r="E80" s="86">
        <v>20</v>
      </c>
      <c r="F80" s="26"/>
      <c r="G80" s="26"/>
      <c r="H80" s="26"/>
      <c r="I80" s="26"/>
      <c r="J80" s="107"/>
      <c r="K80" s="13">
        <f t="shared" si="2"/>
        <v>32</v>
      </c>
    </row>
    <row r="81" s="1" customFormat="1" ht="21" customHeight="1" spans="1:11">
      <c r="A81" s="17"/>
      <c r="B81" s="29"/>
      <c r="C81" s="29"/>
      <c r="D81" s="29"/>
      <c r="E81" s="29"/>
      <c r="F81" s="29"/>
      <c r="G81" s="29"/>
      <c r="H81" s="29"/>
      <c r="I81" s="29"/>
      <c r="J81" s="99"/>
      <c r="K81" s="9">
        <f>SUM(K59:K80)</f>
        <v>707</v>
      </c>
    </row>
    <row r="82" s="104" customFormat="1"/>
    <row r="83" s="104" customFormat="1"/>
    <row r="84" s="104" customFormat="1"/>
    <row r="85" s="3" customFormat="1" ht="21" customHeight="1" spans="1:11">
      <c r="A85" s="133" t="s">
        <v>234</v>
      </c>
      <c r="B85" s="133"/>
      <c r="C85" s="133"/>
      <c r="D85" s="133"/>
      <c r="E85" s="133"/>
      <c r="F85" s="133"/>
      <c r="G85" s="133"/>
      <c r="H85" s="133"/>
      <c r="I85" s="133"/>
      <c r="J85" s="133"/>
      <c r="K85" s="133"/>
    </row>
    <row r="86" s="3" customFormat="1" ht="21" customHeight="1" spans="1:11">
      <c r="A86" s="134" t="s">
        <v>235</v>
      </c>
      <c r="B86" s="134"/>
      <c r="C86" s="134"/>
      <c r="D86" s="134" t="s">
        <v>242</v>
      </c>
      <c r="E86" s="134"/>
      <c r="F86" s="134"/>
      <c r="G86" s="134"/>
      <c r="H86" s="134"/>
      <c r="I86" s="134"/>
      <c r="J86" s="134"/>
      <c r="K86" s="134"/>
    </row>
    <row r="87" s="3" customFormat="1" ht="21" customHeight="1" spans="1:11">
      <c r="A87" s="135" t="s">
        <v>200</v>
      </c>
      <c r="B87" s="135" t="s">
        <v>201</v>
      </c>
      <c r="C87" s="136" t="s">
        <v>202</v>
      </c>
      <c r="D87" s="137" t="s">
        <v>6</v>
      </c>
      <c r="E87" s="137" t="s">
        <v>6</v>
      </c>
      <c r="F87" s="135" t="s">
        <v>6</v>
      </c>
      <c r="G87" s="135" t="s">
        <v>6</v>
      </c>
      <c r="H87" s="135" t="s">
        <v>6</v>
      </c>
      <c r="I87" s="135" t="s">
        <v>6</v>
      </c>
      <c r="J87" s="135" t="s">
        <v>203</v>
      </c>
      <c r="K87" s="135" t="s">
        <v>204</v>
      </c>
    </row>
    <row r="88" s="3" customFormat="1" ht="21" customHeight="1" spans="1:11">
      <c r="A88" s="68" t="s">
        <v>205</v>
      </c>
      <c r="B88" s="68">
        <v>12</v>
      </c>
      <c r="C88" s="113" t="s">
        <v>206</v>
      </c>
      <c r="D88" s="174">
        <v>12</v>
      </c>
      <c r="E88" s="174">
        <v>10</v>
      </c>
      <c r="F88" s="121"/>
      <c r="G88" s="121"/>
      <c r="H88" s="121"/>
      <c r="I88" s="68"/>
      <c r="J88" s="68"/>
      <c r="K88" s="56">
        <f t="shared" ref="K88:K110" si="3">SUM(D88:J88)</f>
        <v>22</v>
      </c>
    </row>
    <row r="89" s="3" customFormat="1" ht="21" customHeight="1" spans="1:11">
      <c r="A89" s="116" t="s">
        <v>207</v>
      </c>
      <c r="B89" s="68">
        <v>11.5</v>
      </c>
      <c r="C89" s="117" t="s">
        <v>208</v>
      </c>
      <c r="D89" s="174">
        <v>11.5</v>
      </c>
      <c r="E89" s="174">
        <v>10</v>
      </c>
      <c r="F89" s="121"/>
      <c r="G89" s="121"/>
      <c r="H89" s="121"/>
      <c r="I89" s="68"/>
      <c r="J89" s="68"/>
      <c r="K89" s="56">
        <f t="shared" si="3"/>
        <v>21.5</v>
      </c>
    </row>
    <row r="90" s="3" customFormat="1" ht="21" customHeight="1" spans="1:11">
      <c r="A90" s="116"/>
      <c r="B90" s="68"/>
      <c r="C90" s="68" t="s">
        <v>209</v>
      </c>
      <c r="D90" s="174">
        <v>11.5</v>
      </c>
      <c r="E90" s="174">
        <v>10</v>
      </c>
      <c r="F90" s="121"/>
      <c r="G90" s="121"/>
      <c r="H90" s="121"/>
      <c r="I90" s="68"/>
      <c r="J90" s="68"/>
      <c r="K90" s="56">
        <f t="shared" si="3"/>
        <v>21.5</v>
      </c>
    </row>
    <row r="91" s="3" customFormat="1" ht="21" customHeight="1" spans="1:11">
      <c r="A91" s="116"/>
      <c r="B91" s="68"/>
      <c r="C91" s="117" t="s">
        <v>210</v>
      </c>
      <c r="D91" s="174">
        <v>11.5</v>
      </c>
      <c r="E91" s="174">
        <v>10</v>
      </c>
      <c r="F91" s="121"/>
      <c r="G91" s="121"/>
      <c r="H91" s="121"/>
      <c r="I91" s="68"/>
      <c r="J91" s="68"/>
      <c r="K91" s="56">
        <f t="shared" si="3"/>
        <v>21.5</v>
      </c>
    </row>
    <row r="92" s="3" customFormat="1" ht="21" customHeight="1" spans="1:11">
      <c r="A92" s="79" t="s">
        <v>237</v>
      </c>
      <c r="B92" s="56">
        <v>11.5</v>
      </c>
      <c r="C92" s="61" t="s">
        <v>212</v>
      </c>
      <c r="D92" s="174">
        <v>11.5</v>
      </c>
      <c r="E92" s="172">
        <v>10</v>
      </c>
      <c r="F92" s="121"/>
      <c r="G92" s="121"/>
      <c r="H92" s="121"/>
      <c r="I92" s="68"/>
      <c r="J92" s="68"/>
      <c r="K92" s="56">
        <f t="shared" si="3"/>
        <v>21.5</v>
      </c>
    </row>
    <row r="93" s="3" customFormat="1" ht="21" customHeight="1" spans="1:11">
      <c r="A93" s="80"/>
      <c r="B93" s="56"/>
      <c r="C93" s="3" t="s">
        <v>215</v>
      </c>
      <c r="D93" s="174">
        <v>10</v>
      </c>
      <c r="E93" s="172">
        <v>10</v>
      </c>
      <c r="F93" s="121"/>
      <c r="G93" s="121"/>
      <c r="H93" s="121"/>
      <c r="I93" s="68"/>
      <c r="J93" s="68"/>
      <c r="K93" s="56">
        <f t="shared" si="3"/>
        <v>20</v>
      </c>
    </row>
    <row r="94" s="3" customFormat="1" ht="21" customHeight="1" spans="1:11">
      <c r="A94" s="81" t="s">
        <v>238</v>
      </c>
      <c r="B94" s="56"/>
      <c r="C94" s="61" t="s">
        <v>213</v>
      </c>
      <c r="D94" s="174">
        <v>23</v>
      </c>
      <c r="E94" s="172">
        <v>0</v>
      </c>
      <c r="F94" s="121"/>
      <c r="G94" s="121"/>
      <c r="H94" s="121"/>
      <c r="I94" s="68"/>
      <c r="J94" s="68"/>
      <c r="K94" s="56">
        <f t="shared" si="3"/>
        <v>23</v>
      </c>
    </row>
    <row r="95" s="3" customFormat="1" ht="21" customHeight="1" spans="1:11">
      <c r="A95" s="82"/>
      <c r="B95" s="56"/>
      <c r="C95" s="61" t="s">
        <v>216</v>
      </c>
      <c r="D95" s="174">
        <v>0</v>
      </c>
      <c r="E95" s="172">
        <v>10</v>
      </c>
      <c r="F95" s="121"/>
      <c r="G95" s="121"/>
      <c r="H95" s="121"/>
      <c r="I95" s="121"/>
      <c r="J95" s="68"/>
      <c r="K95" s="56">
        <f t="shared" si="3"/>
        <v>10</v>
      </c>
    </row>
    <row r="96" s="3" customFormat="1" ht="21" customHeight="1" spans="1:11">
      <c r="A96" s="84" t="s">
        <v>239</v>
      </c>
      <c r="B96" s="56"/>
      <c r="C96" s="56" t="s">
        <v>214</v>
      </c>
      <c r="D96" s="174">
        <v>23</v>
      </c>
      <c r="E96" s="172">
        <v>0</v>
      </c>
      <c r="F96" s="121"/>
      <c r="G96" s="121"/>
      <c r="H96" s="121"/>
      <c r="I96" s="121"/>
      <c r="J96" s="68"/>
      <c r="K96" s="56">
        <f t="shared" si="3"/>
        <v>23</v>
      </c>
    </row>
    <row r="97" s="3" customFormat="1" ht="21" customHeight="1" spans="1:11">
      <c r="A97" s="68" t="s">
        <v>217</v>
      </c>
      <c r="B97" s="68">
        <v>10.5</v>
      </c>
      <c r="C97" s="68" t="s">
        <v>218</v>
      </c>
      <c r="D97" s="174">
        <v>0</v>
      </c>
      <c r="E97" s="172">
        <v>10</v>
      </c>
      <c r="F97" s="121"/>
      <c r="G97" s="121"/>
      <c r="H97" s="121"/>
      <c r="I97" s="68"/>
      <c r="J97" s="68"/>
      <c r="K97" s="56">
        <f t="shared" si="3"/>
        <v>10</v>
      </c>
    </row>
    <row r="98" s="3" customFormat="1" ht="21" customHeight="1" spans="1:11">
      <c r="A98" s="68"/>
      <c r="B98" s="68"/>
      <c r="C98" s="68" t="s">
        <v>219</v>
      </c>
      <c r="D98" s="172">
        <v>0</v>
      </c>
      <c r="E98" s="172">
        <v>10</v>
      </c>
      <c r="F98" s="121"/>
      <c r="G98" s="121"/>
      <c r="H98" s="121"/>
      <c r="I98" s="68"/>
      <c r="J98" s="68"/>
      <c r="K98" s="56">
        <f t="shared" si="3"/>
        <v>10</v>
      </c>
    </row>
    <row r="99" s="3" customFormat="1" ht="21" customHeight="1" spans="1:11">
      <c r="A99" s="68" t="s">
        <v>220</v>
      </c>
      <c r="B99" s="68">
        <v>11.5</v>
      </c>
      <c r="C99" s="117" t="s">
        <v>221</v>
      </c>
      <c r="D99" s="172">
        <v>10</v>
      </c>
      <c r="E99" s="247">
        <v>10</v>
      </c>
      <c r="F99" s="121"/>
      <c r="G99" s="121"/>
      <c r="H99" s="121"/>
      <c r="I99" s="68"/>
      <c r="J99" s="68"/>
      <c r="K99" s="56">
        <f t="shared" si="3"/>
        <v>20</v>
      </c>
    </row>
    <row r="100" s="3" customFormat="1" ht="21" customHeight="1" spans="1:11">
      <c r="A100" s="68"/>
      <c r="B100" s="68"/>
      <c r="C100" s="117" t="s">
        <v>222</v>
      </c>
      <c r="D100" s="176">
        <v>10</v>
      </c>
      <c r="E100" s="176">
        <v>0</v>
      </c>
      <c r="F100" s="121"/>
      <c r="G100" s="121"/>
      <c r="H100" s="121"/>
      <c r="I100" s="68"/>
      <c r="J100" s="68"/>
      <c r="K100" s="56">
        <f t="shared" si="3"/>
        <v>10</v>
      </c>
    </row>
    <row r="101" s="3" customFormat="1" ht="21" customHeight="1" spans="1:11">
      <c r="A101" s="68"/>
      <c r="B101" s="68"/>
      <c r="C101" s="117" t="s">
        <v>223</v>
      </c>
      <c r="D101" s="176">
        <v>5</v>
      </c>
      <c r="E101" s="176">
        <v>0</v>
      </c>
      <c r="F101" s="121"/>
      <c r="G101" s="121"/>
      <c r="H101" s="121"/>
      <c r="I101" s="68"/>
      <c r="J101" s="68"/>
      <c r="K101" s="56">
        <f t="shared" si="3"/>
        <v>5</v>
      </c>
    </row>
    <row r="102" s="3" customFormat="1" ht="21" customHeight="1" spans="1:11">
      <c r="A102" s="68"/>
      <c r="B102" s="68"/>
      <c r="C102" s="117" t="s">
        <v>224</v>
      </c>
      <c r="D102" s="174">
        <v>0</v>
      </c>
      <c r="E102" s="174">
        <v>90</v>
      </c>
      <c r="F102" s="121"/>
      <c r="G102" s="121"/>
      <c r="H102" s="121"/>
      <c r="I102" s="68"/>
      <c r="J102" s="68"/>
      <c r="K102" s="56">
        <f t="shared" si="3"/>
        <v>90</v>
      </c>
    </row>
    <row r="103" s="3" customFormat="1" ht="21" customHeight="1" spans="1:11">
      <c r="A103" s="119" t="s">
        <v>225</v>
      </c>
      <c r="B103" s="119">
        <v>10.5</v>
      </c>
      <c r="C103" s="68" t="s">
        <v>226</v>
      </c>
      <c r="D103" s="174">
        <v>0</v>
      </c>
      <c r="E103" s="174">
        <v>11</v>
      </c>
      <c r="F103" s="121"/>
      <c r="G103" s="121"/>
      <c r="H103" s="121"/>
      <c r="I103" s="68"/>
      <c r="J103" s="68"/>
      <c r="K103" s="56">
        <f t="shared" si="3"/>
        <v>11</v>
      </c>
    </row>
    <row r="104" s="3" customFormat="1" ht="21" customHeight="1" spans="1:11">
      <c r="A104" s="119"/>
      <c r="B104" s="119"/>
      <c r="C104" s="68" t="s">
        <v>228</v>
      </c>
      <c r="D104" s="174">
        <v>0</v>
      </c>
      <c r="E104" s="174">
        <v>11</v>
      </c>
      <c r="F104" s="121"/>
      <c r="G104" s="121"/>
      <c r="H104" s="121"/>
      <c r="I104" s="68"/>
      <c r="J104" s="68"/>
      <c r="K104" s="56">
        <f t="shared" si="3"/>
        <v>11</v>
      </c>
    </row>
    <row r="105" s="3" customFormat="1" ht="21" customHeight="1" spans="1:11">
      <c r="A105" s="119"/>
      <c r="B105" s="119"/>
      <c r="C105" s="68" t="s">
        <v>227</v>
      </c>
      <c r="D105" s="174">
        <v>0</v>
      </c>
      <c r="E105" s="174">
        <v>10</v>
      </c>
      <c r="F105" s="121"/>
      <c r="G105" s="121"/>
      <c r="H105" s="121"/>
      <c r="I105" s="68"/>
      <c r="J105" s="68"/>
      <c r="K105" s="56">
        <f t="shared" si="3"/>
        <v>10</v>
      </c>
    </row>
    <row r="106" s="3" customFormat="1" ht="21" customHeight="1" spans="1:11">
      <c r="A106" s="119"/>
      <c r="B106" s="119"/>
      <c r="C106" s="68" t="s">
        <v>240</v>
      </c>
      <c r="D106" s="174">
        <v>0</v>
      </c>
      <c r="E106" s="174">
        <v>11</v>
      </c>
      <c r="F106" s="121"/>
      <c r="G106" s="121"/>
      <c r="H106" s="121"/>
      <c r="I106" s="68"/>
      <c r="J106" s="141"/>
      <c r="K106" s="56">
        <f t="shared" si="3"/>
        <v>11</v>
      </c>
    </row>
    <row r="107" s="3" customFormat="1" ht="21" customHeight="1" spans="1:11">
      <c r="A107" s="119"/>
      <c r="B107" s="119"/>
      <c r="C107" s="68" t="s">
        <v>229</v>
      </c>
      <c r="D107" s="174">
        <v>6</v>
      </c>
      <c r="E107" s="174">
        <v>11</v>
      </c>
      <c r="F107" s="121"/>
      <c r="G107" s="121"/>
      <c r="H107" s="121"/>
      <c r="I107" s="68"/>
      <c r="J107" s="141"/>
      <c r="K107" s="56">
        <f t="shared" si="3"/>
        <v>17</v>
      </c>
    </row>
    <row r="108" s="3" customFormat="1" ht="21" customHeight="1" spans="1:11">
      <c r="A108" s="121" t="s">
        <v>230</v>
      </c>
      <c r="B108" s="121">
        <v>10.5</v>
      </c>
      <c r="C108" s="68" t="s">
        <v>231</v>
      </c>
      <c r="D108" s="174">
        <v>10</v>
      </c>
      <c r="E108" s="174">
        <v>10</v>
      </c>
      <c r="F108" s="68"/>
      <c r="G108" s="68"/>
      <c r="H108" s="68"/>
      <c r="I108" s="68"/>
      <c r="J108" s="141"/>
      <c r="K108" s="56">
        <f t="shared" si="3"/>
        <v>20</v>
      </c>
    </row>
    <row r="109" s="3" customFormat="1" ht="21" customHeight="1" spans="1:11">
      <c r="A109" s="68" t="s">
        <v>232</v>
      </c>
      <c r="B109" s="68">
        <v>12</v>
      </c>
      <c r="C109" s="68" t="s">
        <v>233</v>
      </c>
      <c r="D109" s="172">
        <v>12</v>
      </c>
      <c r="E109" s="172">
        <v>0</v>
      </c>
      <c r="F109" s="68"/>
      <c r="G109" s="68"/>
      <c r="H109" s="68"/>
      <c r="I109" s="68"/>
      <c r="J109" s="141"/>
      <c r="K109" s="56">
        <f t="shared" si="3"/>
        <v>12</v>
      </c>
    </row>
    <row r="110" s="3" customFormat="1" ht="21" customHeight="1" spans="1:11">
      <c r="A110" s="142"/>
      <c r="B110" s="143"/>
      <c r="C110" s="143"/>
      <c r="D110" s="143"/>
      <c r="E110" s="143"/>
      <c r="F110" s="143"/>
      <c r="G110" s="143"/>
      <c r="H110" s="143"/>
      <c r="I110" s="143"/>
      <c r="J110" s="144"/>
      <c r="K110" s="68">
        <f>SUM(K88:K109)</f>
        <v>421</v>
      </c>
    </row>
    <row r="111" s="104" customFormat="1"/>
    <row r="112" s="104" customFormat="1"/>
    <row r="113" s="3" customFormat="1" ht="21" customHeight="1" spans="1:11">
      <c r="A113" s="133" t="s">
        <v>234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</row>
    <row r="114" s="3" customFormat="1" ht="21" customHeight="1" spans="1:11">
      <c r="A114" s="134" t="s">
        <v>235</v>
      </c>
      <c r="B114" s="134"/>
      <c r="C114" s="134"/>
      <c r="D114" s="134" t="s">
        <v>243</v>
      </c>
      <c r="E114" s="134"/>
      <c r="F114" s="134"/>
      <c r="G114" s="134"/>
      <c r="H114" s="134"/>
      <c r="I114" s="134"/>
      <c r="J114" s="134"/>
      <c r="K114" s="134"/>
    </row>
    <row r="115" s="3" customFormat="1" ht="21" customHeight="1" spans="1:11">
      <c r="A115" s="135" t="s">
        <v>200</v>
      </c>
      <c r="B115" s="135" t="s">
        <v>201</v>
      </c>
      <c r="C115" s="136" t="s">
        <v>202</v>
      </c>
      <c r="D115" s="137" t="s">
        <v>6</v>
      </c>
      <c r="E115" s="137" t="s">
        <v>6</v>
      </c>
      <c r="F115" s="135" t="s">
        <v>6</v>
      </c>
      <c r="G115" s="135" t="s">
        <v>6</v>
      </c>
      <c r="H115" s="135" t="s">
        <v>6</v>
      </c>
      <c r="I115" s="135" t="s">
        <v>6</v>
      </c>
      <c r="J115" s="135" t="s">
        <v>203</v>
      </c>
      <c r="K115" s="135" t="s">
        <v>204</v>
      </c>
    </row>
    <row r="116" s="3" customFormat="1" ht="21" customHeight="1" spans="1:11">
      <c r="A116" s="68" t="s">
        <v>205</v>
      </c>
      <c r="B116" s="68">
        <v>12</v>
      </c>
      <c r="C116" s="113" t="s">
        <v>206</v>
      </c>
      <c r="D116" s="174">
        <v>10</v>
      </c>
      <c r="E116" s="174"/>
      <c r="F116" s="121"/>
      <c r="G116" s="121"/>
      <c r="H116" s="121"/>
      <c r="I116" s="68"/>
      <c r="J116" s="68"/>
      <c r="K116" s="56">
        <f t="shared" ref="K116:K138" si="4">SUM(D116:J116)</f>
        <v>10</v>
      </c>
    </row>
    <row r="117" s="3" customFormat="1" ht="21" customHeight="1" spans="1:11">
      <c r="A117" s="116" t="s">
        <v>207</v>
      </c>
      <c r="B117" s="68">
        <v>11.5</v>
      </c>
      <c r="C117" s="117" t="s">
        <v>208</v>
      </c>
      <c r="D117" s="174">
        <v>10</v>
      </c>
      <c r="E117" s="174"/>
      <c r="F117" s="121"/>
      <c r="G117" s="121"/>
      <c r="H117" s="121"/>
      <c r="I117" s="68"/>
      <c r="J117" s="68"/>
      <c r="K117" s="56">
        <f t="shared" si="4"/>
        <v>10</v>
      </c>
    </row>
    <row r="118" s="3" customFormat="1" ht="21" customHeight="1" spans="1:11">
      <c r="A118" s="116"/>
      <c r="B118" s="68"/>
      <c r="C118" s="68" t="s">
        <v>209</v>
      </c>
      <c r="D118" s="174">
        <v>10</v>
      </c>
      <c r="E118" s="174"/>
      <c r="F118" s="121"/>
      <c r="G118" s="121"/>
      <c r="H118" s="121"/>
      <c r="I118" s="68"/>
      <c r="J118" s="68"/>
      <c r="K118" s="56">
        <f t="shared" si="4"/>
        <v>10</v>
      </c>
    </row>
    <row r="119" s="3" customFormat="1" ht="21" customHeight="1" spans="1:11">
      <c r="A119" s="116"/>
      <c r="B119" s="68"/>
      <c r="C119" s="117" t="s">
        <v>210</v>
      </c>
      <c r="D119" s="174">
        <v>10</v>
      </c>
      <c r="E119" s="174"/>
      <c r="F119" s="121"/>
      <c r="G119" s="121"/>
      <c r="H119" s="121"/>
      <c r="I119" s="68"/>
      <c r="J119" s="68"/>
      <c r="K119" s="56">
        <f t="shared" si="4"/>
        <v>10</v>
      </c>
    </row>
    <row r="120" s="3" customFormat="1" ht="21" customHeight="1" spans="1:11">
      <c r="A120" s="79" t="s">
        <v>237</v>
      </c>
      <c r="B120" s="56">
        <v>11.5</v>
      </c>
      <c r="C120" s="61" t="s">
        <v>212</v>
      </c>
      <c r="D120" s="174">
        <v>10</v>
      </c>
      <c r="E120" s="174"/>
      <c r="F120" s="121"/>
      <c r="G120" s="121"/>
      <c r="H120" s="121"/>
      <c r="I120" s="68"/>
      <c r="J120" s="68"/>
      <c r="K120" s="56">
        <f t="shared" si="4"/>
        <v>10</v>
      </c>
    </row>
    <row r="121" s="3" customFormat="1" ht="21" customHeight="1" spans="1:11">
      <c r="A121" s="80"/>
      <c r="B121" s="56"/>
      <c r="C121" s="3" t="s">
        <v>215</v>
      </c>
      <c r="D121" s="174">
        <v>10</v>
      </c>
      <c r="E121" s="172"/>
      <c r="F121" s="121"/>
      <c r="G121" s="121"/>
      <c r="H121" s="121"/>
      <c r="I121" s="68"/>
      <c r="J121" s="68"/>
      <c r="K121" s="56">
        <f t="shared" si="4"/>
        <v>10</v>
      </c>
    </row>
    <row r="122" s="3" customFormat="1" ht="21" customHeight="1" spans="1:11">
      <c r="A122" s="81" t="s">
        <v>238</v>
      </c>
      <c r="B122" s="56"/>
      <c r="C122" s="61" t="s">
        <v>213</v>
      </c>
      <c r="D122" s="174">
        <v>10</v>
      </c>
      <c r="E122" s="172"/>
      <c r="F122" s="121"/>
      <c r="G122" s="121"/>
      <c r="H122" s="121"/>
      <c r="I122" s="68"/>
      <c r="J122" s="68"/>
      <c r="K122" s="56">
        <f t="shared" si="4"/>
        <v>10</v>
      </c>
    </row>
    <row r="123" s="3" customFormat="1" ht="21" customHeight="1" spans="1:11">
      <c r="A123" s="82"/>
      <c r="B123" s="56"/>
      <c r="C123" s="61" t="s">
        <v>216</v>
      </c>
      <c r="D123" s="174">
        <v>10</v>
      </c>
      <c r="E123" s="172"/>
      <c r="F123" s="121"/>
      <c r="G123" s="121"/>
      <c r="H123" s="121"/>
      <c r="I123" s="121"/>
      <c r="J123" s="68"/>
      <c r="K123" s="56">
        <f t="shared" si="4"/>
        <v>10</v>
      </c>
    </row>
    <row r="124" s="3" customFormat="1" ht="21" customHeight="1" spans="1:11">
      <c r="A124" s="84" t="s">
        <v>239</v>
      </c>
      <c r="B124" s="56"/>
      <c r="C124" s="56" t="s">
        <v>214</v>
      </c>
      <c r="D124" s="174">
        <v>10</v>
      </c>
      <c r="E124" s="172"/>
      <c r="F124" s="121"/>
      <c r="G124" s="121"/>
      <c r="H124" s="121"/>
      <c r="I124" s="121"/>
      <c r="J124" s="68"/>
      <c r="K124" s="56">
        <f t="shared" si="4"/>
        <v>10</v>
      </c>
    </row>
    <row r="125" s="3" customFormat="1" ht="21" customHeight="1" spans="1:11">
      <c r="A125" s="68" t="s">
        <v>217</v>
      </c>
      <c r="B125" s="68">
        <v>10.5</v>
      </c>
      <c r="C125" s="68" t="s">
        <v>218</v>
      </c>
      <c r="D125" s="174">
        <v>10</v>
      </c>
      <c r="E125" s="172"/>
      <c r="F125" s="121"/>
      <c r="G125" s="121"/>
      <c r="H125" s="121"/>
      <c r="I125" s="68"/>
      <c r="J125" s="68"/>
      <c r="K125" s="56">
        <f t="shared" si="4"/>
        <v>10</v>
      </c>
    </row>
    <row r="126" s="3" customFormat="1" ht="21" customHeight="1" spans="1:11">
      <c r="A126" s="68"/>
      <c r="B126" s="68"/>
      <c r="C126" s="68" t="s">
        <v>219</v>
      </c>
      <c r="D126" s="174">
        <v>10</v>
      </c>
      <c r="E126" s="172"/>
      <c r="F126" s="121"/>
      <c r="G126" s="121"/>
      <c r="H126" s="121"/>
      <c r="I126" s="68"/>
      <c r="J126" s="68"/>
      <c r="K126" s="56">
        <f t="shared" si="4"/>
        <v>10</v>
      </c>
    </row>
    <row r="127" s="3" customFormat="1" ht="21" customHeight="1" spans="1:11">
      <c r="A127" s="68" t="s">
        <v>220</v>
      </c>
      <c r="B127" s="68">
        <v>11.5</v>
      </c>
      <c r="C127" s="117" t="s">
        <v>221</v>
      </c>
      <c r="D127" s="172">
        <v>10</v>
      </c>
      <c r="E127" s="174"/>
      <c r="F127" s="121"/>
      <c r="G127" s="121"/>
      <c r="H127" s="121"/>
      <c r="I127" s="68"/>
      <c r="J127" s="68"/>
      <c r="K127" s="56">
        <f t="shared" si="4"/>
        <v>10</v>
      </c>
    </row>
    <row r="128" s="3" customFormat="1" ht="21" customHeight="1" spans="1:11">
      <c r="A128" s="68"/>
      <c r="B128" s="68"/>
      <c r="C128" s="117" t="s">
        <v>222</v>
      </c>
      <c r="D128" s="172">
        <v>20</v>
      </c>
      <c r="E128" s="174"/>
      <c r="F128" s="121"/>
      <c r="G128" s="121"/>
      <c r="H128" s="121"/>
      <c r="I128" s="68"/>
      <c r="J128" s="68"/>
      <c r="K128" s="56">
        <f t="shared" si="4"/>
        <v>20</v>
      </c>
    </row>
    <row r="129" s="3" customFormat="1" ht="21" customHeight="1" spans="1:11">
      <c r="A129" s="68"/>
      <c r="B129" s="68"/>
      <c r="C129" s="117" t="s">
        <v>223</v>
      </c>
      <c r="D129" s="176">
        <v>5</v>
      </c>
      <c r="E129" s="174"/>
      <c r="F129" s="121"/>
      <c r="G129" s="121"/>
      <c r="H129" s="121"/>
      <c r="I129" s="68"/>
      <c r="J129" s="68"/>
      <c r="K129" s="56">
        <f t="shared" si="4"/>
        <v>5</v>
      </c>
    </row>
    <row r="130" s="3" customFormat="1" ht="21" customHeight="1" spans="1:11">
      <c r="A130" s="68"/>
      <c r="B130" s="68"/>
      <c r="C130" s="117" t="s">
        <v>224</v>
      </c>
      <c r="D130" s="176">
        <v>11</v>
      </c>
      <c r="E130" s="178"/>
      <c r="F130" s="121"/>
      <c r="G130" s="121"/>
      <c r="H130" s="121"/>
      <c r="I130" s="68"/>
      <c r="J130" s="68"/>
      <c r="K130" s="56">
        <f t="shared" si="4"/>
        <v>11</v>
      </c>
    </row>
    <row r="131" s="3" customFormat="1" ht="21" customHeight="1" spans="1:11">
      <c r="A131" s="119" t="s">
        <v>225</v>
      </c>
      <c r="B131" s="119">
        <v>10.5</v>
      </c>
      <c r="C131" s="68" t="s">
        <v>226</v>
      </c>
      <c r="D131" s="174">
        <v>89</v>
      </c>
      <c r="E131" s="174"/>
      <c r="F131" s="121"/>
      <c r="G131" s="121"/>
      <c r="H131" s="121"/>
      <c r="I131" s="68"/>
      <c r="J131" s="68"/>
      <c r="K131" s="56">
        <f t="shared" si="4"/>
        <v>89</v>
      </c>
    </row>
    <row r="132" s="3" customFormat="1" ht="21" customHeight="1" spans="1:11">
      <c r="A132" s="119"/>
      <c r="B132" s="119"/>
      <c r="C132" s="68" t="s">
        <v>228</v>
      </c>
      <c r="D132" s="174">
        <v>11</v>
      </c>
      <c r="E132" s="172"/>
      <c r="F132" s="121"/>
      <c r="G132" s="121"/>
      <c r="H132" s="121"/>
      <c r="I132" s="68"/>
      <c r="J132" s="68"/>
      <c r="K132" s="56">
        <f t="shared" si="4"/>
        <v>11</v>
      </c>
    </row>
    <row r="133" s="3" customFormat="1" ht="21" customHeight="1" spans="1:11">
      <c r="A133" s="119"/>
      <c r="B133" s="119"/>
      <c r="C133" s="68" t="s">
        <v>227</v>
      </c>
      <c r="D133" s="174">
        <v>11</v>
      </c>
      <c r="E133" s="174"/>
      <c r="F133" s="121"/>
      <c r="G133" s="121"/>
      <c r="H133" s="121"/>
      <c r="I133" s="68"/>
      <c r="J133" s="68"/>
      <c r="K133" s="56">
        <f t="shared" si="4"/>
        <v>11</v>
      </c>
    </row>
    <row r="134" s="3" customFormat="1" ht="21" customHeight="1" spans="1:11">
      <c r="A134" s="119"/>
      <c r="B134" s="119"/>
      <c r="C134" s="68" t="s">
        <v>240</v>
      </c>
      <c r="D134" s="174">
        <v>11</v>
      </c>
      <c r="E134" s="174"/>
      <c r="F134" s="121"/>
      <c r="G134" s="121"/>
      <c r="H134" s="121"/>
      <c r="I134" s="68"/>
      <c r="J134" s="141"/>
      <c r="K134" s="56">
        <f t="shared" si="4"/>
        <v>11</v>
      </c>
    </row>
    <row r="135" s="3" customFormat="1" ht="21" customHeight="1" spans="1:11">
      <c r="A135" s="119"/>
      <c r="B135" s="119"/>
      <c r="C135" s="68" t="s">
        <v>229</v>
      </c>
      <c r="D135" s="174">
        <v>11</v>
      </c>
      <c r="E135" s="174"/>
      <c r="F135" s="121"/>
      <c r="G135" s="121"/>
      <c r="H135" s="121"/>
      <c r="I135" s="68"/>
      <c r="J135" s="141"/>
      <c r="K135" s="56">
        <f t="shared" si="4"/>
        <v>11</v>
      </c>
    </row>
    <row r="136" s="3" customFormat="1" ht="21" customHeight="1" spans="1:11">
      <c r="A136" s="121" t="s">
        <v>230</v>
      </c>
      <c r="B136" s="121">
        <v>10.5</v>
      </c>
      <c r="C136" s="68" t="s">
        <v>231</v>
      </c>
      <c r="D136" s="174">
        <v>12</v>
      </c>
      <c r="E136" s="174"/>
      <c r="F136" s="68"/>
      <c r="G136" s="68"/>
      <c r="H136" s="68"/>
      <c r="I136" s="68"/>
      <c r="J136" s="141"/>
      <c r="K136" s="56">
        <f t="shared" si="4"/>
        <v>12</v>
      </c>
    </row>
    <row r="137" s="3" customFormat="1" ht="21" customHeight="1" spans="1:11">
      <c r="A137" s="121" t="s">
        <v>232</v>
      </c>
      <c r="B137" s="121">
        <v>12</v>
      </c>
      <c r="C137" s="121" t="s">
        <v>233</v>
      </c>
      <c r="D137" s="172">
        <v>10</v>
      </c>
      <c r="E137" s="177"/>
      <c r="F137" s="121"/>
      <c r="G137" s="121"/>
      <c r="H137" s="121"/>
      <c r="I137" s="121"/>
      <c r="J137" s="139"/>
      <c r="K137" s="86">
        <f t="shared" si="4"/>
        <v>10</v>
      </c>
    </row>
    <row r="138" s="3" customFormat="1" ht="21" customHeight="1" spans="1:11">
      <c r="A138" s="61"/>
      <c r="B138" s="87"/>
      <c r="C138" s="87"/>
      <c r="D138" s="87"/>
      <c r="E138" s="87"/>
      <c r="F138" s="87"/>
      <c r="G138" s="87"/>
      <c r="H138" s="87"/>
      <c r="I138" s="87"/>
      <c r="J138" s="87"/>
      <c r="K138" s="145">
        <f>SUM(K116:K137)</f>
        <v>311</v>
      </c>
    </row>
    <row r="139" s="104" customFormat="1"/>
    <row r="140" s="104" customFormat="1"/>
    <row r="141" s="158" customFormat="1" ht="25.5" customHeight="1" spans="1:11">
      <c r="A141" s="163" t="s">
        <v>244</v>
      </c>
      <c r="B141" s="164"/>
      <c r="C141" s="164"/>
      <c r="D141" s="164"/>
      <c r="E141" s="164"/>
      <c r="F141" s="164"/>
      <c r="G141" s="164"/>
      <c r="H141" s="164"/>
      <c r="I141" s="164"/>
      <c r="J141" s="164"/>
      <c r="K141" s="165"/>
    </row>
    <row r="142" s="158" customFormat="1" ht="25.5" customHeight="1" spans="1:11">
      <c r="A142" s="56" t="s">
        <v>245</v>
      </c>
      <c r="B142" s="56"/>
      <c r="C142" s="56"/>
      <c r="D142" s="52" t="s">
        <v>246</v>
      </c>
      <c r="E142" s="52"/>
      <c r="F142" s="52"/>
      <c r="G142" s="52"/>
      <c r="H142" s="52"/>
      <c r="I142" s="52"/>
      <c r="J142" s="52"/>
      <c r="K142" s="166"/>
    </row>
    <row r="143" s="158" customFormat="1" ht="25.5" customHeight="1" spans="1:11">
      <c r="A143" s="56" t="s">
        <v>200</v>
      </c>
      <c r="B143" s="56" t="s">
        <v>201</v>
      </c>
      <c r="C143" s="61" t="s">
        <v>202</v>
      </c>
      <c r="D143" s="86" t="s">
        <v>6</v>
      </c>
      <c r="E143" s="86" t="s">
        <v>6</v>
      </c>
      <c r="F143" s="56" t="s">
        <v>6</v>
      </c>
      <c r="G143" s="56" t="s">
        <v>6</v>
      </c>
      <c r="H143" s="56" t="s">
        <v>6</v>
      </c>
      <c r="I143" s="56" t="s">
        <v>6</v>
      </c>
      <c r="J143" s="56" t="s">
        <v>203</v>
      </c>
      <c r="K143" s="56" t="s">
        <v>204</v>
      </c>
    </row>
    <row r="144" s="158" customFormat="1" ht="25.5" customHeight="1" spans="1:11">
      <c r="A144" s="56" t="s">
        <v>205</v>
      </c>
      <c r="B144" s="56">
        <v>12</v>
      </c>
      <c r="C144" s="54" t="s">
        <v>206</v>
      </c>
      <c r="D144" s="55">
        <v>12</v>
      </c>
      <c r="E144" s="55">
        <v>10</v>
      </c>
      <c r="F144" s="100"/>
      <c r="G144" s="77"/>
      <c r="H144" s="77"/>
      <c r="I144" s="58"/>
      <c r="J144" s="47"/>
      <c r="K144" s="56">
        <f t="shared" ref="K144:K168" si="5">SUM(D144:J144)</f>
        <v>22</v>
      </c>
    </row>
    <row r="145" s="158" customFormat="1" ht="25.5" customHeight="1" spans="1:11">
      <c r="A145" s="78" t="s">
        <v>207</v>
      </c>
      <c r="B145" s="56">
        <v>11.5</v>
      </c>
      <c r="C145" s="61" t="s">
        <v>208</v>
      </c>
      <c r="D145" s="55">
        <v>11.5</v>
      </c>
      <c r="E145" s="55">
        <v>10</v>
      </c>
      <c r="F145" s="100"/>
      <c r="G145" s="77"/>
      <c r="H145" s="77"/>
      <c r="I145" s="58"/>
      <c r="J145" s="47"/>
      <c r="K145" s="56">
        <f t="shared" si="5"/>
        <v>21.5</v>
      </c>
    </row>
    <row r="146" s="158" customFormat="1" ht="25.5" customHeight="1" spans="1:11">
      <c r="A146" s="78"/>
      <c r="B146" s="56"/>
      <c r="C146" s="56" t="s">
        <v>209</v>
      </c>
      <c r="D146" s="55">
        <v>11.5</v>
      </c>
      <c r="E146" s="55">
        <v>10</v>
      </c>
      <c r="F146" s="100"/>
      <c r="G146" s="77"/>
      <c r="H146" s="77"/>
      <c r="I146" s="58"/>
      <c r="J146" s="47"/>
      <c r="K146" s="56">
        <f t="shared" si="5"/>
        <v>21.5</v>
      </c>
    </row>
    <row r="147" s="158" customFormat="1" ht="25.5" customHeight="1" spans="1:11">
      <c r="A147" s="78"/>
      <c r="B147" s="56"/>
      <c r="C147" s="61" t="s">
        <v>210</v>
      </c>
      <c r="D147" s="55">
        <v>11.5</v>
      </c>
      <c r="E147" s="55">
        <v>10</v>
      </c>
      <c r="F147" s="100"/>
      <c r="G147" s="77"/>
      <c r="H147" s="77"/>
      <c r="I147" s="58"/>
      <c r="J147" s="47"/>
      <c r="K147" s="56">
        <f t="shared" si="5"/>
        <v>21.5</v>
      </c>
    </row>
    <row r="148" s="158" customFormat="1" ht="25.5" customHeight="1" spans="1:11">
      <c r="A148" s="79" t="s">
        <v>237</v>
      </c>
      <c r="B148" s="56">
        <v>11.5</v>
      </c>
      <c r="C148" s="61" t="s">
        <v>212</v>
      </c>
      <c r="D148" s="55">
        <v>20</v>
      </c>
      <c r="E148" s="55">
        <v>10</v>
      </c>
      <c r="F148" s="100"/>
      <c r="G148" s="77"/>
      <c r="H148" s="77"/>
      <c r="I148" s="58"/>
      <c r="J148" s="47"/>
      <c r="K148" s="56">
        <f t="shared" si="5"/>
        <v>30</v>
      </c>
    </row>
    <row r="149" s="158" customFormat="1" ht="25.5" customHeight="1" spans="1:11">
      <c r="A149" s="80"/>
      <c r="B149" s="56"/>
      <c r="C149" s="3" t="s">
        <v>215</v>
      </c>
      <c r="D149" s="55">
        <v>10</v>
      </c>
      <c r="E149" s="55">
        <v>10</v>
      </c>
      <c r="F149" s="100"/>
      <c r="G149" s="77"/>
      <c r="H149" s="77"/>
      <c r="I149" s="83"/>
      <c r="J149" s="47"/>
      <c r="K149" s="56">
        <f t="shared" si="5"/>
        <v>20</v>
      </c>
    </row>
    <row r="150" s="158" customFormat="1" ht="25.5" customHeight="1" spans="1:11">
      <c r="A150" s="81" t="s">
        <v>238</v>
      </c>
      <c r="B150" s="56"/>
      <c r="C150" s="61" t="s">
        <v>213</v>
      </c>
      <c r="D150" s="55">
        <v>10</v>
      </c>
      <c r="E150" s="55">
        <v>10</v>
      </c>
      <c r="F150" s="100"/>
      <c r="G150" s="77"/>
      <c r="H150" s="77"/>
      <c r="I150" s="83"/>
      <c r="J150" s="47"/>
      <c r="K150" s="56">
        <f t="shared" si="5"/>
        <v>20</v>
      </c>
    </row>
    <row r="151" s="158" customFormat="1" ht="25.5" customHeight="1" spans="1:11">
      <c r="A151" s="82"/>
      <c r="B151" s="56"/>
      <c r="C151" s="61" t="s">
        <v>216</v>
      </c>
      <c r="D151" s="55">
        <v>19.7</v>
      </c>
      <c r="E151" s="55">
        <v>10</v>
      </c>
      <c r="F151" s="100"/>
      <c r="G151" s="77"/>
      <c r="H151" s="77"/>
      <c r="I151" s="58"/>
      <c r="J151" s="47"/>
      <c r="K151" s="56">
        <f t="shared" si="5"/>
        <v>29.7</v>
      </c>
    </row>
    <row r="152" s="158" customFormat="1" ht="25.5" customHeight="1" spans="1:11">
      <c r="A152" s="84" t="s">
        <v>239</v>
      </c>
      <c r="B152" s="56"/>
      <c r="C152" s="56" t="s">
        <v>214</v>
      </c>
      <c r="D152" s="55">
        <v>20</v>
      </c>
      <c r="E152" s="55">
        <v>25</v>
      </c>
      <c r="F152" s="100"/>
      <c r="G152" s="77"/>
      <c r="H152" s="77"/>
      <c r="I152" s="58"/>
      <c r="J152" s="47"/>
      <c r="K152" s="56">
        <f t="shared" si="5"/>
        <v>45</v>
      </c>
    </row>
    <row r="153" s="158" customFormat="1" ht="25.5" customHeight="1" spans="1:11">
      <c r="A153" s="56" t="s">
        <v>217</v>
      </c>
      <c r="B153" s="56">
        <v>10.5</v>
      </c>
      <c r="C153" s="56" t="s">
        <v>218</v>
      </c>
      <c r="D153" s="55">
        <v>10</v>
      </c>
      <c r="E153" s="55">
        <v>5</v>
      </c>
      <c r="F153" s="100"/>
      <c r="G153" s="77"/>
      <c r="H153" s="77"/>
      <c r="I153" s="58"/>
      <c r="J153" s="47"/>
      <c r="K153" s="56">
        <f t="shared" si="5"/>
        <v>15</v>
      </c>
    </row>
    <row r="154" s="158" customFormat="1" ht="25.5" customHeight="1" spans="1:11">
      <c r="A154" s="56"/>
      <c r="B154" s="56"/>
      <c r="C154" s="56" t="s">
        <v>219</v>
      </c>
      <c r="D154" s="47">
        <v>15</v>
      </c>
      <c r="E154" s="55">
        <v>10</v>
      </c>
      <c r="F154" s="100"/>
      <c r="G154" s="77"/>
      <c r="H154" s="77"/>
      <c r="I154" s="58"/>
      <c r="J154" s="47"/>
      <c r="K154" s="56">
        <f t="shared" si="5"/>
        <v>25</v>
      </c>
    </row>
    <row r="155" s="158" customFormat="1" ht="25.5" customHeight="1" spans="1:11">
      <c r="A155" s="56" t="s">
        <v>220</v>
      </c>
      <c r="B155" s="56">
        <v>11.5</v>
      </c>
      <c r="C155" s="61" t="s">
        <v>221</v>
      </c>
      <c r="D155" s="47">
        <v>15</v>
      </c>
      <c r="E155" s="55">
        <v>10</v>
      </c>
      <c r="F155" s="100"/>
      <c r="G155" s="77"/>
      <c r="H155" s="77"/>
      <c r="I155" s="58"/>
      <c r="J155" s="47"/>
      <c r="K155" s="56">
        <f t="shared" si="5"/>
        <v>25</v>
      </c>
    </row>
    <row r="156" s="158" customFormat="1" ht="25.5" customHeight="1" spans="1:11">
      <c r="A156" s="56"/>
      <c r="B156" s="56"/>
      <c r="C156" s="61" t="s">
        <v>222</v>
      </c>
      <c r="D156" s="47">
        <v>44</v>
      </c>
      <c r="E156" s="55">
        <v>5</v>
      </c>
      <c r="F156" s="100"/>
      <c r="G156" s="77"/>
      <c r="H156" s="77"/>
      <c r="I156" s="58"/>
      <c r="J156" s="47"/>
      <c r="K156" s="56">
        <f t="shared" si="5"/>
        <v>49</v>
      </c>
    </row>
    <row r="157" s="158" customFormat="1" ht="25.5" customHeight="1" spans="1:11">
      <c r="A157" s="56"/>
      <c r="B157" s="56"/>
      <c r="C157" s="61" t="s">
        <v>223</v>
      </c>
      <c r="D157" s="55">
        <v>31</v>
      </c>
      <c r="E157" s="55">
        <v>5</v>
      </c>
      <c r="F157" s="100"/>
      <c r="G157" s="77"/>
      <c r="H157" s="77"/>
      <c r="I157" s="58"/>
      <c r="J157" s="47"/>
      <c r="K157" s="56">
        <f t="shared" si="5"/>
        <v>36</v>
      </c>
    </row>
    <row r="158" s="158" customFormat="1" ht="25.5" customHeight="1" spans="1:11">
      <c r="A158" s="56"/>
      <c r="B158" s="56"/>
      <c r="C158" s="61" t="s">
        <v>224</v>
      </c>
      <c r="D158" s="55">
        <v>31</v>
      </c>
      <c r="E158" s="55">
        <v>5</v>
      </c>
      <c r="F158" s="100"/>
      <c r="G158" s="77"/>
      <c r="H158" s="77"/>
      <c r="I158" s="58"/>
      <c r="J158" s="47"/>
      <c r="K158" s="56">
        <f t="shared" si="5"/>
        <v>36</v>
      </c>
    </row>
    <row r="159" s="158" customFormat="1" ht="25.5" customHeight="1" spans="1:11">
      <c r="A159" s="85" t="s">
        <v>225</v>
      </c>
      <c r="B159" s="85">
        <v>10.5</v>
      </c>
      <c r="C159" s="56" t="s">
        <v>226</v>
      </c>
      <c r="D159" s="55">
        <v>31</v>
      </c>
      <c r="E159" s="55">
        <v>5</v>
      </c>
      <c r="F159" s="100"/>
      <c r="G159" s="77"/>
      <c r="H159" s="77"/>
      <c r="I159" s="58"/>
      <c r="J159" s="47"/>
      <c r="K159" s="56">
        <f t="shared" si="5"/>
        <v>36</v>
      </c>
    </row>
    <row r="160" s="158" customFormat="1" ht="25.5" customHeight="1" spans="1:11">
      <c r="A160" s="85"/>
      <c r="B160" s="85"/>
      <c r="C160" s="56" t="s">
        <v>228</v>
      </c>
      <c r="D160" s="55">
        <v>13.7</v>
      </c>
      <c r="E160" s="55">
        <v>10</v>
      </c>
      <c r="F160" s="100"/>
      <c r="G160" s="77"/>
      <c r="H160" s="77"/>
      <c r="I160" s="58"/>
      <c r="J160" s="58"/>
      <c r="K160" s="56">
        <f t="shared" si="5"/>
        <v>23.7</v>
      </c>
    </row>
    <row r="161" s="158" customFormat="1" ht="25.5" customHeight="1" spans="1:11">
      <c r="A161" s="85"/>
      <c r="B161" s="85"/>
      <c r="C161" s="56" t="s">
        <v>227</v>
      </c>
      <c r="D161" s="55">
        <v>13.7</v>
      </c>
      <c r="E161" s="55">
        <v>10</v>
      </c>
      <c r="F161" s="100"/>
      <c r="G161" s="77"/>
      <c r="H161" s="77"/>
      <c r="I161" s="58"/>
      <c r="J161" s="58"/>
      <c r="K161" s="56">
        <f t="shared" si="5"/>
        <v>23.7</v>
      </c>
    </row>
    <row r="162" s="158" customFormat="1" ht="25.5" customHeight="1" spans="1:11">
      <c r="A162" s="85"/>
      <c r="B162" s="85"/>
      <c r="C162" s="56" t="s">
        <v>229</v>
      </c>
      <c r="D162" s="55">
        <v>13.7</v>
      </c>
      <c r="E162" s="55">
        <v>10</v>
      </c>
      <c r="F162" s="100"/>
      <c r="G162" s="77"/>
      <c r="H162" s="77"/>
      <c r="I162" s="58"/>
      <c r="J162" s="58"/>
      <c r="K162" s="56">
        <f t="shared" si="5"/>
        <v>23.7</v>
      </c>
    </row>
    <row r="163" s="158" customFormat="1" ht="25.5" customHeight="1" spans="1:11">
      <c r="A163" s="85"/>
      <c r="B163" s="85"/>
      <c r="C163" s="56" t="s">
        <v>240</v>
      </c>
      <c r="D163" s="76">
        <v>13.7</v>
      </c>
      <c r="E163" s="76">
        <v>10</v>
      </c>
      <c r="F163" s="74"/>
      <c r="G163" s="74"/>
      <c r="H163" s="74"/>
      <c r="I163" s="74"/>
      <c r="J163" s="74"/>
      <c r="K163" s="74">
        <f t="shared" si="5"/>
        <v>23.7</v>
      </c>
    </row>
    <row r="164" s="158" customFormat="1" ht="25.5" customHeight="1" spans="1:11">
      <c r="A164" s="86" t="s">
        <v>230</v>
      </c>
      <c r="B164" s="86">
        <v>10.5</v>
      </c>
      <c r="C164" s="56" t="s">
        <v>231</v>
      </c>
      <c r="D164" s="55">
        <v>10</v>
      </c>
      <c r="E164" s="55">
        <v>10</v>
      </c>
      <c r="F164" s="100"/>
      <c r="G164" s="77"/>
      <c r="H164" s="77"/>
      <c r="I164" s="58"/>
      <c r="J164" s="47"/>
      <c r="K164" s="56">
        <f t="shared" si="5"/>
        <v>20</v>
      </c>
    </row>
    <row r="165" s="158" customFormat="1" ht="25.5" customHeight="1" spans="1:11">
      <c r="A165" s="86" t="s">
        <v>232</v>
      </c>
      <c r="B165" s="86">
        <v>12</v>
      </c>
      <c r="C165" s="86" t="s">
        <v>233</v>
      </c>
      <c r="D165" s="55">
        <v>12</v>
      </c>
      <c r="E165" s="55">
        <v>10</v>
      </c>
      <c r="F165" s="100"/>
      <c r="G165" s="167"/>
      <c r="H165" s="167"/>
      <c r="I165" s="83"/>
      <c r="J165" s="55"/>
      <c r="K165" s="56">
        <f t="shared" si="5"/>
        <v>22</v>
      </c>
    </row>
    <row r="166" s="158" customFormat="1" ht="25.5" customHeight="1" spans="1:1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56">
        <f>SUM(K144:K165)</f>
        <v>590</v>
      </c>
    </row>
    <row r="167" s="104" customFormat="1" spans="1:11">
      <c r="A167" s="248"/>
      <c r="B167" s="248"/>
      <c r="C167" s="248"/>
    </row>
    <row r="168" s="104" customFormat="1"/>
    <row r="169" s="3" customFormat="1" ht="21" customHeight="1" spans="1:11">
      <c r="A169" s="71" t="s">
        <v>197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1"/>
    </row>
    <row r="170" s="3" customFormat="1" ht="21" customHeight="1" spans="1:11">
      <c r="A170" s="72" t="s">
        <v>247</v>
      </c>
      <c r="B170" s="72"/>
      <c r="C170" s="72"/>
      <c r="D170" s="73" t="s">
        <v>248</v>
      </c>
      <c r="E170" s="72"/>
      <c r="F170" s="72"/>
      <c r="G170" s="72"/>
      <c r="H170" s="72"/>
      <c r="I170" s="72"/>
      <c r="J170" s="72"/>
      <c r="K170" s="72"/>
    </row>
    <row r="171" s="3" customFormat="1" ht="21" customHeight="1" spans="1:11">
      <c r="A171" s="74" t="s">
        <v>200</v>
      </c>
      <c r="B171" s="74" t="s">
        <v>201</v>
      </c>
      <c r="C171" s="75" t="s">
        <v>202</v>
      </c>
      <c r="D171" s="76" t="s">
        <v>6</v>
      </c>
      <c r="E171" s="76" t="s">
        <v>6</v>
      </c>
      <c r="F171" s="74" t="s">
        <v>6</v>
      </c>
      <c r="G171" s="74" t="s">
        <v>6</v>
      </c>
      <c r="H171" s="74" t="s">
        <v>6</v>
      </c>
      <c r="I171" s="74" t="s">
        <v>6</v>
      </c>
      <c r="J171" s="74" t="s">
        <v>203</v>
      </c>
      <c r="K171" s="74" t="s">
        <v>204</v>
      </c>
    </row>
    <row r="172" s="3" customFormat="1" ht="21" customHeight="1" spans="1:11">
      <c r="A172" s="56" t="s">
        <v>205</v>
      </c>
      <c r="B172" s="56">
        <v>12</v>
      </c>
      <c r="C172" s="54" t="s">
        <v>206</v>
      </c>
      <c r="D172" s="232">
        <v>12</v>
      </c>
      <c r="E172" s="233">
        <v>10</v>
      </c>
      <c r="F172" s="100"/>
      <c r="G172" s="77"/>
      <c r="H172" s="77"/>
      <c r="I172" s="58"/>
      <c r="J172" s="47"/>
      <c r="K172" s="56">
        <f t="shared" ref="K172:K193" si="6">SUM(D172:J172)</f>
        <v>22</v>
      </c>
    </row>
    <row r="173" s="3" customFormat="1" ht="21" customHeight="1" spans="1:11">
      <c r="A173" s="78" t="s">
        <v>207</v>
      </c>
      <c r="B173" s="56">
        <v>11.5</v>
      </c>
      <c r="C173" s="61" t="s">
        <v>208</v>
      </c>
      <c r="D173" s="232">
        <v>11.5</v>
      </c>
      <c r="E173" s="233">
        <v>10</v>
      </c>
      <c r="F173" s="100"/>
      <c r="G173" s="77"/>
      <c r="H173" s="77"/>
      <c r="I173" s="58"/>
      <c r="J173" s="47"/>
      <c r="K173" s="56">
        <f t="shared" si="6"/>
        <v>21.5</v>
      </c>
    </row>
    <row r="174" s="3" customFormat="1" ht="21" customHeight="1" spans="1:11">
      <c r="A174" s="78"/>
      <c r="B174" s="56"/>
      <c r="C174" s="56" t="s">
        <v>209</v>
      </c>
      <c r="D174" s="232">
        <v>11.5</v>
      </c>
      <c r="E174" s="233">
        <v>10</v>
      </c>
      <c r="F174" s="100"/>
      <c r="G174" s="77"/>
      <c r="H174" s="77"/>
      <c r="I174" s="58"/>
      <c r="J174" s="47"/>
      <c r="K174" s="56">
        <f t="shared" si="6"/>
        <v>21.5</v>
      </c>
    </row>
    <row r="175" s="3" customFormat="1" ht="21" customHeight="1" spans="1:11">
      <c r="A175" s="78"/>
      <c r="B175" s="56"/>
      <c r="C175" s="61" t="s">
        <v>210</v>
      </c>
      <c r="D175" s="232">
        <v>11.5</v>
      </c>
      <c r="E175" s="233">
        <v>10</v>
      </c>
      <c r="F175" s="100"/>
      <c r="G175" s="77"/>
      <c r="H175" s="77"/>
      <c r="I175" s="58"/>
      <c r="J175" s="47"/>
      <c r="K175" s="56">
        <f t="shared" si="6"/>
        <v>21.5</v>
      </c>
    </row>
    <row r="176" s="3" customFormat="1" ht="21" customHeight="1" spans="1:11">
      <c r="A176" s="79" t="s">
        <v>237</v>
      </c>
      <c r="B176" s="56">
        <v>11.5</v>
      </c>
      <c r="C176" s="61" t="s">
        <v>212</v>
      </c>
      <c r="D176" s="232">
        <v>30</v>
      </c>
      <c r="E176" s="233">
        <v>10</v>
      </c>
      <c r="F176" s="100"/>
      <c r="G176" s="77"/>
      <c r="H176" s="77"/>
      <c r="I176" s="58"/>
      <c r="J176" s="47"/>
      <c r="K176" s="56">
        <f t="shared" si="6"/>
        <v>40</v>
      </c>
    </row>
    <row r="177" s="3" customFormat="1" ht="21" customHeight="1" spans="1:11">
      <c r="A177" s="80"/>
      <c r="B177" s="56"/>
      <c r="C177" s="3" t="s">
        <v>215</v>
      </c>
      <c r="D177" s="232">
        <v>38</v>
      </c>
      <c r="E177" s="233">
        <v>0</v>
      </c>
      <c r="F177" s="100"/>
      <c r="G177" s="77"/>
      <c r="H177" s="77"/>
      <c r="I177" s="58"/>
      <c r="J177" s="47"/>
      <c r="K177" s="56">
        <f t="shared" si="6"/>
        <v>38</v>
      </c>
    </row>
    <row r="178" s="3" customFormat="1" ht="21" customHeight="1" spans="1:11">
      <c r="A178" s="81" t="s">
        <v>238</v>
      </c>
      <c r="B178" s="56"/>
      <c r="C178" s="61" t="s">
        <v>213</v>
      </c>
      <c r="D178" s="232">
        <v>20</v>
      </c>
      <c r="E178" s="233">
        <v>10</v>
      </c>
      <c r="F178" s="100"/>
      <c r="G178" s="77"/>
      <c r="H178" s="77"/>
      <c r="I178" s="58"/>
      <c r="J178" s="47"/>
      <c r="K178" s="56">
        <f t="shared" si="6"/>
        <v>30</v>
      </c>
    </row>
    <row r="179" s="3" customFormat="1" ht="21" customHeight="1" spans="1:11">
      <c r="A179" s="82"/>
      <c r="B179" s="56"/>
      <c r="C179" s="61" t="s">
        <v>216</v>
      </c>
      <c r="D179" s="232">
        <v>28</v>
      </c>
      <c r="E179" s="233">
        <v>0</v>
      </c>
      <c r="F179" s="100"/>
      <c r="G179" s="77"/>
      <c r="H179" s="77"/>
      <c r="I179" s="83"/>
      <c r="J179" s="47"/>
      <c r="K179" s="56">
        <f t="shared" si="6"/>
        <v>28</v>
      </c>
    </row>
    <row r="180" s="3" customFormat="1" ht="21" customHeight="1" spans="1:11">
      <c r="A180" s="84" t="s">
        <v>239</v>
      </c>
      <c r="B180" s="56"/>
      <c r="C180" s="56" t="s">
        <v>214</v>
      </c>
      <c r="D180" s="232">
        <v>48</v>
      </c>
      <c r="E180" s="233">
        <v>0</v>
      </c>
      <c r="F180" s="100"/>
      <c r="G180" s="77"/>
      <c r="H180" s="77"/>
      <c r="I180" s="83"/>
      <c r="J180" s="47"/>
      <c r="K180" s="56">
        <f t="shared" si="6"/>
        <v>48</v>
      </c>
    </row>
    <row r="181" s="3" customFormat="1" ht="21" customHeight="1" spans="1:11">
      <c r="A181" s="56" t="s">
        <v>217</v>
      </c>
      <c r="B181" s="56">
        <v>10.5</v>
      </c>
      <c r="C181" s="56" t="s">
        <v>218</v>
      </c>
      <c r="D181" s="232">
        <v>48</v>
      </c>
      <c r="E181" s="233">
        <v>0</v>
      </c>
      <c r="F181" s="100"/>
      <c r="G181" s="77"/>
      <c r="H181" s="77"/>
      <c r="I181" s="58"/>
      <c r="J181" s="47"/>
      <c r="K181" s="56">
        <f t="shared" si="6"/>
        <v>48</v>
      </c>
    </row>
    <row r="182" s="3" customFormat="1" ht="21" customHeight="1" spans="1:11">
      <c r="A182" s="56"/>
      <c r="B182" s="56"/>
      <c r="C182" s="56" t="s">
        <v>219</v>
      </c>
      <c r="D182" s="232">
        <v>48</v>
      </c>
      <c r="E182" s="233">
        <v>0</v>
      </c>
      <c r="F182" s="100"/>
      <c r="G182" s="77"/>
      <c r="H182" s="77"/>
      <c r="I182" s="58"/>
      <c r="J182" s="47"/>
      <c r="K182" s="56">
        <f t="shared" si="6"/>
        <v>48</v>
      </c>
    </row>
    <row r="183" s="3" customFormat="1" ht="21" customHeight="1" spans="1:11">
      <c r="A183" s="56" t="s">
        <v>220</v>
      </c>
      <c r="B183" s="56">
        <v>11.5</v>
      </c>
      <c r="C183" s="61" t="s">
        <v>221</v>
      </c>
      <c r="D183" s="232">
        <v>40</v>
      </c>
      <c r="E183" s="233">
        <v>20</v>
      </c>
      <c r="F183" s="100"/>
      <c r="G183" s="77"/>
      <c r="H183" s="77"/>
      <c r="I183" s="58"/>
      <c r="J183" s="47"/>
      <c r="K183" s="56">
        <f t="shared" si="6"/>
        <v>60</v>
      </c>
    </row>
    <row r="184" s="3" customFormat="1" ht="21" customHeight="1" spans="1:11">
      <c r="A184" s="56"/>
      <c r="B184" s="56"/>
      <c r="C184" s="61" t="s">
        <v>222</v>
      </c>
      <c r="D184" s="232">
        <v>20</v>
      </c>
      <c r="E184" s="233">
        <v>5</v>
      </c>
      <c r="F184" s="100"/>
      <c r="G184" s="77"/>
      <c r="H184" s="77"/>
      <c r="I184" s="58"/>
      <c r="J184" s="47"/>
      <c r="K184" s="56">
        <f t="shared" si="6"/>
        <v>25</v>
      </c>
    </row>
    <row r="185" s="3" customFormat="1" ht="21" customHeight="1" spans="1:11">
      <c r="A185" s="56"/>
      <c r="B185" s="56"/>
      <c r="C185" s="61" t="s">
        <v>223</v>
      </c>
      <c r="D185" s="232">
        <v>25</v>
      </c>
      <c r="E185" s="233">
        <v>5</v>
      </c>
      <c r="F185" s="100"/>
      <c r="G185" s="77"/>
      <c r="H185" s="77"/>
      <c r="I185" s="58"/>
      <c r="J185" s="47"/>
      <c r="K185" s="56">
        <f t="shared" si="6"/>
        <v>30</v>
      </c>
    </row>
    <row r="186" s="3" customFormat="1" ht="21" customHeight="1" spans="1:11">
      <c r="A186" s="56"/>
      <c r="B186" s="56"/>
      <c r="C186" s="61" t="s">
        <v>224</v>
      </c>
      <c r="D186" s="232">
        <v>134.2</v>
      </c>
      <c r="E186" s="233">
        <v>5</v>
      </c>
      <c r="F186" s="100"/>
      <c r="G186" s="77"/>
      <c r="H186" s="77"/>
      <c r="I186" s="58"/>
      <c r="J186" s="47"/>
      <c r="K186" s="56">
        <f t="shared" si="6"/>
        <v>139.2</v>
      </c>
    </row>
    <row r="187" s="3" customFormat="1" ht="21" customHeight="1" spans="1:11">
      <c r="A187" s="85" t="s">
        <v>225</v>
      </c>
      <c r="B187" s="85">
        <v>10.5</v>
      </c>
      <c r="C187" s="56" t="s">
        <v>226</v>
      </c>
      <c r="D187" s="232">
        <v>17.2</v>
      </c>
      <c r="E187" s="233">
        <v>5</v>
      </c>
      <c r="F187" s="100"/>
      <c r="G187" s="77"/>
      <c r="H187" s="77"/>
      <c r="I187" s="58"/>
      <c r="J187" s="47"/>
      <c r="K187" s="56">
        <f t="shared" si="6"/>
        <v>22.2</v>
      </c>
    </row>
    <row r="188" s="3" customFormat="1" ht="21" customHeight="1" spans="1:11">
      <c r="A188" s="85"/>
      <c r="B188" s="85"/>
      <c r="C188" s="56" t="s">
        <v>228</v>
      </c>
      <c r="D188" s="232">
        <v>17.2</v>
      </c>
      <c r="E188" s="233">
        <v>5</v>
      </c>
      <c r="F188" s="100"/>
      <c r="G188" s="77"/>
      <c r="H188" s="77"/>
      <c r="I188" s="58"/>
      <c r="J188" s="47"/>
      <c r="K188" s="56">
        <f t="shared" si="6"/>
        <v>22.2</v>
      </c>
    </row>
    <row r="189" s="3" customFormat="1" ht="21" customHeight="1" spans="1:11">
      <c r="A189" s="85"/>
      <c r="B189" s="85"/>
      <c r="C189" s="56" t="s">
        <v>227</v>
      </c>
      <c r="D189" s="232">
        <v>17.2</v>
      </c>
      <c r="E189" s="233">
        <v>0</v>
      </c>
      <c r="F189" s="100"/>
      <c r="G189" s="77"/>
      <c r="H189" s="77"/>
      <c r="I189" s="58"/>
      <c r="J189" s="47"/>
      <c r="K189" s="56">
        <f t="shared" si="6"/>
        <v>17.2</v>
      </c>
    </row>
    <row r="190" s="3" customFormat="1" ht="21" customHeight="1" spans="1:11">
      <c r="A190" s="85"/>
      <c r="B190" s="85"/>
      <c r="C190" s="56" t="s">
        <v>229</v>
      </c>
      <c r="D190" s="232">
        <v>17.2</v>
      </c>
      <c r="E190" s="233">
        <v>0</v>
      </c>
      <c r="F190" s="100"/>
      <c r="G190" s="77"/>
      <c r="H190" s="77"/>
      <c r="I190" s="58"/>
      <c r="J190" s="58"/>
      <c r="K190" s="56">
        <f t="shared" si="6"/>
        <v>17.2</v>
      </c>
    </row>
    <row r="191" s="3" customFormat="1" ht="21" customHeight="1" spans="1:11">
      <c r="A191" s="85"/>
      <c r="B191" s="85"/>
      <c r="C191" s="56" t="s">
        <v>240</v>
      </c>
      <c r="D191" s="232">
        <v>40</v>
      </c>
      <c r="E191" s="233">
        <v>5</v>
      </c>
      <c r="F191" s="100"/>
      <c r="G191" s="77"/>
      <c r="H191" s="77"/>
      <c r="I191" s="58"/>
      <c r="J191" s="58"/>
      <c r="K191" s="56">
        <f t="shared" si="6"/>
        <v>45</v>
      </c>
    </row>
    <row r="192" s="3" customFormat="1" ht="21" customHeight="1" spans="1:11">
      <c r="A192" s="86" t="s">
        <v>230</v>
      </c>
      <c r="B192" s="86">
        <v>10.5</v>
      </c>
      <c r="C192" s="56" t="s">
        <v>231</v>
      </c>
      <c r="D192" s="232">
        <v>10</v>
      </c>
      <c r="E192" s="233">
        <v>0</v>
      </c>
      <c r="F192" s="100"/>
      <c r="G192" s="77"/>
      <c r="H192" s="77"/>
      <c r="I192" s="58"/>
      <c r="J192" s="58"/>
      <c r="K192" s="56">
        <f t="shared" si="6"/>
        <v>10</v>
      </c>
    </row>
    <row r="193" s="3" customFormat="1" ht="21" customHeight="1" spans="1:11">
      <c r="A193" s="86" t="s">
        <v>232</v>
      </c>
      <c r="B193" s="86">
        <v>12</v>
      </c>
      <c r="C193" s="86" t="s">
        <v>233</v>
      </c>
      <c r="D193" s="234">
        <v>12</v>
      </c>
      <c r="E193" s="235">
        <v>0</v>
      </c>
      <c r="F193" s="100"/>
      <c r="G193" s="167"/>
      <c r="H193" s="167"/>
      <c r="I193" s="83"/>
      <c r="J193" s="83"/>
      <c r="K193" s="56">
        <f t="shared" si="6"/>
        <v>12</v>
      </c>
    </row>
    <row r="194" s="3" customFormat="1" ht="21" customHeight="1" spans="1:11">
      <c r="A194" s="61"/>
      <c r="B194" s="87"/>
      <c r="C194" s="87"/>
      <c r="D194" s="87"/>
      <c r="E194" s="87"/>
      <c r="F194" s="87"/>
      <c r="G194" s="87"/>
      <c r="H194" s="87"/>
      <c r="I194" s="87"/>
      <c r="J194" s="87"/>
      <c r="K194" s="47">
        <f>SUM(K172:K193)</f>
        <v>766.5</v>
      </c>
    </row>
    <row r="195" s="104" customFormat="1"/>
    <row r="196" s="104" customFormat="1"/>
    <row r="197" s="3" customFormat="1" ht="21" customHeight="1" spans="1:11">
      <c r="A197" s="71" t="s">
        <v>197</v>
      </c>
      <c r="B197" s="71"/>
      <c r="C197" s="71"/>
      <c r="D197" s="71"/>
      <c r="E197" s="71"/>
      <c r="F197" s="71"/>
      <c r="G197" s="71"/>
      <c r="H197" s="71"/>
      <c r="I197" s="71"/>
      <c r="J197" s="71"/>
      <c r="K197" s="71"/>
    </row>
    <row r="198" s="3" customFormat="1" ht="21" customHeight="1" spans="1:11">
      <c r="A198" s="72" t="s">
        <v>247</v>
      </c>
      <c r="B198" s="72"/>
      <c r="C198" s="72"/>
      <c r="D198" s="73" t="s">
        <v>249</v>
      </c>
      <c r="E198" s="72"/>
      <c r="F198" s="72"/>
      <c r="G198" s="72"/>
      <c r="H198" s="72"/>
      <c r="I198" s="72"/>
      <c r="J198" s="72"/>
      <c r="K198" s="72"/>
    </row>
    <row r="199" s="3" customFormat="1" ht="21" customHeight="1" spans="1:11">
      <c r="A199" s="74" t="s">
        <v>200</v>
      </c>
      <c r="B199" s="74" t="s">
        <v>201</v>
      </c>
      <c r="C199" s="75" t="s">
        <v>202</v>
      </c>
      <c r="D199" s="76" t="s">
        <v>6</v>
      </c>
      <c r="E199" s="76" t="s">
        <v>6</v>
      </c>
      <c r="F199" s="74" t="s">
        <v>6</v>
      </c>
      <c r="G199" s="74" t="s">
        <v>6</v>
      </c>
      <c r="H199" s="74" t="s">
        <v>6</v>
      </c>
      <c r="I199" s="74" t="s">
        <v>6</v>
      </c>
      <c r="J199" s="74" t="s">
        <v>203</v>
      </c>
      <c r="K199" s="74" t="s">
        <v>204</v>
      </c>
    </row>
    <row r="200" s="3" customFormat="1" ht="21" customHeight="1" spans="1:11">
      <c r="A200" s="56" t="s">
        <v>205</v>
      </c>
      <c r="B200" s="56">
        <v>12</v>
      </c>
      <c r="C200" s="54" t="s">
        <v>206</v>
      </c>
      <c r="D200" s="55">
        <v>12</v>
      </c>
      <c r="E200" s="55">
        <v>20</v>
      </c>
      <c r="F200" s="100"/>
      <c r="G200" s="77"/>
      <c r="H200" s="77"/>
      <c r="I200" s="58"/>
      <c r="J200" s="47"/>
      <c r="K200" s="56">
        <f t="shared" ref="K200:K222" si="7">SUM(D200:J200)</f>
        <v>32</v>
      </c>
    </row>
    <row r="201" s="3" customFormat="1" ht="21" customHeight="1" spans="1:11">
      <c r="A201" s="78" t="s">
        <v>207</v>
      </c>
      <c r="B201" s="56">
        <v>11.5</v>
      </c>
      <c r="C201" s="61" t="s">
        <v>208</v>
      </c>
      <c r="D201" s="55">
        <v>11.5</v>
      </c>
      <c r="E201" s="55">
        <v>20</v>
      </c>
      <c r="F201" s="100"/>
      <c r="G201" s="77"/>
      <c r="H201" s="77"/>
      <c r="I201" s="58"/>
      <c r="J201" s="47"/>
      <c r="K201" s="56">
        <f t="shared" si="7"/>
        <v>31.5</v>
      </c>
    </row>
    <row r="202" s="3" customFormat="1" ht="21" customHeight="1" spans="1:11">
      <c r="A202" s="78"/>
      <c r="B202" s="56"/>
      <c r="C202" s="56" t="s">
        <v>209</v>
      </c>
      <c r="D202" s="55">
        <v>11.5</v>
      </c>
      <c r="E202" s="55">
        <v>10</v>
      </c>
      <c r="F202" s="100"/>
      <c r="G202" s="77"/>
      <c r="H202" s="77"/>
      <c r="I202" s="58"/>
      <c r="J202" s="47"/>
      <c r="K202" s="56">
        <f t="shared" si="7"/>
        <v>21.5</v>
      </c>
    </row>
    <row r="203" s="3" customFormat="1" ht="21" customHeight="1" spans="1:11">
      <c r="A203" s="78"/>
      <c r="B203" s="56"/>
      <c r="C203" s="61" t="s">
        <v>210</v>
      </c>
      <c r="D203" s="55">
        <v>11.5</v>
      </c>
      <c r="E203" s="55">
        <v>10</v>
      </c>
      <c r="F203" s="100"/>
      <c r="G203" s="77"/>
      <c r="H203" s="77"/>
      <c r="I203" s="58"/>
      <c r="J203" s="47"/>
      <c r="K203" s="56">
        <f t="shared" si="7"/>
        <v>21.5</v>
      </c>
    </row>
    <row r="204" s="3" customFormat="1" ht="21" customHeight="1" spans="1:11">
      <c r="A204" s="79" t="s">
        <v>237</v>
      </c>
      <c r="B204" s="56">
        <v>11.5</v>
      </c>
      <c r="C204" s="61" t="s">
        <v>212</v>
      </c>
      <c r="D204" s="55">
        <v>20</v>
      </c>
      <c r="E204" s="55">
        <v>10</v>
      </c>
      <c r="F204" s="100"/>
      <c r="G204" s="77"/>
      <c r="H204" s="77"/>
      <c r="I204" s="58"/>
      <c r="J204" s="47"/>
      <c r="K204" s="56">
        <f t="shared" si="7"/>
        <v>30</v>
      </c>
    </row>
    <row r="205" s="3" customFormat="1" ht="21" customHeight="1" spans="1:11">
      <c r="A205" s="80"/>
      <c r="B205" s="56"/>
      <c r="C205" s="3" t="s">
        <v>215</v>
      </c>
      <c r="D205" s="55">
        <v>15</v>
      </c>
      <c r="E205" s="55">
        <v>10</v>
      </c>
      <c r="F205" s="100"/>
      <c r="G205" s="77"/>
      <c r="H205" s="77"/>
      <c r="I205" s="58"/>
      <c r="J205" s="47"/>
      <c r="K205" s="56">
        <f t="shared" si="7"/>
        <v>25</v>
      </c>
    </row>
    <row r="206" s="3" customFormat="1" ht="21" customHeight="1" spans="1:11">
      <c r="A206" s="81" t="s">
        <v>238</v>
      </c>
      <c r="B206" s="56"/>
      <c r="C206" s="61" t="s">
        <v>213</v>
      </c>
      <c r="D206" s="55">
        <v>15</v>
      </c>
      <c r="E206" s="55">
        <v>10</v>
      </c>
      <c r="F206" s="100"/>
      <c r="G206" s="77"/>
      <c r="H206" s="77"/>
      <c r="I206" s="58"/>
      <c r="J206" s="47"/>
      <c r="K206" s="56">
        <f t="shared" si="7"/>
        <v>25</v>
      </c>
    </row>
    <row r="207" s="3" customFormat="1" ht="21" customHeight="1" spans="1:11">
      <c r="A207" s="82"/>
      <c r="B207" s="56"/>
      <c r="C207" s="61" t="s">
        <v>216</v>
      </c>
      <c r="D207" s="55">
        <v>15</v>
      </c>
      <c r="E207" s="55">
        <v>10</v>
      </c>
      <c r="F207" s="100"/>
      <c r="G207" s="77"/>
      <c r="H207" s="77"/>
      <c r="I207" s="83"/>
      <c r="J207" s="47"/>
      <c r="K207" s="56">
        <f t="shared" si="7"/>
        <v>25</v>
      </c>
    </row>
    <row r="208" s="3" customFormat="1" ht="21" customHeight="1" spans="1:11">
      <c r="A208" s="84" t="s">
        <v>239</v>
      </c>
      <c r="B208" s="56"/>
      <c r="C208" s="56" t="s">
        <v>214</v>
      </c>
      <c r="D208" s="55">
        <v>15</v>
      </c>
      <c r="E208" s="55">
        <v>10</v>
      </c>
      <c r="F208" s="100"/>
      <c r="G208" s="77"/>
      <c r="H208" s="77"/>
      <c r="I208" s="83"/>
      <c r="J208" s="47"/>
      <c r="K208" s="56">
        <f t="shared" si="7"/>
        <v>25</v>
      </c>
    </row>
    <row r="209" s="3" customFormat="1" ht="21" customHeight="1" spans="1:11">
      <c r="A209" s="56" t="s">
        <v>217</v>
      </c>
      <c r="B209" s="56">
        <v>10.5</v>
      </c>
      <c r="C209" s="56" t="s">
        <v>218</v>
      </c>
      <c r="D209" s="55">
        <v>15</v>
      </c>
      <c r="E209" s="55">
        <v>10</v>
      </c>
      <c r="F209" s="100"/>
      <c r="G209" s="77"/>
      <c r="H209" s="77"/>
      <c r="I209" s="58"/>
      <c r="J209" s="47"/>
      <c r="K209" s="56">
        <f t="shared" si="7"/>
        <v>25</v>
      </c>
    </row>
    <row r="210" s="3" customFormat="1" ht="21" customHeight="1" spans="1:11">
      <c r="A210" s="56"/>
      <c r="B210" s="56"/>
      <c r="C210" s="56" t="s">
        <v>219</v>
      </c>
      <c r="D210" s="55">
        <v>15</v>
      </c>
      <c r="E210" s="55">
        <v>10</v>
      </c>
      <c r="F210" s="100"/>
      <c r="G210" s="77"/>
      <c r="H210" s="77"/>
      <c r="I210" s="58"/>
      <c r="J210" s="47"/>
      <c r="K210" s="56">
        <f t="shared" si="7"/>
        <v>25</v>
      </c>
    </row>
    <row r="211" s="3" customFormat="1" ht="21" customHeight="1" spans="1:11">
      <c r="A211" s="56" t="s">
        <v>220</v>
      </c>
      <c r="B211" s="56">
        <v>11.5</v>
      </c>
      <c r="C211" s="61" t="s">
        <v>221</v>
      </c>
      <c r="D211" s="55">
        <v>35</v>
      </c>
      <c r="E211" s="55">
        <v>10</v>
      </c>
      <c r="F211" s="100"/>
      <c r="G211" s="77"/>
      <c r="H211" s="77"/>
      <c r="I211" s="58"/>
      <c r="J211" s="47"/>
      <c r="K211" s="56">
        <f t="shared" si="7"/>
        <v>45</v>
      </c>
    </row>
    <row r="212" s="3" customFormat="1" ht="21" customHeight="1" spans="1:11">
      <c r="A212" s="56"/>
      <c r="B212" s="56"/>
      <c r="C212" s="61" t="s">
        <v>222</v>
      </c>
      <c r="D212" s="47">
        <v>30</v>
      </c>
      <c r="E212" s="55">
        <v>10</v>
      </c>
      <c r="F212" s="100"/>
      <c r="G212" s="77"/>
      <c r="H212" s="77"/>
      <c r="I212" s="58"/>
      <c r="J212" s="47"/>
      <c r="K212" s="56">
        <f t="shared" si="7"/>
        <v>40</v>
      </c>
    </row>
    <row r="213" s="3" customFormat="1" ht="21" customHeight="1" spans="1:11">
      <c r="A213" s="56"/>
      <c r="B213" s="56"/>
      <c r="C213" s="61" t="s">
        <v>223</v>
      </c>
      <c r="D213" s="47">
        <v>30</v>
      </c>
      <c r="E213" s="55">
        <v>10</v>
      </c>
      <c r="F213" s="100"/>
      <c r="G213" s="77"/>
      <c r="H213" s="77"/>
      <c r="I213" s="58"/>
      <c r="J213" s="47"/>
      <c r="K213" s="56">
        <f t="shared" si="7"/>
        <v>40</v>
      </c>
    </row>
    <row r="214" s="3" customFormat="1" ht="21" customHeight="1" spans="1:11">
      <c r="A214" s="56"/>
      <c r="B214" s="56"/>
      <c r="C214" s="61" t="s">
        <v>224</v>
      </c>
      <c r="D214" s="47">
        <v>30</v>
      </c>
      <c r="E214" s="55">
        <v>10</v>
      </c>
      <c r="F214" s="100"/>
      <c r="G214" s="77"/>
      <c r="H214" s="77"/>
      <c r="I214" s="58"/>
      <c r="J214" s="47"/>
      <c r="K214" s="56">
        <f t="shared" si="7"/>
        <v>40</v>
      </c>
    </row>
    <row r="215" s="3" customFormat="1" ht="21" customHeight="1" spans="1:11">
      <c r="A215" s="85" t="s">
        <v>225</v>
      </c>
      <c r="B215" s="85">
        <v>10.5</v>
      </c>
      <c r="C215" s="56" t="s">
        <v>226</v>
      </c>
      <c r="D215" s="55">
        <v>20.5</v>
      </c>
      <c r="E215" s="55">
        <v>10</v>
      </c>
      <c r="F215" s="100"/>
      <c r="G215" s="77"/>
      <c r="H215" s="77"/>
      <c r="I215" s="58"/>
      <c r="J215" s="47"/>
      <c r="K215" s="56">
        <f t="shared" si="7"/>
        <v>30.5</v>
      </c>
    </row>
    <row r="216" s="3" customFormat="1" ht="21" customHeight="1" spans="1:11">
      <c r="A216" s="85"/>
      <c r="B216" s="85"/>
      <c r="C216" s="56" t="s">
        <v>250</v>
      </c>
      <c r="D216" s="55">
        <v>20.5</v>
      </c>
      <c r="E216" s="55">
        <v>10</v>
      </c>
      <c r="F216" s="100"/>
      <c r="G216" s="77"/>
      <c r="H216" s="77"/>
      <c r="I216" s="58"/>
      <c r="J216" s="47"/>
      <c r="K216" s="56">
        <f t="shared" si="7"/>
        <v>30.5</v>
      </c>
    </row>
    <row r="217" s="3" customFormat="1" ht="21" customHeight="1" spans="1:11">
      <c r="A217" s="85"/>
      <c r="B217" s="85"/>
      <c r="C217" s="56" t="s">
        <v>228</v>
      </c>
      <c r="D217" s="55">
        <v>20.5</v>
      </c>
      <c r="E217" s="55">
        <v>10</v>
      </c>
      <c r="F217" s="100"/>
      <c r="G217" s="77"/>
      <c r="H217" s="77"/>
      <c r="I217" s="58"/>
      <c r="J217" s="47"/>
      <c r="K217" s="56">
        <f t="shared" si="7"/>
        <v>30.5</v>
      </c>
    </row>
    <row r="218" s="3" customFormat="1" ht="21" customHeight="1" spans="1:11">
      <c r="A218" s="85"/>
      <c r="B218" s="85"/>
      <c r="C218" s="56" t="s">
        <v>227</v>
      </c>
      <c r="D218" s="55">
        <v>20.5</v>
      </c>
      <c r="E218" s="55">
        <v>10</v>
      </c>
      <c r="F218" s="100"/>
      <c r="G218" s="77"/>
      <c r="H218" s="77"/>
      <c r="I218" s="58"/>
      <c r="J218" s="47"/>
      <c r="K218" s="56">
        <f t="shared" si="7"/>
        <v>30.5</v>
      </c>
    </row>
    <row r="219" s="3" customFormat="1" ht="21" customHeight="1" spans="1:11">
      <c r="A219" s="85"/>
      <c r="B219" s="85"/>
      <c r="C219" s="56" t="s">
        <v>229</v>
      </c>
      <c r="D219" s="55">
        <v>20.5</v>
      </c>
      <c r="E219" s="55">
        <v>10</v>
      </c>
      <c r="F219" s="100"/>
      <c r="G219" s="77"/>
      <c r="H219" s="77"/>
      <c r="I219" s="58"/>
      <c r="J219" s="58"/>
      <c r="K219" s="56">
        <f t="shared" si="7"/>
        <v>30.5</v>
      </c>
    </row>
    <row r="220" s="3" customFormat="1" ht="21" customHeight="1" spans="1:11">
      <c r="A220" s="85"/>
      <c r="B220" s="85"/>
      <c r="C220" s="56" t="s">
        <v>240</v>
      </c>
      <c r="D220" s="55">
        <v>20.5</v>
      </c>
      <c r="E220" s="55">
        <v>10</v>
      </c>
      <c r="F220" s="100"/>
      <c r="G220" s="77"/>
      <c r="H220" s="77"/>
      <c r="I220" s="58"/>
      <c r="J220" s="58"/>
      <c r="K220" s="56">
        <f t="shared" si="7"/>
        <v>30.5</v>
      </c>
    </row>
    <row r="221" s="3" customFormat="1" ht="21" customHeight="1" spans="1:11">
      <c r="A221" s="86" t="s">
        <v>230</v>
      </c>
      <c r="B221" s="86">
        <v>10.5</v>
      </c>
      <c r="C221" s="56" t="s">
        <v>231</v>
      </c>
      <c r="D221" s="55">
        <v>10</v>
      </c>
      <c r="E221" s="55">
        <v>10</v>
      </c>
      <c r="F221" s="100"/>
      <c r="G221" s="77"/>
      <c r="H221" s="77"/>
      <c r="I221" s="58"/>
      <c r="J221" s="58"/>
      <c r="K221" s="56">
        <f t="shared" si="7"/>
        <v>20</v>
      </c>
    </row>
    <row r="222" s="3" customFormat="1" ht="21" customHeight="1" spans="1:11">
      <c r="A222" s="56" t="s">
        <v>232</v>
      </c>
      <c r="B222" s="56">
        <v>12</v>
      </c>
      <c r="C222" s="56" t="s">
        <v>233</v>
      </c>
      <c r="D222" s="47">
        <v>12</v>
      </c>
      <c r="E222" s="47">
        <v>10</v>
      </c>
      <c r="F222" s="54"/>
      <c r="G222" s="77"/>
      <c r="H222" s="77"/>
      <c r="I222" s="58"/>
      <c r="J222" s="58"/>
      <c r="K222" s="56">
        <f t="shared" si="7"/>
        <v>22</v>
      </c>
    </row>
    <row r="223" s="3" customFormat="1" ht="21" customHeight="1" spans="1:11">
      <c r="A223" s="211"/>
      <c r="B223" s="212"/>
      <c r="C223" s="212"/>
      <c r="D223" s="213"/>
      <c r="E223" s="213"/>
      <c r="F223" s="213"/>
      <c r="G223" s="213"/>
      <c r="H223" s="213"/>
      <c r="I223" s="213"/>
      <c r="J223" s="213"/>
      <c r="K223" s="47">
        <f>SUM(K200:K222)</f>
        <v>676.5</v>
      </c>
    </row>
    <row r="224" s="104" customFormat="1"/>
    <row r="225" s="104" customFormat="1"/>
    <row r="226" s="2" customFormat="1" ht="21.75" customHeight="1" spans="1:11">
      <c r="A226" s="88" t="s">
        <v>234</v>
      </c>
      <c r="B226" s="88"/>
      <c r="C226" s="88"/>
      <c r="D226" s="88"/>
      <c r="E226" s="88"/>
      <c r="F226" s="88"/>
      <c r="G226" s="88"/>
      <c r="H226" s="88"/>
      <c r="I226" s="88"/>
      <c r="J226" s="88"/>
      <c r="K226" s="88"/>
    </row>
    <row r="227" s="2" customFormat="1" ht="21.75" customHeight="1" spans="1:11">
      <c r="A227" s="91" t="s">
        <v>251</v>
      </c>
      <c r="B227" s="91"/>
      <c r="C227" s="91"/>
      <c r="D227" s="92" t="s">
        <v>252</v>
      </c>
      <c r="E227" s="91"/>
      <c r="F227" s="91"/>
      <c r="G227" s="91"/>
      <c r="H227" s="91"/>
      <c r="I227" s="91"/>
      <c r="J227" s="91"/>
      <c r="K227" s="91"/>
    </row>
    <row r="228" s="2" customFormat="1" ht="21.75" customHeight="1" spans="1:11">
      <c r="A228" s="93" t="s">
        <v>200</v>
      </c>
      <c r="B228" s="93" t="s">
        <v>201</v>
      </c>
      <c r="C228" s="94" t="s">
        <v>202</v>
      </c>
      <c r="D228" s="95" t="s">
        <v>6</v>
      </c>
      <c r="E228" s="95" t="s">
        <v>6</v>
      </c>
      <c r="F228" s="93" t="s">
        <v>6</v>
      </c>
      <c r="G228" s="93" t="s">
        <v>6</v>
      </c>
      <c r="H228" s="93" t="s">
        <v>6</v>
      </c>
      <c r="I228" s="93" t="s">
        <v>6</v>
      </c>
      <c r="J228" s="93" t="s">
        <v>203</v>
      </c>
      <c r="K228" s="93" t="s">
        <v>204</v>
      </c>
    </row>
    <row r="229" s="2" customFormat="1" ht="21.75" customHeight="1" spans="1:11">
      <c r="A229" s="13" t="s">
        <v>205</v>
      </c>
      <c r="B229" s="13">
        <v>12</v>
      </c>
      <c r="C229" s="38" t="s">
        <v>206</v>
      </c>
      <c r="D229" s="28">
        <v>15</v>
      </c>
      <c r="E229" s="28">
        <v>15</v>
      </c>
      <c r="F229" s="28">
        <v>15</v>
      </c>
      <c r="G229" s="13">
        <v>10</v>
      </c>
      <c r="H229" s="13"/>
      <c r="I229" s="153"/>
      <c r="J229" s="98"/>
      <c r="K229" s="13">
        <f t="shared" ref="K229:K251" si="8">SUM(D229:J229)</f>
        <v>55</v>
      </c>
    </row>
    <row r="230" s="2" customFormat="1" ht="21.75" customHeight="1" spans="1:11">
      <c r="A230" s="96" t="s">
        <v>207</v>
      </c>
      <c r="B230" s="13">
        <v>11.5</v>
      </c>
      <c r="C230" s="17" t="s">
        <v>208</v>
      </c>
      <c r="D230" s="154">
        <v>14.3</v>
      </c>
      <c r="E230" s="154">
        <v>14.3</v>
      </c>
      <c r="F230" s="154">
        <v>14.3</v>
      </c>
      <c r="G230" s="13">
        <v>0</v>
      </c>
      <c r="H230" s="13"/>
      <c r="I230" s="153"/>
      <c r="J230" s="98"/>
      <c r="K230" s="13">
        <f t="shared" si="8"/>
        <v>42.9</v>
      </c>
    </row>
    <row r="231" s="2" customFormat="1" ht="21.75" customHeight="1" spans="1:11">
      <c r="A231" s="96"/>
      <c r="B231" s="13"/>
      <c r="C231" s="13" t="s">
        <v>209</v>
      </c>
      <c r="D231" s="154">
        <v>14.3</v>
      </c>
      <c r="E231" s="154">
        <v>14.3</v>
      </c>
      <c r="F231" s="154">
        <v>14.3</v>
      </c>
      <c r="G231" s="13">
        <v>0</v>
      </c>
      <c r="H231" s="13"/>
      <c r="I231" s="153"/>
      <c r="J231" s="98"/>
      <c r="K231" s="13">
        <f t="shared" si="8"/>
        <v>42.9</v>
      </c>
    </row>
    <row r="232" s="2" customFormat="1" ht="21.75" customHeight="1" spans="1:11">
      <c r="A232" s="96"/>
      <c r="B232" s="13"/>
      <c r="C232" s="17" t="s">
        <v>210</v>
      </c>
      <c r="D232" s="154">
        <v>14.3</v>
      </c>
      <c r="E232" s="154">
        <v>14.3</v>
      </c>
      <c r="F232" s="154">
        <v>14.3</v>
      </c>
      <c r="G232" s="13">
        <v>10</v>
      </c>
      <c r="H232" s="13"/>
      <c r="I232" s="153"/>
      <c r="J232" s="98"/>
      <c r="K232" s="13">
        <f t="shared" si="8"/>
        <v>52.9</v>
      </c>
    </row>
    <row r="233" s="2" customFormat="1" ht="21.75" customHeight="1" spans="1:11">
      <c r="A233" s="19" t="s">
        <v>211</v>
      </c>
      <c r="B233" s="28">
        <v>11.5</v>
      </c>
      <c r="C233" s="17" t="s">
        <v>212</v>
      </c>
      <c r="D233" s="154">
        <v>14.3</v>
      </c>
      <c r="E233" s="154">
        <v>14.3</v>
      </c>
      <c r="F233" s="154">
        <v>14.3</v>
      </c>
      <c r="G233" s="13">
        <v>11.5</v>
      </c>
      <c r="H233" s="13"/>
      <c r="I233" s="153"/>
      <c r="J233" s="98"/>
      <c r="K233" s="13">
        <f t="shared" si="8"/>
        <v>54.4</v>
      </c>
    </row>
    <row r="234" s="2" customFormat="1" ht="21.75" customHeight="1" spans="1:11">
      <c r="A234" s="155"/>
      <c r="B234" s="97"/>
      <c r="C234" s="17" t="s">
        <v>213</v>
      </c>
      <c r="D234" s="154">
        <v>14.3</v>
      </c>
      <c r="E234" s="154">
        <v>14.3</v>
      </c>
      <c r="F234" s="154">
        <v>14.3</v>
      </c>
      <c r="G234" s="13">
        <v>11.5</v>
      </c>
      <c r="H234" s="13"/>
      <c r="I234" s="153"/>
      <c r="J234" s="98"/>
      <c r="K234" s="13">
        <f t="shared" si="8"/>
        <v>54.4</v>
      </c>
    </row>
    <row r="235" s="2" customFormat="1" ht="21.75" customHeight="1" spans="1:11">
      <c r="A235" s="155"/>
      <c r="B235" s="97"/>
      <c r="C235" s="13" t="s">
        <v>214</v>
      </c>
      <c r="D235" s="156">
        <v>14.3</v>
      </c>
      <c r="E235" s="156">
        <v>14.3</v>
      </c>
      <c r="F235" s="156">
        <v>14.3</v>
      </c>
      <c r="G235" s="13">
        <v>11.5</v>
      </c>
      <c r="H235" s="13"/>
      <c r="I235" s="153"/>
      <c r="J235" s="98"/>
      <c r="K235" s="13">
        <f t="shared" si="8"/>
        <v>54.4</v>
      </c>
    </row>
    <row r="236" s="2" customFormat="1" ht="21.75" customHeight="1" spans="1:11">
      <c r="A236" s="155"/>
      <c r="B236" s="97"/>
      <c r="C236" s="17" t="s">
        <v>216</v>
      </c>
      <c r="D236" s="154">
        <v>0</v>
      </c>
      <c r="E236" s="154">
        <v>0</v>
      </c>
      <c r="F236" s="154">
        <v>0</v>
      </c>
      <c r="G236" s="13">
        <v>0</v>
      </c>
      <c r="H236" s="13"/>
      <c r="I236" s="153"/>
      <c r="J236" s="98"/>
      <c r="K236" s="13">
        <f t="shared" si="8"/>
        <v>0</v>
      </c>
    </row>
    <row r="237" s="2" customFormat="1" ht="21.75" customHeight="1" spans="1:11">
      <c r="A237" s="20"/>
      <c r="B237" s="157"/>
      <c r="C237" s="17" t="s">
        <v>215</v>
      </c>
      <c r="D237" s="154">
        <v>14.3</v>
      </c>
      <c r="E237" s="154">
        <v>14.3</v>
      </c>
      <c r="F237" s="154">
        <v>14.3</v>
      </c>
      <c r="G237" s="13">
        <v>11.5</v>
      </c>
      <c r="H237" s="13"/>
      <c r="I237" s="153"/>
      <c r="J237" s="98"/>
      <c r="K237" s="13">
        <f t="shared" si="8"/>
        <v>54.4</v>
      </c>
    </row>
    <row r="238" s="2" customFormat="1" ht="21.75" customHeight="1" spans="1:11">
      <c r="A238" s="13" t="s">
        <v>217</v>
      </c>
      <c r="B238" s="13">
        <v>10.5</v>
      </c>
      <c r="C238" s="13" t="s">
        <v>218</v>
      </c>
      <c r="D238" s="154">
        <v>16.7</v>
      </c>
      <c r="E238" s="154">
        <v>16.7</v>
      </c>
      <c r="F238" s="154">
        <v>16.7</v>
      </c>
      <c r="G238" s="13">
        <v>10</v>
      </c>
      <c r="H238" s="13"/>
      <c r="I238" s="153"/>
      <c r="J238" s="98"/>
      <c r="K238" s="13">
        <f t="shared" si="8"/>
        <v>60.1</v>
      </c>
    </row>
    <row r="239" s="2" customFormat="1" ht="21.75" customHeight="1" spans="1:11">
      <c r="A239" s="13"/>
      <c r="B239" s="13"/>
      <c r="C239" s="13" t="s">
        <v>219</v>
      </c>
      <c r="D239" s="28">
        <v>16.7</v>
      </c>
      <c r="E239" s="28">
        <v>16.7</v>
      </c>
      <c r="F239" s="28">
        <v>16.7</v>
      </c>
      <c r="G239" s="13">
        <v>10</v>
      </c>
      <c r="H239" s="13"/>
      <c r="I239" s="153"/>
      <c r="J239" s="98"/>
      <c r="K239" s="13">
        <f t="shared" si="8"/>
        <v>60.1</v>
      </c>
    </row>
    <row r="240" s="2" customFormat="1" ht="21.75" customHeight="1" spans="1:11">
      <c r="A240" s="13" t="s">
        <v>220</v>
      </c>
      <c r="B240" s="13">
        <v>11.5</v>
      </c>
      <c r="C240" s="17" t="s">
        <v>221</v>
      </c>
      <c r="D240" s="28">
        <v>0</v>
      </c>
      <c r="E240" s="28">
        <v>0</v>
      </c>
      <c r="F240" s="28">
        <v>0</v>
      </c>
      <c r="G240" s="13">
        <v>0</v>
      </c>
      <c r="H240" s="13"/>
      <c r="I240" s="153"/>
      <c r="J240" s="98"/>
      <c r="K240" s="13">
        <f t="shared" si="8"/>
        <v>0</v>
      </c>
    </row>
    <row r="241" s="2" customFormat="1" ht="21.75" customHeight="1" spans="1:11">
      <c r="A241" s="13"/>
      <c r="B241" s="13"/>
      <c r="C241" s="17" t="s">
        <v>222</v>
      </c>
      <c r="D241" s="28">
        <v>16.7</v>
      </c>
      <c r="E241" s="28">
        <v>16.7</v>
      </c>
      <c r="F241" s="28">
        <v>16.7</v>
      </c>
      <c r="G241" s="13">
        <v>10</v>
      </c>
      <c r="H241" s="13"/>
      <c r="I241" s="153"/>
      <c r="J241" s="98"/>
      <c r="K241" s="13">
        <f t="shared" si="8"/>
        <v>60.1</v>
      </c>
    </row>
    <row r="242" s="2" customFormat="1" ht="21.75" customHeight="1" spans="1:11">
      <c r="A242" s="13"/>
      <c r="B242" s="13"/>
      <c r="C242" s="17" t="s">
        <v>223</v>
      </c>
      <c r="D242" s="28">
        <v>16.7</v>
      </c>
      <c r="E242" s="28">
        <v>16.7</v>
      </c>
      <c r="F242" s="28">
        <v>16.7</v>
      </c>
      <c r="G242" s="13">
        <v>5</v>
      </c>
      <c r="H242" s="13"/>
      <c r="I242" s="153"/>
      <c r="J242" s="98"/>
      <c r="K242" s="13">
        <f t="shared" si="8"/>
        <v>55.1</v>
      </c>
    </row>
    <row r="243" s="2" customFormat="1" ht="21.75" customHeight="1" spans="1:11">
      <c r="A243" s="13"/>
      <c r="B243" s="13"/>
      <c r="C243" s="17" t="s">
        <v>224</v>
      </c>
      <c r="D243" s="28">
        <v>0</v>
      </c>
      <c r="E243" s="28">
        <v>0</v>
      </c>
      <c r="F243" s="28">
        <v>0</v>
      </c>
      <c r="G243" s="13">
        <v>0</v>
      </c>
      <c r="H243" s="13"/>
      <c r="I243" s="153"/>
      <c r="J243" s="98"/>
      <c r="K243" s="13">
        <f t="shared" si="8"/>
        <v>0</v>
      </c>
    </row>
    <row r="244" s="2" customFormat="1" ht="21.75" customHeight="1" spans="1:11">
      <c r="A244" s="85" t="s">
        <v>225</v>
      </c>
      <c r="B244" s="85">
        <v>10.5</v>
      </c>
      <c r="C244" s="13" t="s">
        <v>226</v>
      </c>
      <c r="D244" s="28">
        <v>16.7</v>
      </c>
      <c r="E244" s="28">
        <v>16.7</v>
      </c>
      <c r="F244" s="28">
        <v>16.7</v>
      </c>
      <c r="G244" s="28">
        <v>0</v>
      </c>
      <c r="H244" s="28"/>
      <c r="I244" s="153"/>
      <c r="J244" s="98"/>
      <c r="K244" s="13">
        <f t="shared" si="8"/>
        <v>50.1</v>
      </c>
    </row>
    <row r="245" s="2" customFormat="1" ht="21.75" customHeight="1" spans="1:11">
      <c r="A245" s="85"/>
      <c r="B245" s="85"/>
      <c r="C245" s="13" t="s">
        <v>250</v>
      </c>
      <c r="D245" s="28">
        <v>16.7</v>
      </c>
      <c r="E245" s="28">
        <v>16.7</v>
      </c>
      <c r="F245" s="28">
        <v>16.7</v>
      </c>
      <c r="G245" s="13">
        <v>5</v>
      </c>
      <c r="H245" s="13"/>
      <c r="I245" s="153"/>
      <c r="J245" s="98"/>
      <c r="K245" s="13">
        <f t="shared" si="8"/>
        <v>55.1</v>
      </c>
    </row>
    <row r="246" s="2" customFormat="1" ht="21.75" customHeight="1" spans="1:11">
      <c r="A246" s="85"/>
      <c r="B246" s="85"/>
      <c r="C246" s="13" t="s">
        <v>228</v>
      </c>
      <c r="D246" s="28">
        <v>0</v>
      </c>
      <c r="E246" s="28">
        <v>0</v>
      </c>
      <c r="F246" s="28">
        <v>0</v>
      </c>
      <c r="G246" s="13">
        <v>5</v>
      </c>
      <c r="H246" s="13"/>
      <c r="I246" s="153"/>
      <c r="J246" s="98"/>
      <c r="K246" s="13">
        <f t="shared" si="8"/>
        <v>5</v>
      </c>
    </row>
    <row r="247" s="2" customFormat="1" ht="21.75" customHeight="1" spans="1:11">
      <c r="A247" s="85"/>
      <c r="B247" s="85"/>
      <c r="C247" s="13" t="s">
        <v>227</v>
      </c>
      <c r="D247" s="28">
        <v>0</v>
      </c>
      <c r="E247" s="28">
        <v>0</v>
      </c>
      <c r="F247" s="28">
        <v>0</v>
      </c>
      <c r="G247" s="13">
        <v>5</v>
      </c>
      <c r="H247" s="13"/>
      <c r="I247" s="153"/>
      <c r="J247" s="98"/>
      <c r="K247" s="13">
        <f t="shared" si="8"/>
        <v>5</v>
      </c>
    </row>
    <row r="248" s="2" customFormat="1" ht="21.75" customHeight="1" spans="1:11">
      <c r="A248" s="85"/>
      <c r="B248" s="85"/>
      <c r="C248" s="13" t="s">
        <v>229</v>
      </c>
      <c r="D248" s="28">
        <v>16.7</v>
      </c>
      <c r="E248" s="28">
        <v>16.7</v>
      </c>
      <c r="F248" s="28">
        <v>16.7</v>
      </c>
      <c r="G248" s="13">
        <v>5</v>
      </c>
      <c r="H248" s="13"/>
      <c r="I248" s="153"/>
      <c r="J248" s="98"/>
      <c r="K248" s="13">
        <f t="shared" si="8"/>
        <v>55.1</v>
      </c>
    </row>
    <row r="249" s="2" customFormat="1" ht="21.75" customHeight="1" spans="1:11">
      <c r="A249" s="85"/>
      <c r="B249" s="85"/>
      <c r="C249" s="13" t="s">
        <v>240</v>
      </c>
      <c r="D249" s="28">
        <v>16.7</v>
      </c>
      <c r="E249" s="28">
        <v>16.7</v>
      </c>
      <c r="F249" s="28">
        <v>16.7</v>
      </c>
      <c r="G249" s="13">
        <v>5</v>
      </c>
      <c r="H249" s="13"/>
      <c r="I249" s="153"/>
      <c r="J249" s="98"/>
      <c r="K249" s="13">
        <f t="shared" si="8"/>
        <v>55.1</v>
      </c>
    </row>
    <row r="250" s="2" customFormat="1" ht="21.75" customHeight="1" spans="1:11">
      <c r="A250" s="28" t="s">
        <v>230</v>
      </c>
      <c r="B250" s="28">
        <v>10.5</v>
      </c>
      <c r="C250" s="13" t="s">
        <v>231</v>
      </c>
      <c r="D250" s="13">
        <v>10</v>
      </c>
      <c r="E250" s="13">
        <v>10</v>
      </c>
      <c r="F250" s="13">
        <v>10</v>
      </c>
      <c r="G250" s="13">
        <v>10</v>
      </c>
      <c r="H250" s="13"/>
      <c r="I250" s="153"/>
      <c r="J250" s="98"/>
      <c r="K250" s="13">
        <f t="shared" si="8"/>
        <v>40</v>
      </c>
    </row>
    <row r="251" s="2" customFormat="1" ht="21.75" customHeight="1" spans="1:11">
      <c r="A251" s="13" t="s">
        <v>232</v>
      </c>
      <c r="B251" s="13">
        <v>12</v>
      </c>
      <c r="C251" s="13" t="s">
        <v>233</v>
      </c>
      <c r="D251" s="13">
        <v>12</v>
      </c>
      <c r="E251" s="13">
        <v>12</v>
      </c>
      <c r="F251" s="13">
        <v>12</v>
      </c>
      <c r="G251" s="13">
        <v>12</v>
      </c>
      <c r="H251" s="13"/>
      <c r="I251" s="153"/>
      <c r="J251" s="98"/>
      <c r="K251" s="13">
        <f t="shared" si="8"/>
        <v>48</v>
      </c>
    </row>
    <row r="252" s="2" customFormat="1" ht="21.75" customHeight="1" spans="1:11">
      <c r="A252" s="17"/>
      <c r="B252" s="29"/>
      <c r="C252" s="29"/>
      <c r="D252" s="29"/>
      <c r="E252" s="29"/>
      <c r="F252" s="29"/>
      <c r="G252" s="29"/>
      <c r="H252" s="29"/>
      <c r="I252" s="29"/>
      <c r="J252" s="29"/>
      <c r="K252" s="13">
        <f>SUM(K229:K251)</f>
        <v>960.1</v>
      </c>
    </row>
    <row r="253" s="104" customFormat="1"/>
    <row r="254" s="104" customFormat="1"/>
    <row r="255" s="1" customFormat="1" ht="21" customHeight="1" spans="1:11">
      <c r="A255" s="32" t="s">
        <v>234</v>
      </c>
      <c r="B255" s="33"/>
      <c r="C255" s="33"/>
      <c r="D255" s="33"/>
      <c r="E255" s="33"/>
      <c r="F255" s="33"/>
      <c r="G255" s="33"/>
      <c r="H255" s="33"/>
      <c r="I255" s="33"/>
      <c r="J255" s="33"/>
      <c r="K255" s="34"/>
    </row>
    <row r="256" s="1" customFormat="1" ht="21" customHeight="1" spans="1:11">
      <c r="A256" s="35" t="s">
        <v>253</v>
      </c>
      <c r="B256" s="36"/>
      <c r="C256" s="36"/>
      <c r="D256" s="37" t="s">
        <v>254</v>
      </c>
      <c r="E256" s="36"/>
      <c r="F256" s="36"/>
      <c r="G256" s="36"/>
      <c r="H256" s="36"/>
      <c r="I256" s="36"/>
      <c r="J256" s="36"/>
      <c r="K256" s="36"/>
    </row>
    <row r="257" s="1" customFormat="1" ht="21" customHeight="1" spans="1:11">
      <c r="A257" s="27" t="s">
        <v>200</v>
      </c>
      <c r="B257" s="27" t="s">
        <v>201</v>
      </c>
      <c r="C257" s="38" t="s">
        <v>202</v>
      </c>
      <c r="D257" s="12" t="s">
        <v>6</v>
      </c>
      <c r="E257" s="12" t="s">
        <v>6</v>
      </c>
      <c r="F257" s="27" t="s">
        <v>6</v>
      </c>
      <c r="G257" s="27" t="s">
        <v>6</v>
      </c>
      <c r="H257" s="27" t="s">
        <v>6</v>
      </c>
      <c r="I257" s="27" t="s">
        <v>6</v>
      </c>
      <c r="J257" s="27" t="s">
        <v>203</v>
      </c>
      <c r="K257" s="27" t="s">
        <v>204</v>
      </c>
    </row>
    <row r="258" s="1" customFormat="1" ht="21" customHeight="1" spans="1:11">
      <c r="A258" s="27" t="s">
        <v>205</v>
      </c>
      <c r="B258" s="27">
        <v>12</v>
      </c>
      <c r="C258" s="38" t="s">
        <v>206</v>
      </c>
      <c r="D258" s="12">
        <v>15</v>
      </c>
      <c r="E258" s="12">
        <v>10</v>
      </c>
      <c r="F258" s="12"/>
      <c r="G258" s="12"/>
      <c r="H258" s="12"/>
      <c r="I258" s="27"/>
      <c r="J258" s="27"/>
      <c r="K258" s="13">
        <f t="shared" ref="K258:K280" si="9">SUM(D258:J258)</f>
        <v>25</v>
      </c>
    </row>
    <row r="259" s="1" customFormat="1" ht="21" customHeight="1" spans="1:11">
      <c r="A259" s="21" t="s">
        <v>207</v>
      </c>
      <c r="B259" s="27">
        <v>11.5</v>
      </c>
      <c r="C259" s="38" t="s">
        <v>208</v>
      </c>
      <c r="D259" s="12">
        <v>14.3</v>
      </c>
      <c r="E259" s="12">
        <v>10</v>
      </c>
      <c r="F259" s="12"/>
      <c r="G259" s="12"/>
      <c r="H259" s="12"/>
      <c r="I259" s="27"/>
      <c r="J259" s="27"/>
      <c r="K259" s="13">
        <f t="shared" si="9"/>
        <v>24.3</v>
      </c>
    </row>
    <row r="260" s="1" customFormat="1" ht="21" customHeight="1" spans="1:11">
      <c r="A260" s="21"/>
      <c r="B260" s="27"/>
      <c r="C260" s="27" t="s">
        <v>209</v>
      </c>
      <c r="D260" s="12">
        <v>14.3</v>
      </c>
      <c r="E260" s="12">
        <v>10</v>
      </c>
      <c r="F260" s="12"/>
      <c r="G260" s="12"/>
      <c r="H260" s="12"/>
      <c r="I260" s="27"/>
      <c r="J260" s="27"/>
      <c r="K260" s="13">
        <f t="shared" si="9"/>
        <v>24.3</v>
      </c>
    </row>
    <row r="261" s="1" customFormat="1" ht="21" customHeight="1" spans="1:11">
      <c r="A261" s="21"/>
      <c r="B261" s="27"/>
      <c r="C261" s="38" t="s">
        <v>210</v>
      </c>
      <c r="D261" s="12">
        <v>14.3</v>
      </c>
      <c r="E261" s="12">
        <v>10</v>
      </c>
      <c r="F261" s="12"/>
      <c r="G261" s="12"/>
      <c r="H261" s="12"/>
      <c r="I261" s="27"/>
      <c r="J261" s="27"/>
      <c r="K261" s="13">
        <f t="shared" si="9"/>
        <v>24.3</v>
      </c>
    </row>
    <row r="262" s="1" customFormat="1" ht="21" customHeight="1" spans="1:11">
      <c r="A262" s="16" t="s">
        <v>237</v>
      </c>
      <c r="B262" s="13">
        <v>11.5</v>
      </c>
      <c r="C262" s="17" t="s">
        <v>212</v>
      </c>
      <c r="D262" s="12">
        <v>14.3</v>
      </c>
      <c r="E262" s="12">
        <v>11</v>
      </c>
      <c r="F262" s="12"/>
      <c r="G262" s="12"/>
      <c r="H262" s="12"/>
      <c r="I262" s="27"/>
      <c r="J262" s="27"/>
      <c r="K262" s="13">
        <f t="shared" si="9"/>
        <v>25.3</v>
      </c>
    </row>
    <row r="263" s="1" customFormat="1" ht="21" customHeight="1" spans="1:11">
      <c r="A263" s="18"/>
      <c r="B263" s="13"/>
      <c r="C263" s="1" t="s">
        <v>215</v>
      </c>
      <c r="D263" s="12">
        <v>14.3</v>
      </c>
      <c r="E263" s="12">
        <v>11</v>
      </c>
      <c r="F263" s="12"/>
      <c r="G263" s="12"/>
      <c r="H263" s="12"/>
      <c r="I263" s="27"/>
      <c r="J263" s="27"/>
      <c r="K263" s="13">
        <f t="shared" si="9"/>
        <v>25.3</v>
      </c>
    </row>
    <row r="264" s="1" customFormat="1" ht="21" customHeight="1" spans="1:11">
      <c r="A264" s="19" t="s">
        <v>238</v>
      </c>
      <c r="B264" s="13"/>
      <c r="C264" s="17" t="s">
        <v>213</v>
      </c>
      <c r="D264" s="12">
        <v>14.3</v>
      </c>
      <c r="E264" s="12">
        <v>11</v>
      </c>
      <c r="F264" s="12"/>
      <c r="G264" s="12"/>
      <c r="H264" s="12"/>
      <c r="I264" s="27"/>
      <c r="J264" s="27"/>
      <c r="K264" s="13">
        <f t="shared" si="9"/>
        <v>25.3</v>
      </c>
    </row>
    <row r="265" s="1" customFormat="1" ht="21" customHeight="1" spans="1:11">
      <c r="A265" s="20"/>
      <c r="B265" s="13"/>
      <c r="C265" s="17" t="s">
        <v>216</v>
      </c>
      <c r="D265" s="12">
        <v>14.3</v>
      </c>
      <c r="E265" s="12">
        <v>11</v>
      </c>
      <c r="F265" s="12"/>
      <c r="G265" s="12"/>
      <c r="H265" s="12"/>
      <c r="I265" s="12"/>
      <c r="J265" s="27"/>
      <c r="K265" s="13">
        <f t="shared" si="9"/>
        <v>25.3</v>
      </c>
    </row>
    <row r="266" s="1" customFormat="1" ht="21" customHeight="1" spans="1:11">
      <c r="A266" s="21" t="s">
        <v>239</v>
      </c>
      <c r="B266" s="13"/>
      <c r="C266" s="13" t="s">
        <v>214</v>
      </c>
      <c r="D266" s="12">
        <v>14.3</v>
      </c>
      <c r="E266" s="12">
        <v>11</v>
      </c>
      <c r="F266" s="12"/>
      <c r="G266" s="12"/>
      <c r="H266" s="12"/>
      <c r="I266" s="12"/>
      <c r="J266" s="27"/>
      <c r="K266" s="13">
        <f t="shared" si="9"/>
        <v>25.3</v>
      </c>
    </row>
    <row r="267" s="1" customFormat="1" ht="21" customHeight="1" spans="1:11">
      <c r="A267" s="27" t="s">
        <v>217</v>
      </c>
      <c r="B267" s="27">
        <v>10.5</v>
      </c>
      <c r="C267" s="27" t="s">
        <v>218</v>
      </c>
      <c r="D267" s="12">
        <v>16.7</v>
      </c>
      <c r="E267" s="12">
        <v>10</v>
      </c>
      <c r="F267" s="12"/>
      <c r="G267" s="12"/>
      <c r="H267" s="12"/>
      <c r="I267" s="27"/>
      <c r="J267" s="27"/>
      <c r="K267" s="13">
        <f t="shared" si="9"/>
        <v>26.7</v>
      </c>
    </row>
    <row r="268" s="1" customFormat="1" ht="21" customHeight="1" spans="1:11">
      <c r="A268" s="27"/>
      <c r="B268" s="27"/>
      <c r="C268" s="27" t="s">
        <v>219</v>
      </c>
      <c r="D268" s="12">
        <v>16.7</v>
      </c>
      <c r="E268" s="12">
        <v>10</v>
      </c>
      <c r="F268" s="12"/>
      <c r="G268" s="12"/>
      <c r="H268" s="12"/>
      <c r="I268" s="27"/>
      <c r="J268" s="27"/>
      <c r="K268" s="13">
        <f t="shared" si="9"/>
        <v>26.7</v>
      </c>
    </row>
    <row r="269" s="1" customFormat="1" ht="21" customHeight="1" spans="1:11">
      <c r="A269" s="27" t="s">
        <v>220</v>
      </c>
      <c r="B269" s="27">
        <v>11.5</v>
      </c>
      <c r="C269" s="38" t="s">
        <v>221</v>
      </c>
      <c r="D269" s="12">
        <v>16.7</v>
      </c>
      <c r="E269" s="12">
        <v>10</v>
      </c>
      <c r="F269" s="12"/>
      <c r="G269" s="12"/>
      <c r="H269" s="12"/>
      <c r="I269" s="27"/>
      <c r="J269" s="27"/>
      <c r="K269" s="13">
        <f t="shared" si="9"/>
        <v>26.7</v>
      </c>
    </row>
    <row r="270" s="1" customFormat="1" ht="21" customHeight="1" spans="1:11">
      <c r="A270" s="27"/>
      <c r="B270" s="27"/>
      <c r="C270" s="38" t="s">
        <v>222</v>
      </c>
      <c r="D270" s="12">
        <v>16.7</v>
      </c>
      <c r="E270" s="12">
        <v>10</v>
      </c>
      <c r="F270" s="12"/>
      <c r="G270" s="12"/>
      <c r="H270" s="12"/>
      <c r="I270" s="27"/>
      <c r="J270" s="27"/>
      <c r="K270" s="13">
        <f t="shared" si="9"/>
        <v>26.7</v>
      </c>
    </row>
    <row r="271" s="1" customFormat="1" ht="21" customHeight="1" spans="1:11">
      <c r="A271" s="27"/>
      <c r="B271" s="27"/>
      <c r="C271" s="38" t="s">
        <v>223</v>
      </c>
      <c r="D271" s="12">
        <v>16.7</v>
      </c>
      <c r="E271" s="12">
        <v>5</v>
      </c>
      <c r="F271" s="12"/>
      <c r="G271" s="12"/>
      <c r="H271" s="12"/>
      <c r="I271" s="27"/>
      <c r="J271" s="27"/>
      <c r="K271" s="13">
        <f t="shared" si="9"/>
        <v>21.7</v>
      </c>
    </row>
    <row r="272" s="1" customFormat="1" ht="21" customHeight="1" spans="1:11">
      <c r="A272" s="27"/>
      <c r="B272" s="27"/>
      <c r="C272" s="38" t="s">
        <v>224</v>
      </c>
      <c r="D272" s="12">
        <v>0</v>
      </c>
      <c r="E272" s="12">
        <v>0</v>
      </c>
      <c r="F272" s="12"/>
      <c r="G272" s="12"/>
      <c r="H272" s="12"/>
      <c r="I272" s="27"/>
      <c r="J272" s="27"/>
      <c r="K272" s="13">
        <f t="shared" si="9"/>
        <v>0</v>
      </c>
    </row>
    <row r="273" s="1" customFormat="1" ht="21" customHeight="1" spans="1:11">
      <c r="A273" s="39" t="s">
        <v>225</v>
      </c>
      <c r="B273" s="39">
        <v>10.5</v>
      </c>
      <c r="C273" s="27" t="s">
        <v>226</v>
      </c>
      <c r="D273" s="12">
        <v>16.7</v>
      </c>
      <c r="E273" s="12">
        <v>5</v>
      </c>
      <c r="F273" s="12"/>
      <c r="G273" s="12"/>
      <c r="H273" s="12"/>
      <c r="I273" s="27"/>
      <c r="J273" s="27"/>
      <c r="K273" s="13">
        <f t="shared" si="9"/>
        <v>21.7</v>
      </c>
    </row>
    <row r="274" s="1" customFormat="1" ht="21" customHeight="1" spans="1:11">
      <c r="A274" s="39"/>
      <c r="B274" s="39"/>
      <c r="C274" s="27" t="s">
        <v>250</v>
      </c>
      <c r="D274" s="12">
        <v>16.7</v>
      </c>
      <c r="E274" s="12">
        <v>5</v>
      </c>
      <c r="F274" s="12"/>
      <c r="G274" s="12"/>
      <c r="H274" s="12"/>
      <c r="I274" s="27"/>
      <c r="J274" s="27"/>
      <c r="K274" s="13">
        <f t="shared" si="9"/>
        <v>21.7</v>
      </c>
    </row>
    <row r="275" s="1" customFormat="1" ht="21" customHeight="1" spans="1:11">
      <c r="A275" s="39"/>
      <c r="B275" s="39"/>
      <c r="C275" s="27" t="s">
        <v>228</v>
      </c>
      <c r="D275" s="12">
        <v>16.7</v>
      </c>
      <c r="E275" s="12">
        <v>5</v>
      </c>
      <c r="F275" s="12"/>
      <c r="G275" s="12"/>
      <c r="H275" s="12"/>
      <c r="I275" s="27"/>
      <c r="J275" s="27"/>
      <c r="K275" s="13">
        <f t="shared" si="9"/>
        <v>21.7</v>
      </c>
    </row>
    <row r="276" s="1" customFormat="1" ht="21" customHeight="1" spans="1:11">
      <c r="A276" s="39"/>
      <c r="B276" s="39"/>
      <c r="C276" s="27" t="s">
        <v>227</v>
      </c>
      <c r="D276" s="12">
        <v>0</v>
      </c>
      <c r="E276" s="12">
        <v>0</v>
      </c>
      <c r="F276" s="12"/>
      <c r="G276" s="12"/>
      <c r="H276" s="12"/>
      <c r="I276" s="27"/>
      <c r="J276" s="27"/>
      <c r="K276" s="13">
        <f t="shared" si="9"/>
        <v>0</v>
      </c>
    </row>
    <row r="277" s="1" customFormat="1" ht="21" customHeight="1" spans="1:11">
      <c r="A277" s="39"/>
      <c r="B277" s="39"/>
      <c r="C277" s="27" t="s">
        <v>229</v>
      </c>
      <c r="D277" s="12">
        <v>0</v>
      </c>
      <c r="E277" s="12">
        <v>0</v>
      </c>
      <c r="F277" s="12"/>
      <c r="G277" s="12"/>
      <c r="H277" s="12"/>
      <c r="I277" s="27"/>
      <c r="J277" s="40"/>
      <c r="K277" s="13">
        <f t="shared" si="9"/>
        <v>0</v>
      </c>
    </row>
    <row r="278" s="1" customFormat="1" ht="21" customHeight="1" spans="1:11">
      <c r="A278" s="39"/>
      <c r="B278" s="39"/>
      <c r="C278" s="27" t="s">
        <v>240</v>
      </c>
      <c r="D278" s="12">
        <v>16.7</v>
      </c>
      <c r="E278" s="12">
        <v>5</v>
      </c>
      <c r="F278" s="12"/>
      <c r="G278" s="12"/>
      <c r="H278" s="12"/>
      <c r="I278" s="27"/>
      <c r="J278" s="40"/>
      <c r="K278" s="13">
        <f t="shared" si="9"/>
        <v>21.7</v>
      </c>
    </row>
    <row r="279" s="1" customFormat="1" ht="21" customHeight="1" spans="1:11">
      <c r="A279" s="12" t="s">
        <v>230</v>
      </c>
      <c r="B279" s="12">
        <v>10.5</v>
      </c>
      <c r="C279" s="27" t="s">
        <v>231</v>
      </c>
      <c r="D279" s="27">
        <v>10</v>
      </c>
      <c r="E279" s="27">
        <v>10</v>
      </c>
      <c r="F279" s="27"/>
      <c r="G279" s="27"/>
      <c r="H279" s="27"/>
      <c r="I279" s="27"/>
      <c r="J279" s="40"/>
      <c r="K279" s="13">
        <f t="shared" si="9"/>
        <v>20</v>
      </c>
    </row>
    <row r="280" s="1" customFormat="1" ht="21" customHeight="1" spans="1:11">
      <c r="A280" s="27" t="s">
        <v>232</v>
      </c>
      <c r="B280" s="27">
        <v>12</v>
      </c>
      <c r="C280" s="27" t="s">
        <v>233</v>
      </c>
      <c r="D280" s="27">
        <v>12</v>
      </c>
      <c r="E280" s="27">
        <v>12</v>
      </c>
      <c r="F280" s="27"/>
      <c r="G280" s="27"/>
      <c r="H280" s="27"/>
      <c r="I280" s="27"/>
      <c r="J280" s="40"/>
      <c r="K280" s="13">
        <f t="shared" si="9"/>
        <v>24</v>
      </c>
    </row>
    <row r="281" s="1" customFormat="1" ht="21" customHeight="1" spans="1:11">
      <c r="A281" s="38"/>
      <c r="B281" s="41"/>
      <c r="C281" s="41"/>
      <c r="D281" s="41"/>
      <c r="E281" s="41"/>
      <c r="F281" s="30"/>
      <c r="G281" s="41"/>
      <c r="H281" s="41"/>
      <c r="I281" s="41"/>
      <c r="J281" s="41"/>
      <c r="K281" s="31">
        <f>SUM(K258:K280)</f>
        <v>483.7</v>
      </c>
    </row>
    <row r="282" s="104" customFormat="1"/>
    <row r="283" s="104" customFormat="1"/>
    <row r="284" s="3" customFormat="1" ht="21" customHeight="1" spans="1:11">
      <c r="A284" s="133" t="s">
        <v>255</v>
      </c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</row>
    <row r="285" s="3" customFormat="1" ht="21" customHeight="1" spans="1:11">
      <c r="A285" s="134" t="s">
        <v>235</v>
      </c>
      <c r="B285" s="134"/>
      <c r="C285" s="134"/>
      <c r="D285" s="134" t="s">
        <v>256</v>
      </c>
      <c r="E285" s="134"/>
      <c r="F285" s="134"/>
      <c r="G285" s="134"/>
      <c r="H285" s="134"/>
      <c r="I285" s="134"/>
      <c r="J285" s="134"/>
      <c r="K285" s="134"/>
    </row>
    <row r="286" s="3" customFormat="1" ht="21" customHeight="1" spans="1:11">
      <c r="A286" s="135" t="s">
        <v>200</v>
      </c>
      <c r="B286" s="135" t="s">
        <v>201</v>
      </c>
      <c r="C286" s="136" t="s">
        <v>202</v>
      </c>
      <c r="D286" s="137" t="s">
        <v>6</v>
      </c>
      <c r="E286" s="137" t="s">
        <v>6</v>
      </c>
      <c r="F286" s="135" t="s">
        <v>6</v>
      </c>
      <c r="G286" s="135" t="s">
        <v>6</v>
      </c>
      <c r="H286" s="135" t="s">
        <v>6</v>
      </c>
      <c r="I286" s="135" t="s">
        <v>6</v>
      </c>
      <c r="J286" s="135" t="s">
        <v>203</v>
      </c>
      <c r="K286" s="135" t="s">
        <v>204</v>
      </c>
    </row>
    <row r="287" s="3" customFormat="1" ht="21" customHeight="1" spans="1:11">
      <c r="A287" s="68" t="s">
        <v>205</v>
      </c>
      <c r="B287" s="68">
        <v>12</v>
      </c>
      <c r="C287" s="113" t="s">
        <v>206</v>
      </c>
      <c r="D287" s="11">
        <v>12</v>
      </c>
      <c r="E287" s="11">
        <v>12</v>
      </c>
      <c r="F287" s="11">
        <v>10</v>
      </c>
      <c r="G287" s="11"/>
      <c r="H287" s="121"/>
      <c r="I287" s="68"/>
      <c r="J287" s="68"/>
      <c r="K287" s="56">
        <f t="shared" ref="K287:K308" si="10">SUM(D287:J287)</f>
        <v>34</v>
      </c>
    </row>
    <row r="288" s="3" customFormat="1" ht="21" customHeight="1" spans="1:11">
      <c r="A288" s="116" t="s">
        <v>207</v>
      </c>
      <c r="B288" s="68">
        <v>11.5</v>
      </c>
      <c r="C288" s="117" t="s">
        <v>208</v>
      </c>
      <c r="D288" s="11">
        <v>23</v>
      </c>
      <c r="E288" s="11">
        <v>23</v>
      </c>
      <c r="F288" s="11">
        <v>10</v>
      </c>
      <c r="G288" s="11"/>
      <c r="H288" s="121"/>
      <c r="I288" s="68"/>
      <c r="J288" s="68"/>
      <c r="K288" s="56">
        <f t="shared" si="10"/>
        <v>56</v>
      </c>
    </row>
    <row r="289" s="3" customFormat="1" ht="21" customHeight="1" spans="1:11">
      <c r="A289" s="116"/>
      <c r="B289" s="68"/>
      <c r="C289" s="68" t="s">
        <v>209</v>
      </c>
      <c r="D289" s="11">
        <v>16.5</v>
      </c>
      <c r="E289" s="11">
        <v>16.5</v>
      </c>
      <c r="F289" s="11">
        <v>10</v>
      </c>
      <c r="G289" s="11"/>
      <c r="H289" s="121"/>
      <c r="I289" s="68"/>
      <c r="J289" s="68"/>
      <c r="K289" s="56">
        <f t="shared" si="10"/>
        <v>43</v>
      </c>
    </row>
    <row r="290" s="3" customFormat="1" ht="21" customHeight="1" spans="1:11">
      <c r="A290" s="116"/>
      <c r="B290" s="68"/>
      <c r="C290" s="117" t="s">
        <v>210</v>
      </c>
      <c r="D290" s="11">
        <v>16.5</v>
      </c>
      <c r="E290" s="11">
        <v>16.5</v>
      </c>
      <c r="F290" s="11">
        <v>10</v>
      </c>
      <c r="G290" s="11"/>
      <c r="H290" s="121"/>
      <c r="I290" s="68"/>
      <c r="J290" s="68"/>
      <c r="K290" s="56">
        <f t="shared" si="10"/>
        <v>43</v>
      </c>
    </row>
    <row r="291" s="3" customFormat="1" ht="21" customHeight="1" spans="1:11">
      <c r="A291" s="79" t="s">
        <v>237</v>
      </c>
      <c r="B291" s="56">
        <v>11.5</v>
      </c>
      <c r="C291" s="61" t="s">
        <v>212</v>
      </c>
      <c r="D291" s="11">
        <v>40</v>
      </c>
      <c r="E291" s="11">
        <v>40</v>
      </c>
      <c r="F291" s="11">
        <v>10</v>
      </c>
      <c r="G291" s="11"/>
      <c r="H291" s="121"/>
      <c r="I291" s="68"/>
      <c r="J291" s="68"/>
      <c r="K291" s="56">
        <f t="shared" si="10"/>
        <v>90</v>
      </c>
    </row>
    <row r="292" s="3" customFormat="1" ht="21" customHeight="1" spans="1:11">
      <c r="A292" s="80"/>
      <c r="B292" s="56"/>
      <c r="C292" s="3" t="s">
        <v>215</v>
      </c>
      <c r="D292" s="11">
        <v>30</v>
      </c>
      <c r="E292" s="11">
        <v>30</v>
      </c>
      <c r="F292" s="11">
        <v>10</v>
      </c>
      <c r="G292" s="11"/>
      <c r="H292" s="121"/>
      <c r="I292" s="68"/>
      <c r="J292" s="68"/>
      <c r="K292" s="56">
        <f t="shared" si="10"/>
        <v>70</v>
      </c>
    </row>
    <row r="293" s="3" customFormat="1" ht="21" customHeight="1" spans="1:11">
      <c r="A293" s="81" t="s">
        <v>238</v>
      </c>
      <c r="B293" s="56"/>
      <c r="C293" s="61" t="s">
        <v>213</v>
      </c>
      <c r="D293" s="11">
        <v>30</v>
      </c>
      <c r="E293" s="11">
        <v>30</v>
      </c>
      <c r="F293" s="11">
        <v>0</v>
      </c>
      <c r="G293" s="11"/>
      <c r="H293" s="121"/>
      <c r="I293" s="68"/>
      <c r="J293" s="68"/>
      <c r="K293" s="56">
        <f t="shared" si="10"/>
        <v>60</v>
      </c>
    </row>
    <row r="294" s="3" customFormat="1" ht="21" customHeight="1" spans="1:11">
      <c r="A294" s="82"/>
      <c r="B294" s="56"/>
      <c r="C294" s="61" t="s">
        <v>216</v>
      </c>
      <c r="D294" s="11">
        <v>30</v>
      </c>
      <c r="E294" s="11">
        <v>30</v>
      </c>
      <c r="F294" s="11">
        <v>10</v>
      </c>
      <c r="G294" s="11"/>
      <c r="H294" s="121"/>
      <c r="I294" s="121"/>
      <c r="J294" s="68"/>
      <c r="K294" s="56">
        <f t="shared" si="10"/>
        <v>70</v>
      </c>
    </row>
    <row r="295" s="3" customFormat="1" ht="21" customHeight="1" spans="1:11">
      <c r="A295" s="84" t="s">
        <v>239</v>
      </c>
      <c r="B295" s="56"/>
      <c r="C295" s="56" t="s">
        <v>214</v>
      </c>
      <c r="D295" s="11">
        <v>23</v>
      </c>
      <c r="E295" s="11">
        <v>23</v>
      </c>
      <c r="F295" s="11">
        <v>10</v>
      </c>
      <c r="G295" s="11"/>
      <c r="H295" s="121"/>
      <c r="I295" s="121"/>
      <c r="J295" s="68"/>
      <c r="K295" s="56">
        <f t="shared" si="10"/>
        <v>56</v>
      </c>
    </row>
    <row r="296" s="3" customFormat="1" ht="21" customHeight="1" spans="1:11">
      <c r="A296" s="68" t="s">
        <v>217</v>
      </c>
      <c r="B296" s="68">
        <v>10.5</v>
      </c>
      <c r="C296" s="68" t="s">
        <v>218</v>
      </c>
      <c r="D296" s="22">
        <v>30</v>
      </c>
      <c r="E296" s="22">
        <v>30</v>
      </c>
      <c r="F296" s="22">
        <v>0</v>
      </c>
      <c r="G296" s="22"/>
      <c r="H296" s="121"/>
      <c r="I296" s="68"/>
      <c r="J296" s="68"/>
      <c r="K296" s="56">
        <f t="shared" si="10"/>
        <v>60</v>
      </c>
    </row>
    <row r="297" s="3" customFormat="1" ht="21" customHeight="1" spans="1:11">
      <c r="A297" s="68"/>
      <c r="B297" s="68"/>
      <c r="C297" s="68" t="s">
        <v>219</v>
      </c>
      <c r="D297" s="11">
        <v>41</v>
      </c>
      <c r="E297" s="249">
        <v>41</v>
      </c>
      <c r="F297" s="11">
        <v>0</v>
      </c>
      <c r="G297" s="11"/>
      <c r="H297" s="121"/>
      <c r="I297" s="68"/>
      <c r="J297" s="68"/>
      <c r="K297" s="56">
        <f t="shared" si="10"/>
        <v>82</v>
      </c>
    </row>
    <row r="298" s="3" customFormat="1" ht="21" customHeight="1" spans="1:11">
      <c r="A298" s="68" t="s">
        <v>220</v>
      </c>
      <c r="B298" s="68">
        <v>11.5</v>
      </c>
      <c r="C298" s="117" t="s">
        <v>221</v>
      </c>
      <c r="D298" s="11">
        <v>41</v>
      </c>
      <c r="E298" s="249">
        <v>41</v>
      </c>
      <c r="F298" s="11">
        <v>10</v>
      </c>
      <c r="G298" s="11"/>
      <c r="H298" s="121"/>
      <c r="I298" s="68"/>
      <c r="J298" s="68"/>
      <c r="K298" s="56">
        <f t="shared" si="10"/>
        <v>92</v>
      </c>
    </row>
    <row r="299" s="3" customFormat="1" ht="21" customHeight="1" spans="1:11">
      <c r="A299" s="68"/>
      <c r="B299" s="68"/>
      <c r="C299" s="117" t="s">
        <v>222</v>
      </c>
      <c r="D299" s="11">
        <v>20.5</v>
      </c>
      <c r="E299" s="249">
        <v>20.5</v>
      </c>
      <c r="F299" s="11">
        <v>10</v>
      </c>
      <c r="G299" s="11"/>
      <c r="H299" s="121"/>
      <c r="I299" s="68"/>
      <c r="J299" s="68"/>
      <c r="K299" s="56">
        <f t="shared" si="10"/>
        <v>51</v>
      </c>
    </row>
    <row r="300" s="3" customFormat="1" ht="21" customHeight="1" spans="1:11">
      <c r="A300" s="68"/>
      <c r="B300" s="68"/>
      <c r="C300" s="117" t="s">
        <v>223</v>
      </c>
      <c r="D300" s="23">
        <v>19</v>
      </c>
      <c r="E300" s="250">
        <v>19</v>
      </c>
      <c r="F300" s="23">
        <v>0</v>
      </c>
      <c r="G300" s="23"/>
      <c r="H300" s="121"/>
      <c r="I300" s="68"/>
      <c r="J300" s="68"/>
      <c r="K300" s="56">
        <f t="shared" si="10"/>
        <v>38</v>
      </c>
    </row>
    <row r="301" s="3" customFormat="1" ht="21" customHeight="1" spans="1:11">
      <c r="A301" s="68"/>
      <c r="B301" s="68"/>
      <c r="C301" s="117" t="s">
        <v>224</v>
      </c>
      <c r="D301" s="24">
        <v>155</v>
      </c>
      <c r="E301" s="251">
        <v>155</v>
      </c>
      <c r="F301" s="24">
        <v>0</v>
      </c>
      <c r="G301" s="24"/>
      <c r="H301" s="121"/>
      <c r="I301" s="68"/>
      <c r="J301" s="68"/>
      <c r="K301" s="56">
        <f t="shared" si="10"/>
        <v>310</v>
      </c>
    </row>
    <row r="302" s="3" customFormat="1" ht="21" customHeight="1" spans="1:11">
      <c r="A302" s="119" t="s">
        <v>225</v>
      </c>
      <c r="B302" s="119">
        <v>10.5</v>
      </c>
      <c r="C302" s="68" t="s">
        <v>226</v>
      </c>
      <c r="D302" s="11">
        <v>24</v>
      </c>
      <c r="E302" s="249">
        <v>24</v>
      </c>
      <c r="F302" s="11">
        <v>10</v>
      </c>
      <c r="G302" s="11"/>
      <c r="H302" s="121"/>
      <c r="I302" s="68"/>
      <c r="J302" s="68"/>
      <c r="K302" s="56">
        <f t="shared" si="10"/>
        <v>58</v>
      </c>
    </row>
    <row r="303" s="3" customFormat="1" ht="21" customHeight="1" spans="1:11">
      <c r="A303" s="119"/>
      <c r="B303" s="119"/>
      <c r="C303" s="68" t="s">
        <v>228</v>
      </c>
      <c r="D303" s="11">
        <v>24</v>
      </c>
      <c r="E303" s="249">
        <v>24</v>
      </c>
      <c r="F303" s="11">
        <v>0</v>
      </c>
      <c r="G303" s="11"/>
      <c r="H303" s="121"/>
      <c r="I303" s="68"/>
      <c r="J303" s="68"/>
      <c r="K303" s="56">
        <f t="shared" si="10"/>
        <v>48</v>
      </c>
    </row>
    <row r="304" s="3" customFormat="1" ht="21" customHeight="1" spans="1:11">
      <c r="A304" s="119"/>
      <c r="B304" s="119"/>
      <c r="C304" s="68" t="s">
        <v>227</v>
      </c>
      <c r="D304" s="11">
        <v>24</v>
      </c>
      <c r="E304" s="249">
        <v>24</v>
      </c>
      <c r="F304" s="11">
        <v>0</v>
      </c>
      <c r="G304" s="11"/>
      <c r="H304" s="121"/>
      <c r="I304" s="68"/>
      <c r="J304" s="68"/>
      <c r="K304" s="56">
        <f t="shared" si="10"/>
        <v>48</v>
      </c>
    </row>
    <row r="305" s="3" customFormat="1" ht="21" customHeight="1" spans="1:11">
      <c r="A305" s="119"/>
      <c r="B305" s="119"/>
      <c r="C305" s="68" t="s">
        <v>229</v>
      </c>
      <c r="D305" s="11">
        <v>24</v>
      </c>
      <c r="E305" s="249">
        <v>24</v>
      </c>
      <c r="F305" s="11">
        <v>0</v>
      </c>
      <c r="G305" s="11"/>
      <c r="H305" s="121"/>
      <c r="I305" s="68"/>
      <c r="J305" s="141"/>
      <c r="K305" s="56">
        <f t="shared" si="10"/>
        <v>48</v>
      </c>
    </row>
    <row r="306" s="3" customFormat="1" ht="21" customHeight="1" spans="1:11">
      <c r="A306" s="119"/>
      <c r="B306" s="119"/>
      <c r="C306" s="68" t="s">
        <v>240</v>
      </c>
      <c r="D306" s="11">
        <v>24</v>
      </c>
      <c r="E306" s="249">
        <v>24</v>
      </c>
      <c r="F306" s="11">
        <v>0</v>
      </c>
      <c r="G306" s="11"/>
      <c r="H306" s="121"/>
      <c r="I306" s="68"/>
      <c r="J306" s="141"/>
      <c r="K306" s="56">
        <f t="shared" si="10"/>
        <v>48</v>
      </c>
    </row>
    <row r="307" s="3" customFormat="1" ht="21" customHeight="1" spans="1:11">
      <c r="A307" s="121" t="s">
        <v>230</v>
      </c>
      <c r="B307" s="121">
        <v>10.5</v>
      </c>
      <c r="C307" s="68" t="s">
        <v>231</v>
      </c>
      <c r="D307" s="11">
        <v>10</v>
      </c>
      <c r="E307" s="249">
        <v>10</v>
      </c>
      <c r="F307" s="11">
        <v>10</v>
      </c>
      <c r="G307" s="11"/>
      <c r="H307" s="68"/>
      <c r="I307" s="68"/>
      <c r="J307" s="141"/>
      <c r="K307" s="56">
        <f t="shared" si="10"/>
        <v>30</v>
      </c>
    </row>
    <row r="308" s="3" customFormat="1" ht="21" customHeight="1" spans="1:11">
      <c r="A308" s="121" t="s">
        <v>232</v>
      </c>
      <c r="B308" s="121">
        <v>12</v>
      </c>
      <c r="C308" s="121" t="s">
        <v>233</v>
      </c>
      <c r="D308" s="89">
        <v>12</v>
      </c>
      <c r="E308" s="252">
        <v>12</v>
      </c>
      <c r="F308" s="146">
        <v>10</v>
      </c>
      <c r="G308" s="146"/>
      <c r="H308" s="121"/>
      <c r="I308" s="121"/>
      <c r="J308" s="139"/>
      <c r="K308" s="86">
        <f t="shared" si="10"/>
        <v>34</v>
      </c>
    </row>
    <row r="309" s="3" customFormat="1" ht="21" customHeight="1" spans="1:11">
      <c r="A309" s="61"/>
      <c r="B309" s="87"/>
      <c r="C309" s="87"/>
      <c r="D309" s="87"/>
      <c r="E309" s="87"/>
      <c r="F309" s="87"/>
      <c r="G309" s="87"/>
      <c r="H309" s="87"/>
      <c r="I309" s="87"/>
      <c r="J309" s="87"/>
      <c r="K309" s="145">
        <f>SUM(K287:K308)</f>
        <v>1469</v>
      </c>
    </row>
    <row r="310" s="104" customFormat="1"/>
    <row r="311" s="104" customFormat="1"/>
    <row r="312" s="2" customFormat="1" ht="24" customHeight="1" spans="1:11">
      <c r="A312" s="48" t="s">
        <v>234</v>
      </c>
      <c r="B312" s="49"/>
      <c r="C312" s="49"/>
      <c r="D312" s="49"/>
      <c r="E312" s="49"/>
      <c r="F312" s="49"/>
      <c r="G312" s="49"/>
      <c r="H312" s="49"/>
      <c r="I312" s="49"/>
      <c r="J312" s="49"/>
      <c r="K312" s="50"/>
    </row>
    <row r="313" s="2" customFormat="1" ht="24" customHeight="1" spans="1:11">
      <c r="A313" s="51" t="s">
        <v>257</v>
      </c>
      <c r="B313" s="52"/>
      <c r="C313" s="52"/>
      <c r="D313" s="53" t="s">
        <v>258</v>
      </c>
      <c r="E313" s="52"/>
      <c r="F313" s="52"/>
      <c r="G313" s="52"/>
      <c r="H313" s="52"/>
      <c r="I313" s="52"/>
      <c r="J313" s="52"/>
      <c r="K313" s="52"/>
    </row>
    <row r="314" s="2" customFormat="1" ht="24" customHeight="1" spans="1:11">
      <c r="A314" s="47" t="s">
        <v>200</v>
      </c>
      <c r="B314" s="47" t="s">
        <v>201</v>
      </c>
      <c r="C314" s="54" t="s">
        <v>202</v>
      </c>
      <c r="D314" s="55" t="s">
        <v>6</v>
      </c>
      <c r="E314" s="55" t="s">
        <v>6</v>
      </c>
      <c r="F314" s="47" t="s">
        <v>6</v>
      </c>
      <c r="G314" s="47" t="s">
        <v>6</v>
      </c>
      <c r="H314" s="47" t="s">
        <v>6</v>
      </c>
      <c r="I314" s="47" t="s">
        <v>6</v>
      </c>
      <c r="J314" s="47" t="s">
        <v>203</v>
      </c>
      <c r="K314" s="47" t="s">
        <v>204</v>
      </c>
    </row>
    <row r="315" s="2" customFormat="1" ht="24" customHeight="1" spans="1:11">
      <c r="A315" s="55" t="s">
        <v>205</v>
      </c>
      <c r="B315" s="47">
        <v>12</v>
      </c>
      <c r="C315" s="54" t="s">
        <v>206</v>
      </c>
      <c r="D315" s="12">
        <v>12</v>
      </c>
      <c r="E315" s="13">
        <v>0</v>
      </c>
      <c r="F315" s="13"/>
      <c r="G315" s="55"/>
      <c r="H315" s="55"/>
      <c r="I315" s="47"/>
      <c r="J315" s="47"/>
      <c r="K315" s="56">
        <f t="shared" ref="K315:K337" si="11">SUM(D315:J315)</f>
        <v>12</v>
      </c>
    </row>
    <row r="316" s="2" customFormat="1" ht="24" customHeight="1" spans="1:11">
      <c r="A316" s="57" t="s">
        <v>207</v>
      </c>
      <c r="B316" s="58">
        <v>11.5</v>
      </c>
      <c r="C316" s="54" t="s">
        <v>208</v>
      </c>
      <c r="D316" s="12">
        <v>11.5</v>
      </c>
      <c r="E316" s="13">
        <v>10</v>
      </c>
      <c r="F316" s="13"/>
      <c r="G316" s="55"/>
      <c r="H316" s="55"/>
      <c r="I316" s="47"/>
      <c r="J316" s="47"/>
      <c r="K316" s="56">
        <f t="shared" si="11"/>
        <v>21.5</v>
      </c>
    </row>
    <row r="317" s="2" customFormat="1" ht="24" customHeight="1" spans="1:11">
      <c r="A317" s="57"/>
      <c r="B317" s="58"/>
      <c r="C317" s="47" t="s">
        <v>209</v>
      </c>
      <c r="D317" s="12">
        <v>11.5</v>
      </c>
      <c r="E317" s="13">
        <v>0</v>
      </c>
      <c r="F317" s="13"/>
      <c r="G317" s="55"/>
      <c r="H317" s="55"/>
      <c r="I317" s="47"/>
      <c r="J317" s="47"/>
      <c r="K317" s="56">
        <f t="shared" si="11"/>
        <v>11.5</v>
      </c>
    </row>
    <row r="318" s="2" customFormat="1" ht="24" customHeight="1" spans="1:11">
      <c r="A318" s="57"/>
      <c r="B318" s="58"/>
      <c r="C318" s="54" t="s">
        <v>210</v>
      </c>
      <c r="D318" s="12">
        <v>11.5</v>
      </c>
      <c r="E318" s="13">
        <v>5</v>
      </c>
      <c r="F318" s="13"/>
      <c r="G318" s="55"/>
      <c r="H318" s="55"/>
      <c r="I318" s="47"/>
      <c r="J318" s="47"/>
      <c r="K318" s="56">
        <f t="shared" si="11"/>
        <v>16.5</v>
      </c>
    </row>
    <row r="319" s="2" customFormat="1" ht="24" customHeight="1" spans="1:11">
      <c r="A319" s="59" t="s">
        <v>237</v>
      </c>
      <c r="B319" s="60">
        <v>11.5</v>
      </c>
      <c r="C319" s="61" t="s">
        <v>212</v>
      </c>
      <c r="D319" s="27">
        <v>11.5</v>
      </c>
      <c r="E319" s="13">
        <v>10</v>
      </c>
      <c r="F319" s="13"/>
      <c r="G319" s="55"/>
      <c r="H319" s="55"/>
      <c r="I319" s="47"/>
      <c r="J319" s="47"/>
      <c r="K319" s="56">
        <f t="shared" si="11"/>
        <v>21.5</v>
      </c>
    </row>
    <row r="320" s="2" customFormat="1" ht="24" customHeight="1" spans="1:11">
      <c r="A320" s="59"/>
      <c r="B320" s="60"/>
      <c r="C320" s="3" t="s">
        <v>215</v>
      </c>
      <c r="D320" s="27">
        <v>10</v>
      </c>
      <c r="E320" s="13">
        <v>5</v>
      </c>
      <c r="F320" s="13"/>
      <c r="G320" s="55"/>
      <c r="H320" s="55"/>
      <c r="I320" s="47"/>
      <c r="J320" s="47"/>
      <c r="K320" s="56">
        <f t="shared" si="11"/>
        <v>15</v>
      </c>
    </row>
    <row r="321" s="2" customFormat="1" ht="24" customHeight="1" spans="1:11">
      <c r="A321" s="62" t="s">
        <v>238</v>
      </c>
      <c r="B321" s="60"/>
      <c r="C321" s="61" t="s">
        <v>213</v>
      </c>
      <c r="D321" s="27">
        <v>11.5</v>
      </c>
      <c r="E321" s="13">
        <v>10</v>
      </c>
      <c r="F321" s="13"/>
      <c r="G321" s="55"/>
      <c r="H321" s="55"/>
      <c r="I321" s="47"/>
      <c r="J321" s="47"/>
      <c r="K321" s="56">
        <f t="shared" si="11"/>
        <v>21.5</v>
      </c>
    </row>
    <row r="322" s="2" customFormat="1" ht="24" customHeight="1" spans="1:11">
      <c r="A322" s="62"/>
      <c r="B322" s="60"/>
      <c r="C322" s="61" t="s">
        <v>216</v>
      </c>
      <c r="D322" s="27">
        <v>10</v>
      </c>
      <c r="E322" s="13">
        <v>0</v>
      </c>
      <c r="F322" s="13"/>
      <c r="G322" s="55"/>
      <c r="H322" s="55"/>
      <c r="I322" s="55"/>
      <c r="J322" s="47"/>
      <c r="K322" s="56">
        <f t="shared" si="11"/>
        <v>10</v>
      </c>
    </row>
    <row r="323" s="2" customFormat="1" ht="24" customHeight="1" spans="1:11">
      <c r="A323" s="57" t="s">
        <v>239</v>
      </c>
      <c r="B323" s="60"/>
      <c r="C323" s="56" t="s">
        <v>214</v>
      </c>
      <c r="D323" s="27">
        <v>10</v>
      </c>
      <c r="E323" s="13">
        <v>5</v>
      </c>
      <c r="F323" s="13"/>
      <c r="G323" s="55"/>
      <c r="H323" s="55"/>
      <c r="I323" s="55"/>
      <c r="J323" s="47"/>
      <c r="K323" s="56">
        <f t="shared" si="11"/>
        <v>15</v>
      </c>
    </row>
    <row r="324" s="2" customFormat="1" ht="24" customHeight="1" spans="1:11">
      <c r="A324" s="63" t="s">
        <v>217</v>
      </c>
      <c r="B324" s="47">
        <v>10.5</v>
      </c>
      <c r="C324" s="47" t="s">
        <v>218</v>
      </c>
      <c r="D324" s="27">
        <v>10</v>
      </c>
      <c r="E324" s="13">
        <v>5</v>
      </c>
      <c r="F324" s="13"/>
      <c r="G324" s="55"/>
      <c r="H324" s="55"/>
      <c r="I324" s="47"/>
      <c r="J324" s="47"/>
      <c r="K324" s="56">
        <f t="shared" si="11"/>
        <v>15</v>
      </c>
    </row>
    <row r="325" s="2" customFormat="1" ht="24" customHeight="1" spans="1:11">
      <c r="A325" s="47"/>
      <c r="B325" s="47"/>
      <c r="C325" s="47" t="s">
        <v>219</v>
      </c>
      <c r="D325" s="27">
        <v>10</v>
      </c>
      <c r="E325" s="13">
        <v>0</v>
      </c>
      <c r="F325" s="13"/>
      <c r="G325" s="55"/>
      <c r="H325" s="55"/>
      <c r="I325" s="47"/>
      <c r="J325" s="47"/>
      <c r="K325" s="56">
        <f t="shared" si="11"/>
        <v>10</v>
      </c>
    </row>
    <row r="326" s="2" customFormat="1" ht="24" customHeight="1" spans="1:11">
      <c r="A326" s="47" t="s">
        <v>220</v>
      </c>
      <c r="B326" s="47">
        <v>11.5</v>
      </c>
      <c r="C326" s="54" t="s">
        <v>221</v>
      </c>
      <c r="D326" s="12">
        <v>20</v>
      </c>
      <c r="E326" s="13">
        <v>0</v>
      </c>
      <c r="F326" s="13"/>
      <c r="G326" s="55"/>
      <c r="H326" s="55"/>
      <c r="I326" s="47"/>
      <c r="J326" s="47"/>
      <c r="K326" s="56">
        <f t="shared" si="11"/>
        <v>20</v>
      </c>
    </row>
    <row r="327" s="2" customFormat="1" ht="24" customHeight="1" spans="1:11">
      <c r="A327" s="47"/>
      <c r="B327" s="47"/>
      <c r="C327" s="54" t="s">
        <v>222</v>
      </c>
      <c r="D327" s="12">
        <v>10</v>
      </c>
      <c r="E327" s="13">
        <v>5</v>
      </c>
      <c r="F327" s="13"/>
      <c r="G327" s="55"/>
      <c r="H327" s="55"/>
      <c r="I327" s="47"/>
      <c r="J327" s="47"/>
      <c r="K327" s="56">
        <f t="shared" si="11"/>
        <v>15</v>
      </c>
    </row>
    <row r="328" s="2" customFormat="1" ht="24" customHeight="1" spans="1:11">
      <c r="A328" s="47"/>
      <c r="B328" s="47"/>
      <c r="C328" s="54" t="s">
        <v>223</v>
      </c>
      <c r="D328" s="12">
        <v>10</v>
      </c>
      <c r="E328" s="13">
        <v>0</v>
      </c>
      <c r="F328" s="13"/>
      <c r="G328" s="55"/>
      <c r="H328" s="55"/>
      <c r="I328" s="47"/>
      <c r="J328" s="47"/>
      <c r="K328" s="56">
        <f t="shared" si="11"/>
        <v>10</v>
      </c>
    </row>
    <row r="329" s="2" customFormat="1" ht="24" customHeight="1" spans="1:11">
      <c r="A329" s="47"/>
      <c r="B329" s="47"/>
      <c r="C329" s="54" t="s">
        <v>224</v>
      </c>
      <c r="D329" s="12">
        <v>0</v>
      </c>
      <c r="E329" s="13">
        <v>0</v>
      </c>
      <c r="F329" s="13"/>
      <c r="G329" s="55"/>
      <c r="H329" s="55"/>
      <c r="I329" s="47"/>
      <c r="J329" s="47"/>
      <c r="K329" s="56">
        <f t="shared" si="11"/>
        <v>0</v>
      </c>
    </row>
    <row r="330" s="2" customFormat="1" ht="24" customHeight="1" spans="1:11">
      <c r="A330" s="64" t="s">
        <v>225</v>
      </c>
      <c r="B330" s="64">
        <v>10.5</v>
      </c>
      <c r="C330" s="47" t="s">
        <v>226</v>
      </c>
      <c r="D330" s="12">
        <v>11</v>
      </c>
      <c r="E330" s="28">
        <v>5</v>
      </c>
      <c r="F330" s="28"/>
      <c r="G330" s="55"/>
      <c r="H330" s="55"/>
      <c r="I330" s="47"/>
      <c r="J330" s="47"/>
      <c r="K330" s="56">
        <f t="shared" si="11"/>
        <v>16</v>
      </c>
    </row>
    <row r="331" s="2" customFormat="1" ht="24" customHeight="1" spans="1:11">
      <c r="A331" s="64"/>
      <c r="B331" s="64"/>
      <c r="C331" s="47" t="s">
        <v>228</v>
      </c>
      <c r="D331" s="12">
        <v>11</v>
      </c>
      <c r="E331" s="13">
        <v>5</v>
      </c>
      <c r="F331" s="13"/>
      <c r="G331" s="55"/>
      <c r="H331" s="55"/>
      <c r="I331" s="47"/>
      <c r="J331" s="47"/>
      <c r="K331" s="56">
        <f t="shared" si="11"/>
        <v>16</v>
      </c>
    </row>
    <row r="332" s="2" customFormat="1" ht="24" customHeight="1" spans="1:11">
      <c r="A332" s="64"/>
      <c r="B332" s="64"/>
      <c r="C332" s="47" t="s">
        <v>227</v>
      </c>
      <c r="D332" s="12">
        <v>5</v>
      </c>
      <c r="E332" s="13">
        <v>5</v>
      </c>
      <c r="F332" s="13"/>
      <c r="G332" s="55"/>
      <c r="H332" s="55"/>
      <c r="I332" s="47"/>
      <c r="J332" s="47"/>
      <c r="K332" s="56">
        <f t="shared" si="11"/>
        <v>10</v>
      </c>
    </row>
    <row r="333" s="2" customFormat="1" ht="24" customHeight="1" spans="1:11">
      <c r="A333" s="64"/>
      <c r="B333" s="64"/>
      <c r="C333" s="47" t="s">
        <v>229</v>
      </c>
      <c r="D333" s="12">
        <v>6</v>
      </c>
      <c r="E333" s="13">
        <v>5</v>
      </c>
      <c r="F333" s="13"/>
      <c r="G333" s="55"/>
      <c r="H333" s="55"/>
      <c r="I333" s="47"/>
      <c r="J333" s="58"/>
      <c r="K333" s="56">
        <f t="shared" si="11"/>
        <v>11</v>
      </c>
    </row>
    <row r="334" s="2" customFormat="1" ht="24" customHeight="1" spans="1:11">
      <c r="A334" s="64"/>
      <c r="B334" s="64"/>
      <c r="C334" s="47" t="s">
        <v>240</v>
      </c>
      <c r="D334" s="12">
        <v>6</v>
      </c>
      <c r="E334" s="13">
        <v>5</v>
      </c>
      <c r="F334" s="13"/>
      <c r="G334" s="55"/>
      <c r="H334" s="55"/>
      <c r="I334" s="47"/>
      <c r="J334" s="58"/>
      <c r="K334" s="56">
        <f t="shared" si="11"/>
        <v>11</v>
      </c>
    </row>
    <row r="335" s="2" customFormat="1" ht="24" customHeight="1" spans="1:11">
      <c r="A335" s="55" t="s">
        <v>230</v>
      </c>
      <c r="B335" s="55">
        <v>10.5</v>
      </c>
      <c r="C335" s="47" t="s">
        <v>231</v>
      </c>
      <c r="D335" s="27">
        <v>10.5</v>
      </c>
      <c r="E335" s="13">
        <v>0</v>
      </c>
      <c r="F335" s="13"/>
      <c r="G335" s="47"/>
      <c r="H335" s="47"/>
      <c r="I335" s="47"/>
      <c r="J335" s="58"/>
      <c r="K335" s="56">
        <f t="shared" si="11"/>
        <v>10.5</v>
      </c>
    </row>
    <row r="336" s="2" customFormat="1" ht="24" customHeight="1" spans="1:11">
      <c r="A336" s="47" t="s">
        <v>232</v>
      </c>
      <c r="B336" s="47">
        <v>12</v>
      </c>
      <c r="C336" s="47" t="s">
        <v>233</v>
      </c>
      <c r="D336" s="27">
        <v>12</v>
      </c>
      <c r="E336" s="13">
        <v>0</v>
      </c>
      <c r="F336" s="13"/>
      <c r="G336" s="47"/>
      <c r="H336" s="47"/>
      <c r="I336" s="47"/>
      <c r="J336" s="58"/>
      <c r="K336" s="56">
        <f t="shared" si="11"/>
        <v>12</v>
      </c>
    </row>
    <row r="337" s="2" customFormat="1" ht="24" customHeight="1" spans="1:11">
      <c r="A337" s="54"/>
      <c r="B337" s="65"/>
      <c r="C337" s="65"/>
      <c r="D337" s="66">
        <f>SUM(D315:D336)</f>
        <v>221</v>
      </c>
      <c r="E337" s="66">
        <f>SUM(E315:E336)</f>
        <v>80</v>
      </c>
      <c r="F337" s="66"/>
      <c r="G337" s="65"/>
      <c r="H337" s="65"/>
      <c r="I337" s="65"/>
      <c r="J337" s="67"/>
      <c r="K337" s="68">
        <f>SUM(K315:K336)</f>
        <v>301</v>
      </c>
    </row>
    <row r="338" s="104" customFormat="1"/>
    <row r="339" s="104" customFormat="1"/>
    <row r="340" s="104" customFormat="1"/>
    <row r="341" s="1" customFormat="1" ht="21" customHeight="1" spans="1:11">
      <c r="A341" s="32" t="s">
        <v>234</v>
      </c>
      <c r="B341" s="33"/>
      <c r="C341" s="33"/>
      <c r="D341" s="33"/>
      <c r="E341" s="33"/>
      <c r="F341" s="33"/>
      <c r="G341" s="33"/>
      <c r="H341" s="33"/>
      <c r="I341" s="33"/>
      <c r="J341" s="33"/>
      <c r="K341" s="34"/>
    </row>
    <row r="342" s="1" customFormat="1" ht="21" customHeight="1" spans="1:11">
      <c r="A342" s="35" t="s">
        <v>259</v>
      </c>
      <c r="B342" s="36"/>
      <c r="C342" s="36"/>
      <c r="D342" s="37" t="s">
        <v>260</v>
      </c>
      <c r="E342" s="36"/>
      <c r="F342" s="36"/>
      <c r="G342" s="36"/>
      <c r="H342" s="36"/>
      <c r="I342" s="36"/>
      <c r="J342" s="36"/>
      <c r="K342" s="36"/>
    </row>
    <row r="343" s="1" customFormat="1" ht="21" customHeight="1" spans="1:11">
      <c r="A343" s="27" t="s">
        <v>200</v>
      </c>
      <c r="B343" s="27" t="s">
        <v>201</v>
      </c>
      <c r="C343" s="38" t="s">
        <v>202</v>
      </c>
      <c r="D343" s="12" t="s">
        <v>6</v>
      </c>
      <c r="E343" s="12" t="s">
        <v>6</v>
      </c>
      <c r="F343" s="12" t="s">
        <v>6</v>
      </c>
      <c r="G343" s="27" t="s">
        <v>6</v>
      </c>
      <c r="H343" s="27" t="s">
        <v>6</v>
      </c>
      <c r="I343" s="27" t="s">
        <v>6</v>
      </c>
      <c r="J343" s="27" t="s">
        <v>203</v>
      </c>
      <c r="K343" s="27" t="s">
        <v>204</v>
      </c>
    </row>
    <row r="344" s="1" customFormat="1" ht="21" customHeight="1" spans="1:11">
      <c r="A344" s="27" t="s">
        <v>205</v>
      </c>
      <c r="B344" s="27">
        <v>12</v>
      </c>
      <c r="C344" s="38" t="s">
        <v>206</v>
      </c>
      <c r="D344" s="12">
        <v>12</v>
      </c>
      <c r="E344" s="148">
        <v>10</v>
      </c>
      <c r="F344" s="149"/>
      <c r="G344" s="90"/>
      <c r="H344" s="12"/>
      <c r="I344" s="27"/>
      <c r="J344" s="27"/>
      <c r="K344" s="13">
        <f t="shared" ref="K344:K366" si="12">SUM(D344:J344)</f>
        <v>22</v>
      </c>
    </row>
    <row r="345" s="1" customFormat="1" ht="21" customHeight="1" spans="1:11">
      <c r="A345" s="21" t="s">
        <v>207</v>
      </c>
      <c r="B345" s="27">
        <v>11.5</v>
      </c>
      <c r="C345" s="38" t="s">
        <v>208</v>
      </c>
      <c r="D345" s="12">
        <v>11.5</v>
      </c>
      <c r="E345" s="148">
        <v>10</v>
      </c>
      <c r="F345" s="149"/>
      <c r="G345" s="90"/>
      <c r="H345" s="12"/>
      <c r="I345" s="27"/>
      <c r="J345" s="27"/>
      <c r="K345" s="13">
        <f t="shared" si="12"/>
        <v>21.5</v>
      </c>
    </row>
    <row r="346" s="1" customFormat="1" ht="21" customHeight="1" spans="1:11">
      <c r="A346" s="21"/>
      <c r="B346" s="27"/>
      <c r="C346" s="27" t="s">
        <v>209</v>
      </c>
      <c r="D346" s="12">
        <v>11.5</v>
      </c>
      <c r="E346" s="148">
        <v>10</v>
      </c>
      <c r="F346" s="149"/>
      <c r="G346" s="90"/>
      <c r="H346" s="12"/>
      <c r="I346" s="27"/>
      <c r="J346" s="27"/>
      <c r="K346" s="13">
        <f t="shared" si="12"/>
        <v>21.5</v>
      </c>
    </row>
    <row r="347" s="1" customFormat="1" ht="21" customHeight="1" spans="1:11">
      <c r="A347" s="21"/>
      <c r="B347" s="27"/>
      <c r="C347" s="38" t="s">
        <v>210</v>
      </c>
      <c r="D347" s="12">
        <v>11.5</v>
      </c>
      <c r="E347" s="148">
        <v>10</v>
      </c>
      <c r="F347" s="149"/>
      <c r="G347" s="90"/>
      <c r="H347" s="12"/>
      <c r="I347" s="27"/>
      <c r="J347" s="27"/>
      <c r="K347" s="13">
        <f t="shared" si="12"/>
        <v>21.5</v>
      </c>
    </row>
    <row r="348" s="1" customFormat="1" ht="21" customHeight="1" spans="1:11">
      <c r="A348" s="16" t="s">
        <v>237</v>
      </c>
      <c r="B348" s="13">
        <v>11.5</v>
      </c>
      <c r="C348" s="17" t="s">
        <v>212</v>
      </c>
      <c r="D348" s="27">
        <v>10</v>
      </c>
      <c r="E348" s="27">
        <v>10</v>
      </c>
      <c r="F348" s="39"/>
      <c r="G348" s="12"/>
      <c r="H348" s="12"/>
      <c r="I348" s="27"/>
      <c r="J348" s="27"/>
      <c r="K348" s="13">
        <f t="shared" si="12"/>
        <v>20</v>
      </c>
    </row>
    <row r="349" s="1" customFormat="1" ht="21" customHeight="1" spans="1:11">
      <c r="A349" s="18"/>
      <c r="B349" s="13"/>
      <c r="C349" s="1" t="s">
        <v>215</v>
      </c>
      <c r="D349" s="27">
        <v>0</v>
      </c>
      <c r="E349" s="27">
        <v>0</v>
      </c>
      <c r="F349" s="12"/>
      <c r="G349" s="12"/>
      <c r="H349" s="12"/>
      <c r="I349" s="27"/>
      <c r="J349" s="27"/>
      <c r="K349" s="13">
        <f t="shared" si="12"/>
        <v>0</v>
      </c>
    </row>
    <row r="350" s="1" customFormat="1" ht="21" customHeight="1" spans="1:11">
      <c r="A350" s="19" t="s">
        <v>238</v>
      </c>
      <c r="B350" s="13"/>
      <c r="C350" s="17" t="s">
        <v>213</v>
      </c>
      <c r="D350" s="27">
        <v>0</v>
      </c>
      <c r="E350" s="27">
        <v>0</v>
      </c>
      <c r="F350" s="12"/>
      <c r="G350" s="12"/>
      <c r="H350" s="12"/>
      <c r="I350" s="27"/>
      <c r="J350" s="27"/>
      <c r="K350" s="13">
        <f t="shared" si="12"/>
        <v>0</v>
      </c>
    </row>
    <row r="351" s="1" customFormat="1" ht="21" customHeight="1" spans="1:11">
      <c r="A351" s="20"/>
      <c r="B351" s="13"/>
      <c r="C351" s="17" t="s">
        <v>216</v>
      </c>
      <c r="D351" s="27">
        <v>0</v>
      </c>
      <c r="E351" s="27">
        <v>0</v>
      </c>
      <c r="F351" s="12"/>
      <c r="G351" s="12"/>
      <c r="H351" s="12"/>
      <c r="I351" s="12"/>
      <c r="J351" s="27"/>
      <c r="K351" s="13">
        <f t="shared" si="12"/>
        <v>0</v>
      </c>
    </row>
    <row r="352" s="1" customFormat="1" ht="21" customHeight="1" spans="1:11">
      <c r="A352" s="21" t="s">
        <v>239</v>
      </c>
      <c r="B352" s="13"/>
      <c r="C352" s="13" t="s">
        <v>214</v>
      </c>
      <c r="D352" s="27">
        <v>10</v>
      </c>
      <c r="E352" s="27">
        <v>10</v>
      </c>
      <c r="F352" s="12"/>
      <c r="G352" s="12"/>
      <c r="H352" s="12"/>
      <c r="I352" s="12"/>
      <c r="J352" s="27"/>
      <c r="K352" s="13">
        <f t="shared" si="12"/>
        <v>20</v>
      </c>
    </row>
    <row r="353" s="1" customFormat="1" ht="21" customHeight="1" spans="1:11">
      <c r="A353" s="27" t="s">
        <v>217</v>
      </c>
      <c r="B353" s="27">
        <v>10.5</v>
      </c>
      <c r="C353" s="27" t="s">
        <v>218</v>
      </c>
      <c r="D353" s="27">
        <v>0</v>
      </c>
      <c r="E353" s="27">
        <v>0</v>
      </c>
      <c r="F353" s="12"/>
      <c r="G353" s="12"/>
      <c r="H353" s="12"/>
      <c r="I353" s="27"/>
      <c r="J353" s="27"/>
      <c r="K353" s="13">
        <f t="shared" si="12"/>
        <v>0</v>
      </c>
    </row>
    <row r="354" s="1" customFormat="1" ht="21" customHeight="1" spans="1:11">
      <c r="A354" s="27"/>
      <c r="B354" s="27"/>
      <c r="C354" s="27" t="s">
        <v>219</v>
      </c>
      <c r="D354" s="27">
        <v>0</v>
      </c>
      <c r="E354" s="27">
        <v>0</v>
      </c>
      <c r="F354" s="12"/>
      <c r="G354" s="12"/>
      <c r="H354" s="12"/>
      <c r="I354" s="27"/>
      <c r="J354" s="27"/>
      <c r="K354" s="13">
        <f t="shared" si="12"/>
        <v>0</v>
      </c>
    </row>
    <row r="355" s="1" customFormat="1" ht="21" customHeight="1" spans="1:11">
      <c r="A355" s="27" t="s">
        <v>220</v>
      </c>
      <c r="B355" s="27">
        <v>11.5</v>
      </c>
      <c r="C355" s="38" t="s">
        <v>221</v>
      </c>
      <c r="D355" s="12">
        <v>40</v>
      </c>
      <c r="E355" s="12">
        <v>16.5</v>
      </c>
      <c r="F355" s="12"/>
      <c r="G355" s="12"/>
      <c r="H355" s="12"/>
      <c r="I355" s="27"/>
      <c r="J355" s="27"/>
      <c r="K355" s="13">
        <f t="shared" si="12"/>
        <v>56.5</v>
      </c>
    </row>
    <row r="356" s="1" customFormat="1" ht="21" customHeight="1" spans="1:11">
      <c r="A356" s="27"/>
      <c r="B356" s="27"/>
      <c r="C356" s="38" t="s">
        <v>222</v>
      </c>
      <c r="D356" s="148">
        <v>14</v>
      </c>
      <c r="E356" s="150">
        <v>15.2</v>
      </c>
      <c r="F356" s="90"/>
      <c r="G356" s="12"/>
      <c r="H356" s="12"/>
      <c r="I356" s="27"/>
      <c r="J356" s="27"/>
      <c r="K356" s="13">
        <f t="shared" si="12"/>
        <v>29.2</v>
      </c>
    </row>
    <row r="357" s="1" customFormat="1" ht="21" customHeight="1" spans="1:11">
      <c r="A357" s="27"/>
      <c r="B357" s="27"/>
      <c r="C357" s="38" t="s">
        <v>223</v>
      </c>
      <c r="D357" s="148">
        <v>0</v>
      </c>
      <c r="E357" s="149">
        <v>0</v>
      </c>
      <c r="F357" s="90"/>
      <c r="G357" s="12"/>
      <c r="H357" s="12"/>
      <c r="I357" s="27"/>
      <c r="J357" s="27"/>
      <c r="K357" s="13">
        <f t="shared" si="12"/>
        <v>0</v>
      </c>
    </row>
    <row r="358" s="1" customFormat="1" ht="21" customHeight="1" spans="1:11">
      <c r="A358" s="27"/>
      <c r="B358" s="27"/>
      <c r="C358" s="38" t="s">
        <v>224</v>
      </c>
      <c r="D358" s="12">
        <v>20</v>
      </c>
      <c r="E358" s="39">
        <v>0</v>
      </c>
      <c r="F358" s="12"/>
      <c r="G358" s="12"/>
      <c r="H358" s="12"/>
      <c r="I358" s="27"/>
      <c r="J358" s="27"/>
      <c r="K358" s="13">
        <f t="shared" si="12"/>
        <v>20</v>
      </c>
    </row>
    <row r="359" s="1" customFormat="1" ht="21" customHeight="1" spans="1:11">
      <c r="A359" s="39" t="s">
        <v>225</v>
      </c>
      <c r="B359" s="39">
        <v>10.5</v>
      </c>
      <c r="C359" s="27" t="s">
        <v>226</v>
      </c>
      <c r="D359" s="27">
        <v>20</v>
      </c>
      <c r="E359" s="27">
        <v>10</v>
      </c>
      <c r="F359" s="12"/>
      <c r="G359" s="12"/>
      <c r="H359" s="12"/>
      <c r="I359" s="27"/>
      <c r="J359" s="27"/>
      <c r="K359" s="13">
        <f t="shared" si="12"/>
        <v>30</v>
      </c>
    </row>
    <row r="360" s="1" customFormat="1" ht="21" customHeight="1" spans="1:11">
      <c r="A360" s="39"/>
      <c r="B360" s="39"/>
      <c r="C360" s="27" t="s">
        <v>228</v>
      </c>
      <c r="D360" s="27">
        <v>20</v>
      </c>
      <c r="E360" s="27">
        <v>10</v>
      </c>
      <c r="F360" s="12"/>
      <c r="G360" s="12"/>
      <c r="H360" s="12"/>
      <c r="I360" s="27"/>
      <c r="J360" s="27"/>
      <c r="K360" s="13">
        <f t="shared" si="12"/>
        <v>30</v>
      </c>
    </row>
    <row r="361" s="1" customFormat="1" ht="21" customHeight="1" spans="1:11">
      <c r="A361" s="39"/>
      <c r="B361" s="39"/>
      <c r="C361" s="27" t="s">
        <v>227</v>
      </c>
      <c r="D361" s="27">
        <v>20</v>
      </c>
      <c r="E361" s="27">
        <v>0</v>
      </c>
      <c r="F361" s="12"/>
      <c r="G361" s="12"/>
      <c r="H361" s="12"/>
      <c r="I361" s="27"/>
      <c r="J361" s="27"/>
      <c r="K361" s="13">
        <f t="shared" si="12"/>
        <v>20</v>
      </c>
    </row>
    <row r="362" s="1" customFormat="1" ht="21" customHeight="1" spans="1:11">
      <c r="A362" s="39"/>
      <c r="B362" s="39"/>
      <c r="C362" s="27" t="s">
        <v>229</v>
      </c>
      <c r="D362" s="27">
        <v>20</v>
      </c>
      <c r="E362" s="27">
        <v>10</v>
      </c>
      <c r="F362" s="12"/>
      <c r="G362" s="12"/>
      <c r="H362" s="12"/>
      <c r="I362" s="27"/>
      <c r="J362" s="40"/>
      <c r="K362" s="13">
        <f t="shared" si="12"/>
        <v>30</v>
      </c>
    </row>
    <row r="363" s="1" customFormat="1" ht="21" customHeight="1" spans="1:11">
      <c r="A363" s="39"/>
      <c r="B363" s="39"/>
      <c r="C363" s="27" t="s">
        <v>240</v>
      </c>
      <c r="D363" s="27">
        <v>20</v>
      </c>
      <c r="E363" s="27">
        <v>0</v>
      </c>
      <c r="F363" s="12"/>
      <c r="G363" s="12"/>
      <c r="H363" s="12"/>
      <c r="I363" s="27"/>
      <c r="J363" s="40"/>
      <c r="K363" s="13">
        <f t="shared" si="12"/>
        <v>20</v>
      </c>
    </row>
    <row r="364" s="1" customFormat="1" ht="21" customHeight="1" spans="1:11">
      <c r="A364" s="12" t="s">
        <v>230</v>
      </c>
      <c r="B364" s="12">
        <v>10.5</v>
      </c>
      <c r="C364" s="27" t="s">
        <v>231</v>
      </c>
      <c r="D364" s="27">
        <v>10</v>
      </c>
      <c r="E364" s="27">
        <v>10</v>
      </c>
      <c r="F364" s="12"/>
      <c r="G364" s="27"/>
      <c r="H364" s="27"/>
      <c r="I364" s="27"/>
      <c r="J364" s="40"/>
      <c r="K364" s="13">
        <f t="shared" si="12"/>
        <v>20</v>
      </c>
    </row>
    <row r="365" s="1" customFormat="1" ht="21" customHeight="1" spans="1:11">
      <c r="A365" s="27" t="s">
        <v>232</v>
      </c>
      <c r="B365" s="27">
        <v>12</v>
      </c>
      <c r="C365" s="27" t="s">
        <v>233</v>
      </c>
      <c r="D365" s="27">
        <v>12</v>
      </c>
      <c r="E365" s="27">
        <v>12</v>
      </c>
      <c r="F365" s="27"/>
      <c r="G365" s="27"/>
      <c r="H365" s="27"/>
      <c r="I365" s="27"/>
      <c r="J365" s="40"/>
      <c r="K365" s="13">
        <f t="shared" si="12"/>
        <v>24</v>
      </c>
    </row>
    <row r="366" s="1" customFormat="1" ht="21" customHeight="1" spans="1:11">
      <c r="A366" s="151"/>
      <c r="B366" s="151"/>
      <c r="C366" s="151"/>
      <c r="D366" s="151"/>
      <c r="E366" s="151"/>
      <c r="F366" s="152"/>
      <c r="G366" s="151"/>
      <c r="H366" s="151"/>
      <c r="I366" s="151"/>
      <c r="J366" s="151"/>
      <c r="K366" s="9">
        <f>SUM(K344:K365)</f>
        <v>406.2</v>
      </c>
    </row>
    <row r="367" s="104" customFormat="1"/>
    <row r="368" s="104" customFormat="1"/>
    <row r="369" s="3" customFormat="1" ht="21" customHeight="1" spans="1:11">
      <c r="A369" s="133" t="s">
        <v>234</v>
      </c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</row>
    <row r="370" s="3" customFormat="1" ht="21" customHeight="1" spans="1:11">
      <c r="A370" s="134" t="s">
        <v>259</v>
      </c>
      <c r="B370" s="134"/>
      <c r="C370" s="134"/>
      <c r="D370" s="134" t="s">
        <v>261</v>
      </c>
      <c r="E370" s="134"/>
      <c r="F370" s="134"/>
      <c r="G370" s="134"/>
      <c r="H370" s="134"/>
      <c r="I370" s="134"/>
      <c r="J370" s="134"/>
      <c r="K370" s="134"/>
    </row>
    <row r="371" s="3" customFormat="1" ht="21" customHeight="1" spans="1:11">
      <c r="A371" s="135" t="s">
        <v>200</v>
      </c>
      <c r="B371" s="135" t="s">
        <v>201</v>
      </c>
      <c r="C371" s="136" t="s">
        <v>202</v>
      </c>
      <c r="D371" s="137" t="s">
        <v>6</v>
      </c>
      <c r="E371" s="137" t="s">
        <v>6</v>
      </c>
      <c r="F371" s="135" t="s">
        <v>6</v>
      </c>
      <c r="G371" s="135" t="s">
        <v>6</v>
      </c>
      <c r="H371" s="135" t="s">
        <v>6</v>
      </c>
      <c r="I371" s="135" t="s">
        <v>6</v>
      </c>
      <c r="J371" s="135" t="s">
        <v>203</v>
      </c>
      <c r="K371" s="135" t="s">
        <v>204</v>
      </c>
    </row>
    <row r="372" s="3" customFormat="1" ht="21" customHeight="1" spans="1:11">
      <c r="A372" s="68" t="s">
        <v>205</v>
      </c>
      <c r="B372" s="68">
        <v>12</v>
      </c>
      <c r="C372" s="113" t="s">
        <v>206</v>
      </c>
      <c r="D372" s="121">
        <v>0</v>
      </c>
      <c r="E372" s="121">
        <v>0</v>
      </c>
      <c r="F372" s="121"/>
      <c r="G372" s="121"/>
      <c r="H372" s="121"/>
      <c r="I372" s="68"/>
      <c r="J372" s="68"/>
      <c r="K372" s="56">
        <f t="shared" ref="K372:K394" si="13">SUM(D372:J372)</f>
        <v>0</v>
      </c>
    </row>
    <row r="373" s="3" customFormat="1" ht="21" customHeight="1" spans="1:11">
      <c r="A373" s="116" t="s">
        <v>207</v>
      </c>
      <c r="B373" s="68">
        <v>11.5</v>
      </c>
      <c r="C373" s="117" t="s">
        <v>208</v>
      </c>
      <c r="D373" s="121">
        <v>0</v>
      </c>
      <c r="E373" s="121">
        <v>0</v>
      </c>
      <c r="F373" s="121"/>
      <c r="G373" s="121"/>
      <c r="H373" s="121"/>
      <c r="I373" s="68"/>
      <c r="J373" s="68"/>
      <c r="K373" s="56">
        <f t="shared" si="13"/>
        <v>0</v>
      </c>
    </row>
    <row r="374" s="3" customFormat="1" ht="21" customHeight="1" spans="1:11">
      <c r="A374" s="116"/>
      <c r="B374" s="68"/>
      <c r="C374" s="68" t="s">
        <v>209</v>
      </c>
      <c r="D374" s="121">
        <v>0</v>
      </c>
      <c r="E374" s="121">
        <v>0</v>
      </c>
      <c r="F374" s="121"/>
      <c r="G374" s="121"/>
      <c r="H374" s="121"/>
      <c r="I374" s="68"/>
      <c r="J374" s="68"/>
      <c r="K374" s="56">
        <f t="shared" si="13"/>
        <v>0</v>
      </c>
    </row>
    <row r="375" s="3" customFormat="1" ht="21" customHeight="1" spans="1:11">
      <c r="A375" s="116"/>
      <c r="B375" s="68"/>
      <c r="C375" s="117" t="s">
        <v>210</v>
      </c>
      <c r="D375" s="121">
        <v>0</v>
      </c>
      <c r="E375" s="121">
        <v>0</v>
      </c>
      <c r="F375" s="121"/>
      <c r="G375" s="121"/>
      <c r="H375" s="121"/>
      <c r="I375" s="68"/>
      <c r="J375" s="68"/>
      <c r="K375" s="56">
        <f t="shared" si="13"/>
        <v>0</v>
      </c>
    </row>
    <row r="376" s="3" customFormat="1" ht="21" customHeight="1" spans="1:11">
      <c r="A376" s="79" t="s">
        <v>237</v>
      </c>
      <c r="B376" s="56">
        <v>11.5</v>
      </c>
      <c r="C376" s="61" t="s">
        <v>212</v>
      </c>
      <c r="D376" s="121">
        <v>0</v>
      </c>
      <c r="E376" s="121">
        <v>0</v>
      </c>
      <c r="F376" s="121"/>
      <c r="G376" s="121"/>
      <c r="H376" s="121"/>
      <c r="I376" s="68"/>
      <c r="J376" s="68"/>
      <c r="K376" s="56">
        <f t="shared" si="13"/>
        <v>0</v>
      </c>
    </row>
    <row r="377" s="3" customFormat="1" ht="21" customHeight="1" spans="1:11">
      <c r="A377" s="80"/>
      <c r="B377" s="56"/>
      <c r="C377" s="3" t="s">
        <v>215</v>
      </c>
      <c r="D377" s="138">
        <v>0</v>
      </c>
      <c r="E377" s="139">
        <v>5</v>
      </c>
      <c r="F377" s="121"/>
      <c r="G377" s="121"/>
      <c r="H377" s="121"/>
      <c r="I377" s="68"/>
      <c r="J377" s="68"/>
      <c r="K377" s="56">
        <f t="shared" si="13"/>
        <v>5</v>
      </c>
    </row>
    <row r="378" s="3" customFormat="1" ht="21" customHeight="1" spans="1:11">
      <c r="A378" s="81" t="s">
        <v>238</v>
      </c>
      <c r="B378" s="56"/>
      <c r="C378" s="61" t="s">
        <v>213</v>
      </c>
      <c r="D378" s="140">
        <v>0</v>
      </c>
      <c r="E378" s="121">
        <v>0</v>
      </c>
      <c r="F378" s="121"/>
      <c r="G378" s="121"/>
      <c r="H378" s="121"/>
      <c r="I378" s="68"/>
      <c r="J378" s="68"/>
      <c r="K378" s="56">
        <f t="shared" si="13"/>
        <v>0</v>
      </c>
    </row>
    <row r="379" s="3" customFormat="1" ht="21" customHeight="1" spans="1:11">
      <c r="A379" s="82"/>
      <c r="B379" s="56"/>
      <c r="C379" s="61" t="s">
        <v>216</v>
      </c>
      <c r="D379" s="68">
        <v>0</v>
      </c>
      <c r="E379" s="121">
        <v>0</v>
      </c>
      <c r="F379" s="121"/>
      <c r="G379" s="121"/>
      <c r="H379" s="121"/>
      <c r="I379" s="121"/>
      <c r="J379" s="68"/>
      <c r="K379" s="56">
        <f t="shared" si="13"/>
        <v>0</v>
      </c>
    </row>
    <row r="380" s="3" customFormat="1" ht="21" customHeight="1" spans="1:11">
      <c r="A380" s="84" t="s">
        <v>239</v>
      </c>
      <c r="B380" s="56"/>
      <c r="C380" s="56" t="s">
        <v>214</v>
      </c>
      <c r="D380" s="68">
        <v>0</v>
      </c>
      <c r="E380" s="121">
        <v>10</v>
      </c>
      <c r="F380" s="121"/>
      <c r="G380" s="121"/>
      <c r="H380" s="121"/>
      <c r="I380" s="121"/>
      <c r="J380" s="68"/>
      <c r="K380" s="56">
        <f t="shared" si="13"/>
        <v>10</v>
      </c>
    </row>
    <row r="381" s="3" customFormat="1" ht="21" customHeight="1" spans="1:11">
      <c r="A381" s="68" t="s">
        <v>217</v>
      </c>
      <c r="B381" s="68">
        <v>10.5</v>
      </c>
      <c r="C381" s="68" t="s">
        <v>218</v>
      </c>
      <c r="D381" s="68">
        <v>0</v>
      </c>
      <c r="E381" s="121">
        <v>0</v>
      </c>
      <c r="F381" s="121"/>
      <c r="G381" s="121"/>
      <c r="H381" s="121"/>
      <c r="I381" s="68"/>
      <c r="J381" s="68"/>
      <c r="K381" s="56">
        <f t="shared" si="13"/>
        <v>0</v>
      </c>
    </row>
    <row r="382" s="3" customFormat="1" ht="21" customHeight="1" spans="1:11">
      <c r="A382" s="68"/>
      <c r="B382" s="68"/>
      <c r="C382" s="68" t="s">
        <v>219</v>
      </c>
      <c r="D382" s="68">
        <v>0</v>
      </c>
      <c r="E382" s="121">
        <v>5</v>
      </c>
      <c r="F382" s="121"/>
      <c r="G382" s="121"/>
      <c r="H382" s="121"/>
      <c r="I382" s="68"/>
      <c r="J382" s="68"/>
      <c r="K382" s="56">
        <f t="shared" si="13"/>
        <v>5</v>
      </c>
    </row>
    <row r="383" s="3" customFormat="1" ht="21" customHeight="1" spans="1:11">
      <c r="A383" s="68" t="s">
        <v>220</v>
      </c>
      <c r="B383" s="68">
        <v>11.5</v>
      </c>
      <c r="C383" s="117" t="s">
        <v>221</v>
      </c>
      <c r="D383" s="121">
        <v>5</v>
      </c>
      <c r="E383" s="121">
        <v>0</v>
      </c>
      <c r="F383" s="121"/>
      <c r="G383" s="121"/>
      <c r="H383" s="121"/>
      <c r="I383" s="68"/>
      <c r="J383" s="68"/>
      <c r="K383" s="56">
        <f t="shared" si="13"/>
        <v>5</v>
      </c>
    </row>
    <row r="384" s="3" customFormat="1" ht="21" customHeight="1" spans="1:11">
      <c r="A384" s="68"/>
      <c r="B384" s="68"/>
      <c r="C384" s="117" t="s">
        <v>222</v>
      </c>
      <c r="D384" s="121">
        <v>5</v>
      </c>
      <c r="E384" s="121">
        <v>0</v>
      </c>
      <c r="F384" s="121"/>
      <c r="G384" s="121"/>
      <c r="H384" s="121"/>
      <c r="I384" s="68"/>
      <c r="J384" s="68"/>
      <c r="K384" s="56">
        <f t="shared" si="13"/>
        <v>5</v>
      </c>
    </row>
    <row r="385" s="3" customFormat="1" ht="21" customHeight="1" spans="1:11">
      <c r="A385" s="68"/>
      <c r="B385" s="68"/>
      <c r="C385" s="117" t="s">
        <v>223</v>
      </c>
      <c r="D385" s="121">
        <v>5</v>
      </c>
      <c r="E385" s="121">
        <v>0</v>
      </c>
      <c r="F385" s="121"/>
      <c r="G385" s="121"/>
      <c r="H385" s="121"/>
      <c r="I385" s="68"/>
      <c r="J385" s="68"/>
      <c r="K385" s="56">
        <f t="shared" si="13"/>
        <v>5</v>
      </c>
    </row>
    <row r="386" s="3" customFormat="1" ht="21" customHeight="1" spans="1:11">
      <c r="A386" s="68"/>
      <c r="B386" s="68"/>
      <c r="C386" s="117" t="s">
        <v>224</v>
      </c>
      <c r="D386" s="68">
        <v>0</v>
      </c>
      <c r="E386" s="121">
        <v>5</v>
      </c>
      <c r="F386" s="121"/>
      <c r="G386" s="121"/>
      <c r="H386" s="121"/>
      <c r="I386" s="68"/>
      <c r="J386" s="68"/>
      <c r="K386" s="56">
        <f t="shared" si="13"/>
        <v>5</v>
      </c>
    </row>
    <row r="387" s="3" customFormat="1" ht="21" customHeight="1" spans="1:11">
      <c r="A387" s="119" t="s">
        <v>225</v>
      </c>
      <c r="B387" s="119">
        <v>10.5</v>
      </c>
      <c r="C387" s="68" t="s">
        <v>226</v>
      </c>
      <c r="D387" s="121">
        <v>10</v>
      </c>
      <c r="E387" s="121">
        <v>5</v>
      </c>
      <c r="F387" s="121"/>
      <c r="G387" s="121"/>
      <c r="H387" s="121"/>
      <c r="I387" s="68"/>
      <c r="J387" s="68"/>
      <c r="K387" s="56">
        <f t="shared" si="13"/>
        <v>15</v>
      </c>
    </row>
    <row r="388" s="3" customFormat="1" ht="21" customHeight="1" spans="1:11">
      <c r="A388" s="119"/>
      <c r="B388" s="119"/>
      <c r="C388" s="68" t="s">
        <v>228</v>
      </c>
      <c r="D388" s="68">
        <v>0</v>
      </c>
      <c r="E388" s="121">
        <v>5</v>
      </c>
      <c r="F388" s="121"/>
      <c r="G388" s="121"/>
      <c r="H388" s="121"/>
      <c r="I388" s="68"/>
      <c r="J388" s="68"/>
      <c r="K388" s="56">
        <f t="shared" si="13"/>
        <v>5</v>
      </c>
    </row>
    <row r="389" s="3" customFormat="1" ht="21" customHeight="1" spans="1:11">
      <c r="A389" s="119"/>
      <c r="B389" s="119"/>
      <c r="C389" s="68" t="s">
        <v>227</v>
      </c>
      <c r="D389" s="121">
        <v>5</v>
      </c>
      <c r="E389" s="121">
        <v>0</v>
      </c>
      <c r="F389" s="121"/>
      <c r="G389" s="121"/>
      <c r="H389" s="121"/>
      <c r="I389" s="68"/>
      <c r="J389" s="68"/>
      <c r="K389" s="56">
        <f t="shared" si="13"/>
        <v>5</v>
      </c>
    </row>
    <row r="390" s="3" customFormat="1" ht="21" customHeight="1" spans="1:11">
      <c r="A390" s="119"/>
      <c r="B390" s="119"/>
      <c r="C390" s="68" t="s">
        <v>229</v>
      </c>
      <c r="D390" s="121">
        <v>5</v>
      </c>
      <c r="E390" s="121">
        <v>0</v>
      </c>
      <c r="F390" s="121"/>
      <c r="G390" s="121"/>
      <c r="H390" s="121"/>
      <c r="I390" s="68"/>
      <c r="J390" s="141"/>
      <c r="K390" s="56">
        <f t="shared" si="13"/>
        <v>5</v>
      </c>
    </row>
    <row r="391" s="3" customFormat="1" ht="21" customHeight="1" spans="1:11">
      <c r="A391" s="119"/>
      <c r="B391" s="119"/>
      <c r="C391" s="68" t="s">
        <v>240</v>
      </c>
      <c r="D391" s="121">
        <v>5</v>
      </c>
      <c r="E391" s="121">
        <v>0</v>
      </c>
      <c r="F391" s="121"/>
      <c r="G391" s="121"/>
      <c r="H391" s="121"/>
      <c r="I391" s="68"/>
      <c r="J391" s="141"/>
      <c r="K391" s="56">
        <f t="shared" si="13"/>
        <v>5</v>
      </c>
    </row>
    <row r="392" s="3" customFormat="1" ht="21" customHeight="1" spans="1:11">
      <c r="A392" s="121" t="s">
        <v>230</v>
      </c>
      <c r="B392" s="121">
        <v>10.5</v>
      </c>
      <c r="C392" s="68" t="s">
        <v>231</v>
      </c>
      <c r="D392" s="68">
        <v>10.5</v>
      </c>
      <c r="E392" s="121">
        <v>0</v>
      </c>
      <c r="F392" s="68"/>
      <c r="G392" s="68"/>
      <c r="H392" s="68"/>
      <c r="I392" s="68"/>
      <c r="J392" s="141"/>
      <c r="K392" s="56">
        <f t="shared" si="13"/>
        <v>10.5</v>
      </c>
    </row>
    <row r="393" s="3" customFormat="1" ht="21" customHeight="1" spans="1:11">
      <c r="A393" s="68" t="s">
        <v>232</v>
      </c>
      <c r="B393" s="68">
        <v>12</v>
      </c>
      <c r="C393" s="68" t="s">
        <v>233</v>
      </c>
      <c r="D393" s="68">
        <v>12</v>
      </c>
      <c r="E393" s="68">
        <v>0</v>
      </c>
      <c r="F393" s="68"/>
      <c r="G393" s="68"/>
      <c r="H393" s="68"/>
      <c r="I393" s="68"/>
      <c r="J393" s="141"/>
      <c r="K393" s="56">
        <f t="shared" si="13"/>
        <v>12</v>
      </c>
    </row>
    <row r="394" s="3" customFormat="1" ht="21" customHeight="1" spans="1:11">
      <c r="A394" s="142"/>
      <c r="B394" s="143"/>
      <c r="C394" s="143"/>
      <c r="D394" s="143"/>
      <c r="E394" s="143"/>
      <c r="F394" s="143"/>
      <c r="G394" s="143"/>
      <c r="H394" s="143"/>
      <c r="I394" s="143"/>
      <c r="J394" s="144"/>
      <c r="K394" s="68">
        <f>SUM(K372:K393)</f>
        <v>97.5</v>
      </c>
    </row>
    <row r="395" s="104" customFormat="1"/>
    <row r="396" s="104" customFormat="1"/>
    <row r="397" s="3" customFormat="1" ht="21" customHeight="1" spans="1:11">
      <c r="A397" s="133" t="s">
        <v>234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</row>
    <row r="398" s="3" customFormat="1" ht="21" customHeight="1" spans="1:11">
      <c r="A398" s="134" t="s">
        <v>259</v>
      </c>
      <c r="B398" s="134"/>
      <c r="C398" s="134"/>
      <c r="D398" s="134" t="s">
        <v>262</v>
      </c>
      <c r="E398" s="134"/>
      <c r="F398" s="134"/>
      <c r="G398" s="134"/>
      <c r="H398" s="134"/>
      <c r="I398" s="134"/>
      <c r="J398" s="134"/>
      <c r="K398" s="134"/>
    </row>
    <row r="399" s="3" customFormat="1" ht="21" customHeight="1" spans="1:11">
      <c r="A399" s="135" t="s">
        <v>200</v>
      </c>
      <c r="B399" s="135" t="s">
        <v>201</v>
      </c>
      <c r="C399" s="136" t="s">
        <v>202</v>
      </c>
      <c r="D399" s="137" t="s">
        <v>6</v>
      </c>
      <c r="E399" s="137" t="s">
        <v>6</v>
      </c>
      <c r="F399" s="135" t="s">
        <v>6</v>
      </c>
      <c r="G399" s="135" t="s">
        <v>6</v>
      </c>
      <c r="H399" s="135" t="s">
        <v>6</v>
      </c>
      <c r="I399" s="135" t="s">
        <v>6</v>
      </c>
      <c r="J399" s="135" t="s">
        <v>203</v>
      </c>
      <c r="K399" s="135" t="s">
        <v>204</v>
      </c>
    </row>
    <row r="400" s="3" customFormat="1" ht="21" customHeight="1" spans="1:11">
      <c r="A400" s="68" t="s">
        <v>205</v>
      </c>
      <c r="B400" s="68">
        <v>12</v>
      </c>
      <c r="C400" s="113" t="s">
        <v>206</v>
      </c>
      <c r="D400" s="121">
        <v>12</v>
      </c>
      <c r="E400" s="121">
        <v>0</v>
      </c>
      <c r="F400" s="121"/>
      <c r="G400" s="121"/>
      <c r="H400" s="121"/>
      <c r="I400" s="68"/>
      <c r="J400" s="68"/>
      <c r="K400" s="56">
        <f t="shared" ref="K400:K422" si="14">SUM(D400:J400)</f>
        <v>12</v>
      </c>
    </row>
    <row r="401" s="3" customFormat="1" ht="21" customHeight="1" spans="1:11">
      <c r="A401" s="116" t="s">
        <v>207</v>
      </c>
      <c r="B401" s="68">
        <v>11.5</v>
      </c>
      <c r="C401" s="117" t="s">
        <v>208</v>
      </c>
      <c r="D401" s="121">
        <v>11.5</v>
      </c>
      <c r="E401" s="121">
        <v>0</v>
      </c>
      <c r="F401" s="121"/>
      <c r="G401" s="121"/>
      <c r="H401" s="121"/>
      <c r="I401" s="68"/>
      <c r="J401" s="68"/>
      <c r="K401" s="56">
        <f t="shared" si="14"/>
        <v>11.5</v>
      </c>
    </row>
    <row r="402" s="3" customFormat="1" ht="21" customHeight="1" spans="1:11">
      <c r="A402" s="116"/>
      <c r="B402" s="68"/>
      <c r="C402" s="68" t="s">
        <v>209</v>
      </c>
      <c r="D402" s="121">
        <v>11.5</v>
      </c>
      <c r="E402" s="121">
        <v>0</v>
      </c>
      <c r="F402" s="121"/>
      <c r="G402" s="121"/>
      <c r="H402" s="121"/>
      <c r="I402" s="68"/>
      <c r="J402" s="68"/>
      <c r="K402" s="56">
        <f t="shared" si="14"/>
        <v>11.5</v>
      </c>
    </row>
    <row r="403" s="3" customFormat="1" ht="21" customHeight="1" spans="1:11">
      <c r="A403" s="116"/>
      <c r="B403" s="68"/>
      <c r="C403" s="117" t="s">
        <v>210</v>
      </c>
      <c r="D403" s="121">
        <v>11.5</v>
      </c>
      <c r="E403" s="121">
        <v>0</v>
      </c>
      <c r="F403" s="121"/>
      <c r="G403" s="121"/>
      <c r="H403" s="121"/>
      <c r="I403" s="68"/>
      <c r="J403" s="68"/>
      <c r="K403" s="56">
        <f t="shared" si="14"/>
        <v>11.5</v>
      </c>
    </row>
    <row r="404" s="3" customFormat="1" ht="21" customHeight="1" spans="1:11">
      <c r="A404" s="79" t="s">
        <v>237</v>
      </c>
      <c r="B404" s="56">
        <v>11.5</v>
      </c>
      <c r="C404" s="61" t="s">
        <v>212</v>
      </c>
      <c r="D404" s="121">
        <v>15</v>
      </c>
      <c r="E404" s="121">
        <v>0</v>
      </c>
      <c r="F404" s="121"/>
      <c r="G404" s="121"/>
      <c r="H404" s="121"/>
      <c r="I404" s="68"/>
      <c r="J404" s="68"/>
      <c r="K404" s="56">
        <f t="shared" si="14"/>
        <v>15</v>
      </c>
    </row>
    <row r="405" s="3" customFormat="1" ht="21" customHeight="1" spans="1:11">
      <c r="A405" s="80"/>
      <c r="B405" s="56"/>
      <c r="C405" s="3" t="s">
        <v>215</v>
      </c>
      <c r="D405" s="138">
        <v>11.5</v>
      </c>
      <c r="E405" s="139">
        <v>0</v>
      </c>
      <c r="F405" s="121"/>
      <c r="G405" s="121"/>
      <c r="H405" s="121"/>
      <c r="I405" s="68"/>
      <c r="J405" s="68"/>
      <c r="K405" s="56">
        <f t="shared" si="14"/>
        <v>11.5</v>
      </c>
    </row>
    <row r="406" s="3" customFormat="1" ht="21" customHeight="1" spans="1:11">
      <c r="A406" s="81" t="s">
        <v>238</v>
      </c>
      <c r="B406" s="56"/>
      <c r="C406" s="61" t="s">
        <v>213</v>
      </c>
      <c r="D406" s="140">
        <v>11.5</v>
      </c>
      <c r="E406" s="121">
        <v>0</v>
      </c>
      <c r="F406" s="121"/>
      <c r="G406" s="121"/>
      <c r="H406" s="121"/>
      <c r="I406" s="68"/>
      <c r="J406" s="68"/>
      <c r="K406" s="56">
        <f t="shared" si="14"/>
        <v>11.5</v>
      </c>
    </row>
    <row r="407" s="3" customFormat="1" ht="21" customHeight="1" spans="1:11">
      <c r="A407" s="82"/>
      <c r="B407" s="56"/>
      <c r="C407" s="61" t="s">
        <v>216</v>
      </c>
      <c r="D407" s="68">
        <v>0</v>
      </c>
      <c r="E407" s="121">
        <v>15</v>
      </c>
      <c r="F407" s="121"/>
      <c r="G407" s="121"/>
      <c r="H407" s="121"/>
      <c r="I407" s="121"/>
      <c r="J407" s="68"/>
      <c r="K407" s="56">
        <f t="shared" si="14"/>
        <v>15</v>
      </c>
    </row>
    <row r="408" s="3" customFormat="1" ht="21" customHeight="1" spans="1:11">
      <c r="A408" s="84" t="s">
        <v>239</v>
      </c>
      <c r="B408" s="56"/>
      <c r="C408" s="56" t="s">
        <v>214</v>
      </c>
      <c r="D408" s="68">
        <v>11.5</v>
      </c>
      <c r="E408" s="121">
        <v>15</v>
      </c>
      <c r="F408" s="121"/>
      <c r="G408" s="121"/>
      <c r="H408" s="121"/>
      <c r="I408" s="121"/>
      <c r="J408" s="68"/>
      <c r="K408" s="56">
        <f t="shared" si="14"/>
        <v>26.5</v>
      </c>
    </row>
    <row r="409" s="3" customFormat="1" ht="21" customHeight="1" spans="1:11">
      <c r="A409" s="68" t="s">
        <v>217</v>
      </c>
      <c r="B409" s="68">
        <v>10.5</v>
      </c>
      <c r="C409" s="68" t="s">
        <v>218</v>
      </c>
      <c r="D409" s="68">
        <v>0</v>
      </c>
      <c r="E409" s="121">
        <v>15</v>
      </c>
      <c r="F409" s="121"/>
      <c r="G409" s="121"/>
      <c r="H409" s="121"/>
      <c r="I409" s="68"/>
      <c r="J409" s="68"/>
      <c r="K409" s="56">
        <f t="shared" si="14"/>
        <v>15</v>
      </c>
    </row>
    <row r="410" s="3" customFormat="1" ht="21" customHeight="1" spans="1:11">
      <c r="A410" s="68"/>
      <c r="B410" s="68"/>
      <c r="C410" s="68" t="s">
        <v>219</v>
      </c>
      <c r="D410" s="68">
        <v>0</v>
      </c>
      <c r="E410" s="121">
        <v>15</v>
      </c>
      <c r="F410" s="121"/>
      <c r="G410" s="121"/>
      <c r="H410" s="121"/>
      <c r="I410" s="68"/>
      <c r="J410" s="68"/>
      <c r="K410" s="56">
        <f t="shared" si="14"/>
        <v>15</v>
      </c>
    </row>
    <row r="411" s="3" customFormat="1" ht="21" customHeight="1" spans="1:11">
      <c r="A411" s="68" t="s">
        <v>220</v>
      </c>
      <c r="B411" s="68">
        <v>11.5</v>
      </c>
      <c r="C411" s="117" t="s">
        <v>221</v>
      </c>
      <c r="D411" s="121">
        <v>20</v>
      </c>
      <c r="E411" s="121">
        <v>0</v>
      </c>
      <c r="F411" s="121"/>
      <c r="G411" s="121"/>
      <c r="H411" s="121"/>
      <c r="I411" s="68"/>
      <c r="J411" s="68"/>
      <c r="K411" s="56">
        <f t="shared" si="14"/>
        <v>20</v>
      </c>
    </row>
    <row r="412" s="3" customFormat="1" ht="21" customHeight="1" spans="1:11">
      <c r="A412" s="68"/>
      <c r="B412" s="68"/>
      <c r="C412" s="117" t="s">
        <v>222</v>
      </c>
      <c r="D412" s="121">
        <v>10</v>
      </c>
      <c r="E412" s="121">
        <v>0</v>
      </c>
      <c r="F412" s="121"/>
      <c r="G412" s="121"/>
      <c r="H412" s="121"/>
      <c r="I412" s="68"/>
      <c r="J412" s="68"/>
      <c r="K412" s="56">
        <f t="shared" si="14"/>
        <v>10</v>
      </c>
    </row>
    <row r="413" s="3" customFormat="1" ht="21" customHeight="1" spans="1:11">
      <c r="A413" s="68"/>
      <c r="B413" s="68"/>
      <c r="C413" s="117" t="s">
        <v>223</v>
      </c>
      <c r="D413" s="121">
        <v>10</v>
      </c>
      <c r="E413" s="121">
        <v>15</v>
      </c>
      <c r="F413" s="121"/>
      <c r="G413" s="121"/>
      <c r="H413" s="121"/>
      <c r="I413" s="68"/>
      <c r="J413" s="68"/>
      <c r="K413" s="56">
        <f t="shared" si="14"/>
        <v>25</v>
      </c>
    </row>
    <row r="414" s="3" customFormat="1" ht="21" customHeight="1" spans="1:11">
      <c r="A414" s="68"/>
      <c r="B414" s="68"/>
      <c r="C414" s="117" t="s">
        <v>224</v>
      </c>
      <c r="D414" s="68">
        <v>0</v>
      </c>
      <c r="E414" s="121">
        <v>15</v>
      </c>
      <c r="F414" s="121"/>
      <c r="G414" s="121"/>
      <c r="H414" s="121"/>
      <c r="I414" s="68"/>
      <c r="J414" s="68"/>
      <c r="K414" s="56">
        <f t="shared" si="14"/>
        <v>15</v>
      </c>
    </row>
    <row r="415" s="3" customFormat="1" ht="21" customHeight="1" spans="1:11">
      <c r="A415" s="119" t="s">
        <v>225</v>
      </c>
      <c r="B415" s="119">
        <v>10.5</v>
      </c>
      <c r="C415" s="68" t="s">
        <v>226</v>
      </c>
      <c r="D415" s="121">
        <v>11.5</v>
      </c>
      <c r="E415" s="121">
        <v>5</v>
      </c>
      <c r="F415" s="121"/>
      <c r="G415" s="121"/>
      <c r="H415" s="121"/>
      <c r="I415" s="68"/>
      <c r="J415" s="68"/>
      <c r="K415" s="56">
        <f t="shared" si="14"/>
        <v>16.5</v>
      </c>
    </row>
    <row r="416" s="3" customFormat="1" ht="21" customHeight="1" spans="1:11">
      <c r="A416" s="119"/>
      <c r="B416" s="119"/>
      <c r="C416" s="68" t="s">
        <v>228</v>
      </c>
      <c r="D416" s="68">
        <v>0</v>
      </c>
      <c r="E416" s="121">
        <v>15</v>
      </c>
      <c r="F416" s="121"/>
      <c r="G416" s="121"/>
      <c r="H416" s="121"/>
      <c r="I416" s="68"/>
      <c r="J416" s="68"/>
      <c r="K416" s="56">
        <f t="shared" si="14"/>
        <v>15</v>
      </c>
    </row>
    <row r="417" s="3" customFormat="1" ht="21" customHeight="1" spans="1:11">
      <c r="A417" s="119"/>
      <c r="B417" s="119"/>
      <c r="C417" s="68" t="s">
        <v>227</v>
      </c>
      <c r="D417" s="121">
        <v>11.5</v>
      </c>
      <c r="E417" s="121">
        <v>0</v>
      </c>
      <c r="F417" s="121"/>
      <c r="G417" s="121"/>
      <c r="H417" s="121"/>
      <c r="I417" s="68"/>
      <c r="J417" s="68"/>
      <c r="K417" s="56">
        <f t="shared" si="14"/>
        <v>11.5</v>
      </c>
    </row>
    <row r="418" s="3" customFormat="1" ht="21" customHeight="1" spans="1:11">
      <c r="A418" s="119"/>
      <c r="B418" s="119"/>
      <c r="C418" s="68" t="s">
        <v>229</v>
      </c>
      <c r="D418" s="121">
        <v>11.5</v>
      </c>
      <c r="E418" s="121">
        <v>5</v>
      </c>
      <c r="F418" s="121"/>
      <c r="G418" s="121"/>
      <c r="H418" s="121"/>
      <c r="I418" s="68"/>
      <c r="J418" s="141"/>
      <c r="K418" s="56">
        <f t="shared" si="14"/>
        <v>16.5</v>
      </c>
    </row>
    <row r="419" s="3" customFormat="1" ht="21" customHeight="1" spans="1:11">
      <c r="A419" s="119"/>
      <c r="B419" s="119"/>
      <c r="C419" s="68" t="s">
        <v>240</v>
      </c>
      <c r="D419" s="121">
        <v>12</v>
      </c>
      <c r="E419" s="121">
        <v>0</v>
      </c>
      <c r="F419" s="121"/>
      <c r="G419" s="121"/>
      <c r="H419" s="121"/>
      <c r="I419" s="68"/>
      <c r="J419" s="141"/>
      <c r="K419" s="56">
        <f t="shared" si="14"/>
        <v>12</v>
      </c>
    </row>
    <row r="420" s="3" customFormat="1" ht="21" customHeight="1" spans="1:11">
      <c r="A420" s="121" t="s">
        <v>230</v>
      </c>
      <c r="B420" s="121">
        <v>10.5</v>
      </c>
      <c r="C420" s="68" t="s">
        <v>231</v>
      </c>
      <c r="D420" s="68">
        <v>10</v>
      </c>
      <c r="E420" s="121">
        <v>10</v>
      </c>
      <c r="F420" s="68"/>
      <c r="G420" s="68"/>
      <c r="H420" s="68"/>
      <c r="I420" s="68"/>
      <c r="J420" s="141"/>
      <c r="K420" s="56">
        <f t="shared" si="14"/>
        <v>20</v>
      </c>
    </row>
    <row r="421" s="3" customFormat="1" ht="21" customHeight="1" spans="1:11">
      <c r="A421" s="68" t="s">
        <v>232</v>
      </c>
      <c r="B421" s="68">
        <v>12</v>
      </c>
      <c r="C421" s="68" t="s">
        <v>233</v>
      </c>
      <c r="D421" s="68">
        <v>12</v>
      </c>
      <c r="E421" s="68">
        <v>5</v>
      </c>
      <c r="F421" s="68"/>
      <c r="G421" s="68"/>
      <c r="H421" s="68"/>
      <c r="I421" s="68"/>
      <c r="J421" s="141"/>
      <c r="K421" s="56">
        <f t="shared" si="14"/>
        <v>17</v>
      </c>
    </row>
    <row r="422" s="3" customFormat="1" ht="21" customHeight="1" spans="1:11">
      <c r="A422" s="142"/>
      <c r="B422" s="143"/>
      <c r="C422" s="143"/>
      <c r="D422" s="143"/>
      <c r="E422" s="143"/>
      <c r="F422" s="143"/>
      <c r="G422" s="143"/>
      <c r="H422" s="143"/>
      <c r="I422" s="143"/>
      <c r="J422" s="144"/>
      <c r="K422" s="68">
        <f>SUM(K400:K421)</f>
        <v>334.5</v>
      </c>
    </row>
    <row r="423" s="104" customFormat="1"/>
    <row r="424" s="104" customFormat="1" ht="12" customHeight="1"/>
    <row r="425" s="3" customFormat="1" ht="21" customHeight="1" spans="1:11">
      <c r="A425" s="71" t="s">
        <v>197</v>
      </c>
      <c r="B425" s="71"/>
      <c r="C425" s="71"/>
      <c r="D425" s="71"/>
      <c r="E425" s="71"/>
      <c r="F425" s="71"/>
      <c r="G425" s="71"/>
      <c r="H425" s="71"/>
      <c r="I425" s="71"/>
      <c r="J425" s="71"/>
      <c r="K425" s="71"/>
    </row>
    <row r="426" s="3" customFormat="1" ht="21" customHeight="1" spans="1:11">
      <c r="A426" s="72" t="s">
        <v>247</v>
      </c>
      <c r="B426" s="72"/>
      <c r="C426" s="72"/>
      <c r="D426" s="73" t="s">
        <v>263</v>
      </c>
      <c r="E426" s="72"/>
      <c r="F426" s="72"/>
      <c r="G426" s="72"/>
      <c r="H426" s="72"/>
      <c r="I426" s="72"/>
      <c r="J426" s="72"/>
      <c r="K426" s="72"/>
    </row>
    <row r="427" s="3" customFormat="1" ht="21" customHeight="1" spans="1:11">
      <c r="A427" s="74" t="s">
        <v>200</v>
      </c>
      <c r="B427" s="74" t="s">
        <v>201</v>
      </c>
      <c r="C427" s="75" t="s">
        <v>202</v>
      </c>
      <c r="D427" s="76" t="s">
        <v>6</v>
      </c>
      <c r="E427" s="76" t="s">
        <v>6</v>
      </c>
      <c r="F427" s="74" t="s">
        <v>6</v>
      </c>
      <c r="G427" s="74" t="s">
        <v>6</v>
      </c>
      <c r="H427" s="74" t="s">
        <v>6</v>
      </c>
      <c r="I427" s="74" t="s">
        <v>6</v>
      </c>
      <c r="J427" s="74" t="s">
        <v>203</v>
      </c>
      <c r="K427" s="74" t="s">
        <v>204</v>
      </c>
    </row>
    <row r="428" s="3" customFormat="1" ht="21" customHeight="1" spans="1:11">
      <c r="A428" s="56" t="s">
        <v>205</v>
      </c>
      <c r="B428" s="56">
        <v>12</v>
      </c>
      <c r="C428" s="54" t="s">
        <v>206</v>
      </c>
      <c r="D428" s="154">
        <v>12</v>
      </c>
      <c r="E428" s="154">
        <v>10</v>
      </c>
      <c r="F428" s="100"/>
      <c r="G428" s="77"/>
      <c r="H428" s="77"/>
      <c r="I428" s="58"/>
      <c r="J428" s="47"/>
      <c r="K428" s="56">
        <f t="shared" ref="K428:K450" si="15">SUM(D428:J428)</f>
        <v>22</v>
      </c>
    </row>
    <row r="429" s="3" customFormat="1" ht="21" customHeight="1" spans="1:11">
      <c r="A429" s="78" t="s">
        <v>207</v>
      </c>
      <c r="B429" s="56">
        <v>11.5</v>
      </c>
      <c r="C429" s="61" t="s">
        <v>208</v>
      </c>
      <c r="D429" s="154">
        <v>11.5</v>
      </c>
      <c r="E429" s="154">
        <v>10</v>
      </c>
      <c r="F429" s="100"/>
      <c r="G429" s="77"/>
      <c r="H429" s="77"/>
      <c r="I429" s="58"/>
      <c r="J429" s="47"/>
      <c r="K429" s="56">
        <f t="shared" si="15"/>
        <v>21.5</v>
      </c>
    </row>
    <row r="430" s="3" customFormat="1" ht="21" customHeight="1" spans="1:11">
      <c r="A430" s="78"/>
      <c r="B430" s="56"/>
      <c r="C430" s="56" t="s">
        <v>209</v>
      </c>
      <c r="D430" s="154">
        <v>11.5</v>
      </c>
      <c r="E430" s="154">
        <v>10</v>
      </c>
      <c r="F430" s="100"/>
      <c r="G430" s="77"/>
      <c r="H430" s="77"/>
      <c r="I430" s="58"/>
      <c r="J430" s="47"/>
      <c r="K430" s="56">
        <f t="shared" si="15"/>
        <v>21.5</v>
      </c>
    </row>
    <row r="431" s="3" customFormat="1" ht="21" customHeight="1" spans="1:11">
      <c r="A431" s="78"/>
      <c r="B431" s="56"/>
      <c r="C431" s="61" t="s">
        <v>210</v>
      </c>
      <c r="D431" s="154">
        <v>11.5</v>
      </c>
      <c r="E431" s="154">
        <v>10</v>
      </c>
      <c r="F431" s="100"/>
      <c r="G431" s="77"/>
      <c r="H431" s="77"/>
      <c r="I431" s="58"/>
      <c r="J431" s="47"/>
      <c r="K431" s="56">
        <f t="shared" si="15"/>
        <v>21.5</v>
      </c>
    </row>
    <row r="432" s="3" customFormat="1" ht="21" customHeight="1" spans="1:11">
      <c r="A432" s="79" t="s">
        <v>237</v>
      </c>
      <c r="B432" s="56">
        <v>11.5</v>
      </c>
      <c r="C432" s="61" t="s">
        <v>212</v>
      </c>
      <c r="D432" s="156">
        <v>11.5</v>
      </c>
      <c r="E432" s="154">
        <v>11</v>
      </c>
      <c r="F432" s="100"/>
      <c r="G432" s="77"/>
      <c r="H432" s="77"/>
      <c r="I432" s="58"/>
      <c r="J432" s="47"/>
      <c r="K432" s="56">
        <f t="shared" si="15"/>
        <v>22.5</v>
      </c>
    </row>
    <row r="433" s="3" customFormat="1" ht="21" customHeight="1" spans="1:11">
      <c r="A433" s="80"/>
      <c r="B433" s="56"/>
      <c r="C433" s="3" t="s">
        <v>215</v>
      </c>
      <c r="D433" s="156">
        <v>20</v>
      </c>
      <c r="E433" s="154">
        <v>11</v>
      </c>
      <c r="F433" s="100"/>
      <c r="G433" s="77"/>
      <c r="H433" s="77"/>
      <c r="I433" s="58"/>
      <c r="J433" s="47"/>
      <c r="K433" s="56">
        <f t="shared" si="15"/>
        <v>31</v>
      </c>
    </row>
    <row r="434" s="3" customFormat="1" ht="21" customHeight="1" spans="1:11">
      <c r="A434" s="81" t="s">
        <v>238</v>
      </c>
      <c r="B434" s="56"/>
      <c r="C434" s="61" t="s">
        <v>213</v>
      </c>
      <c r="D434" s="156">
        <v>20</v>
      </c>
      <c r="E434" s="154">
        <v>0</v>
      </c>
      <c r="F434" s="100"/>
      <c r="G434" s="77"/>
      <c r="H434" s="77"/>
      <c r="I434" s="58"/>
      <c r="J434" s="47"/>
      <c r="K434" s="56">
        <f t="shared" si="15"/>
        <v>20</v>
      </c>
    </row>
    <row r="435" s="3" customFormat="1" ht="21" customHeight="1" spans="1:11">
      <c r="A435" s="82"/>
      <c r="B435" s="56"/>
      <c r="C435" s="61" t="s">
        <v>216</v>
      </c>
      <c r="D435" s="156">
        <v>20</v>
      </c>
      <c r="E435" s="154">
        <v>0</v>
      </c>
      <c r="F435" s="100"/>
      <c r="G435" s="77"/>
      <c r="H435" s="77"/>
      <c r="I435" s="83"/>
      <c r="J435" s="47"/>
      <c r="K435" s="56">
        <f t="shared" si="15"/>
        <v>20</v>
      </c>
    </row>
    <row r="436" s="3" customFormat="1" ht="21" customHeight="1" spans="1:11">
      <c r="A436" s="84" t="s">
        <v>239</v>
      </c>
      <c r="B436" s="56"/>
      <c r="C436" s="56" t="s">
        <v>214</v>
      </c>
      <c r="D436" s="156">
        <v>20</v>
      </c>
      <c r="E436" s="154">
        <v>0</v>
      </c>
      <c r="F436" s="100"/>
      <c r="G436" s="77"/>
      <c r="H436" s="77"/>
      <c r="I436" s="83"/>
      <c r="J436" s="47"/>
      <c r="K436" s="56">
        <f t="shared" si="15"/>
        <v>20</v>
      </c>
    </row>
    <row r="437" s="3" customFormat="1" ht="21" customHeight="1" spans="1:11">
      <c r="A437" s="56" t="s">
        <v>217</v>
      </c>
      <c r="B437" s="56">
        <v>10.5</v>
      </c>
      <c r="C437" s="56" t="s">
        <v>218</v>
      </c>
      <c r="D437" s="156">
        <v>20</v>
      </c>
      <c r="E437" s="154">
        <v>0</v>
      </c>
      <c r="F437" s="100"/>
      <c r="G437" s="77"/>
      <c r="H437" s="77"/>
      <c r="I437" s="58"/>
      <c r="J437" s="47"/>
      <c r="K437" s="56">
        <f t="shared" si="15"/>
        <v>20</v>
      </c>
    </row>
    <row r="438" s="3" customFormat="1" ht="21" customHeight="1" spans="1:11">
      <c r="A438" s="56"/>
      <c r="B438" s="56"/>
      <c r="C438" s="56" t="s">
        <v>219</v>
      </c>
      <c r="D438" s="156">
        <v>20</v>
      </c>
      <c r="E438" s="154">
        <v>0</v>
      </c>
      <c r="F438" s="100"/>
      <c r="G438" s="77"/>
      <c r="H438" s="77"/>
      <c r="I438" s="58"/>
      <c r="J438" s="47"/>
      <c r="K438" s="56">
        <f t="shared" si="15"/>
        <v>20</v>
      </c>
    </row>
    <row r="439" s="3" customFormat="1" ht="21" customHeight="1" spans="1:11">
      <c r="A439" s="56" t="s">
        <v>220</v>
      </c>
      <c r="B439" s="56">
        <v>11.5</v>
      </c>
      <c r="C439" s="61" t="s">
        <v>221</v>
      </c>
      <c r="D439" s="154">
        <v>21.5</v>
      </c>
      <c r="E439" s="154">
        <v>20</v>
      </c>
      <c r="F439" s="100"/>
      <c r="G439" s="77"/>
      <c r="H439" s="77"/>
      <c r="I439" s="58"/>
      <c r="J439" s="47"/>
      <c r="K439" s="56">
        <f t="shared" si="15"/>
        <v>41.5</v>
      </c>
    </row>
    <row r="440" s="3" customFormat="1" ht="21" customHeight="1" spans="1:11">
      <c r="A440" s="56"/>
      <c r="B440" s="56"/>
      <c r="C440" s="61" t="s">
        <v>222</v>
      </c>
      <c r="D440" s="154">
        <v>20</v>
      </c>
      <c r="E440" s="154">
        <v>5</v>
      </c>
      <c r="F440" s="100"/>
      <c r="G440" s="77"/>
      <c r="H440" s="77"/>
      <c r="I440" s="58"/>
      <c r="J440" s="47"/>
      <c r="K440" s="56">
        <f t="shared" si="15"/>
        <v>25</v>
      </c>
    </row>
    <row r="441" s="3" customFormat="1" ht="21" customHeight="1" spans="1:11">
      <c r="A441" s="56"/>
      <c r="B441" s="56"/>
      <c r="C441" s="61" t="s">
        <v>223</v>
      </c>
      <c r="D441" s="154">
        <v>29</v>
      </c>
      <c r="E441" s="154">
        <v>5</v>
      </c>
      <c r="F441" s="100"/>
      <c r="G441" s="77"/>
      <c r="H441" s="77"/>
      <c r="I441" s="58"/>
      <c r="J441" s="47"/>
      <c r="K441" s="56">
        <f t="shared" si="15"/>
        <v>34</v>
      </c>
    </row>
    <row r="442" s="3" customFormat="1" ht="21" customHeight="1" spans="1:11">
      <c r="A442" s="56"/>
      <c r="B442" s="56"/>
      <c r="C442" s="61" t="s">
        <v>224</v>
      </c>
      <c r="D442" s="154">
        <v>29</v>
      </c>
      <c r="E442" s="154">
        <v>70</v>
      </c>
      <c r="F442" s="100"/>
      <c r="G442" s="77"/>
      <c r="H442" s="77"/>
      <c r="I442" s="58"/>
      <c r="J442" s="47"/>
      <c r="K442" s="56">
        <f t="shared" si="15"/>
        <v>99</v>
      </c>
    </row>
    <row r="443" s="3" customFormat="1" ht="21" customHeight="1" spans="1:11">
      <c r="A443" s="85" t="s">
        <v>225</v>
      </c>
      <c r="B443" s="85">
        <v>10.5</v>
      </c>
      <c r="C443" s="56" t="s">
        <v>226</v>
      </c>
      <c r="D443" s="154">
        <v>25.5</v>
      </c>
      <c r="E443" s="154">
        <v>5</v>
      </c>
      <c r="F443" s="100"/>
      <c r="G443" s="77"/>
      <c r="H443" s="77"/>
      <c r="I443" s="58"/>
      <c r="J443" s="47"/>
      <c r="K443" s="56">
        <f t="shared" si="15"/>
        <v>30.5</v>
      </c>
    </row>
    <row r="444" s="3" customFormat="1" ht="21" customHeight="1" spans="1:11">
      <c r="A444" s="85"/>
      <c r="B444" s="85"/>
      <c r="C444" s="56" t="s">
        <v>228</v>
      </c>
      <c r="D444" s="156">
        <v>20</v>
      </c>
      <c r="E444" s="154">
        <v>0</v>
      </c>
      <c r="F444" s="100"/>
      <c r="G444" s="77"/>
      <c r="H444" s="77"/>
      <c r="I444" s="58"/>
      <c r="J444" s="47"/>
      <c r="K444" s="56">
        <f t="shared" si="15"/>
        <v>20</v>
      </c>
    </row>
    <row r="445" s="3" customFormat="1" ht="21" customHeight="1" spans="1:11">
      <c r="A445" s="85"/>
      <c r="B445" s="85"/>
      <c r="C445" s="56" t="s">
        <v>227</v>
      </c>
      <c r="D445" s="154">
        <v>25.5</v>
      </c>
      <c r="E445" s="154">
        <v>0</v>
      </c>
      <c r="F445" s="100"/>
      <c r="G445" s="77"/>
      <c r="H445" s="77"/>
      <c r="I445" s="58"/>
      <c r="J445" s="47"/>
      <c r="K445" s="56">
        <f t="shared" si="15"/>
        <v>25.5</v>
      </c>
    </row>
    <row r="446" s="3" customFormat="1" ht="21" customHeight="1" spans="1:11">
      <c r="A446" s="85"/>
      <c r="B446" s="85"/>
      <c r="C446" s="56" t="s">
        <v>229</v>
      </c>
      <c r="D446" s="154">
        <v>25.5</v>
      </c>
      <c r="E446" s="154">
        <v>5</v>
      </c>
      <c r="F446" s="100"/>
      <c r="G446" s="77"/>
      <c r="H446" s="77"/>
      <c r="I446" s="58"/>
      <c r="J446" s="58"/>
      <c r="K446" s="56">
        <f t="shared" si="15"/>
        <v>30.5</v>
      </c>
    </row>
    <row r="447" s="3" customFormat="1" ht="21" customHeight="1" spans="1:11">
      <c r="A447" s="85"/>
      <c r="B447" s="85"/>
      <c r="C447" s="56" t="s">
        <v>240</v>
      </c>
      <c r="D447" s="154">
        <v>25.5</v>
      </c>
      <c r="E447" s="154">
        <v>0</v>
      </c>
      <c r="F447" s="100"/>
      <c r="G447" s="77"/>
      <c r="H447" s="77"/>
      <c r="I447" s="58"/>
      <c r="J447" s="58"/>
      <c r="K447" s="56">
        <f t="shared" si="15"/>
        <v>25.5</v>
      </c>
    </row>
    <row r="448" s="3" customFormat="1" ht="21" customHeight="1" spans="1:11">
      <c r="A448" s="86" t="s">
        <v>230</v>
      </c>
      <c r="B448" s="86">
        <v>10.5</v>
      </c>
      <c r="C448" s="56" t="s">
        <v>231</v>
      </c>
      <c r="D448" s="156">
        <v>10.5</v>
      </c>
      <c r="E448" s="156">
        <v>10</v>
      </c>
      <c r="F448" s="100"/>
      <c r="G448" s="77"/>
      <c r="H448" s="77"/>
      <c r="I448" s="58"/>
      <c r="J448" s="58"/>
      <c r="K448" s="56">
        <f t="shared" si="15"/>
        <v>20.5</v>
      </c>
    </row>
    <row r="449" s="3" customFormat="1" ht="21" customHeight="1" spans="1:11">
      <c r="A449" s="56" t="s">
        <v>232</v>
      </c>
      <c r="B449" s="56">
        <v>12</v>
      </c>
      <c r="C449" s="56" t="s">
        <v>233</v>
      </c>
      <c r="D449" s="156">
        <v>12</v>
      </c>
      <c r="E449" s="156">
        <v>10</v>
      </c>
      <c r="F449" s="54"/>
      <c r="G449" s="77"/>
      <c r="H449" s="77"/>
      <c r="I449" s="58"/>
      <c r="J449" s="58"/>
      <c r="K449" s="56">
        <f t="shared" si="15"/>
        <v>22</v>
      </c>
    </row>
    <row r="450" s="3" customFormat="1" ht="21" customHeight="1" spans="1:11">
      <c r="A450" s="61"/>
      <c r="B450" s="87"/>
      <c r="C450" s="87"/>
      <c r="D450" s="65"/>
      <c r="E450" s="65"/>
      <c r="F450" s="65"/>
      <c r="G450" s="65"/>
      <c r="H450" s="65"/>
      <c r="I450" s="65"/>
      <c r="J450" s="65"/>
      <c r="K450" s="47">
        <f>SUM(K428:K449)</f>
        <v>614</v>
      </c>
    </row>
    <row r="451" s="104" customFormat="1"/>
    <row r="452" s="104" customFormat="1"/>
  </sheetData>
  <mergeCells count="226">
    <mergeCell ref="A1:K1"/>
    <mergeCell ref="A2:C2"/>
    <mergeCell ref="D2:K2"/>
    <mergeCell ref="A28:K28"/>
    <mergeCell ref="A29:C29"/>
    <mergeCell ref="D29:K29"/>
    <mergeCell ref="A56:K56"/>
    <mergeCell ref="A57:C57"/>
    <mergeCell ref="D57:K57"/>
    <mergeCell ref="A85:K85"/>
    <mergeCell ref="A86:C86"/>
    <mergeCell ref="D86:K86"/>
    <mergeCell ref="A110:J110"/>
    <mergeCell ref="A113:K113"/>
    <mergeCell ref="A114:C114"/>
    <mergeCell ref="D114:K114"/>
    <mergeCell ref="A141:K141"/>
    <mergeCell ref="A142:C142"/>
    <mergeCell ref="D142:K142"/>
    <mergeCell ref="A166:J166"/>
    <mergeCell ref="A169:K169"/>
    <mergeCell ref="A170:C170"/>
    <mergeCell ref="D170:K170"/>
    <mergeCell ref="A194:J194"/>
    <mergeCell ref="A197:K197"/>
    <mergeCell ref="A198:C198"/>
    <mergeCell ref="D198:K198"/>
    <mergeCell ref="A226:K226"/>
    <mergeCell ref="A227:C227"/>
    <mergeCell ref="D227:K227"/>
    <mergeCell ref="A255:K255"/>
    <mergeCell ref="A256:C256"/>
    <mergeCell ref="D256:K256"/>
    <mergeCell ref="A284:K284"/>
    <mergeCell ref="A285:C285"/>
    <mergeCell ref="D285:K285"/>
    <mergeCell ref="A309:J309"/>
    <mergeCell ref="A312:K312"/>
    <mergeCell ref="A313:C313"/>
    <mergeCell ref="D313:K313"/>
    <mergeCell ref="A341:K341"/>
    <mergeCell ref="A342:C342"/>
    <mergeCell ref="D342:K342"/>
    <mergeCell ref="A369:K369"/>
    <mergeCell ref="A370:C370"/>
    <mergeCell ref="D370:K370"/>
    <mergeCell ref="A397:K397"/>
    <mergeCell ref="A398:C398"/>
    <mergeCell ref="D398:K398"/>
    <mergeCell ref="A425:K425"/>
    <mergeCell ref="A426:C426"/>
    <mergeCell ref="D426:K426"/>
    <mergeCell ref="A5:A7"/>
    <mergeCell ref="A8:A12"/>
    <mergeCell ref="A13:A14"/>
    <mergeCell ref="A15:A18"/>
    <mergeCell ref="A19:A22"/>
    <mergeCell ref="A32:A34"/>
    <mergeCell ref="A35:A36"/>
    <mergeCell ref="A37:A38"/>
    <mergeCell ref="A40:A41"/>
    <mergeCell ref="A42:A45"/>
    <mergeCell ref="A46:A50"/>
    <mergeCell ref="A60:A62"/>
    <mergeCell ref="A63:A64"/>
    <mergeCell ref="A65:A66"/>
    <mergeCell ref="A68:A69"/>
    <mergeCell ref="A70:A73"/>
    <mergeCell ref="A74:A76"/>
    <mergeCell ref="A89:A91"/>
    <mergeCell ref="A92:A93"/>
    <mergeCell ref="A94:A95"/>
    <mergeCell ref="A97:A98"/>
    <mergeCell ref="A99:A102"/>
    <mergeCell ref="A103:A105"/>
    <mergeCell ref="A117:A119"/>
    <mergeCell ref="A120:A121"/>
    <mergeCell ref="A122:A123"/>
    <mergeCell ref="A125:A126"/>
    <mergeCell ref="A127:A130"/>
    <mergeCell ref="A131:A133"/>
    <mergeCell ref="A145:A147"/>
    <mergeCell ref="A148:A149"/>
    <mergeCell ref="A150:A151"/>
    <mergeCell ref="A153:A154"/>
    <mergeCell ref="A155:A158"/>
    <mergeCell ref="A159:A163"/>
    <mergeCell ref="A173:A175"/>
    <mergeCell ref="A176:A177"/>
    <mergeCell ref="A178:A179"/>
    <mergeCell ref="A181:A182"/>
    <mergeCell ref="A183:A186"/>
    <mergeCell ref="A187:A191"/>
    <mergeCell ref="A201:A203"/>
    <mergeCell ref="A204:A205"/>
    <mergeCell ref="A206:A207"/>
    <mergeCell ref="A209:A210"/>
    <mergeCell ref="A211:A214"/>
    <mergeCell ref="A215:A220"/>
    <mergeCell ref="A230:A232"/>
    <mergeCell ref="A233:A237"/>
    <mergeCell ref="A238:A239"/>
    <mergeCell ref="A240:A243"/>
    <mergeCell ref="A244:A249"/>
    <mergeCell ref="A259:A261"/>
    <mergeCell ref="A262:A263"/>
    <mergeCell ref="A264:A265"/>
    <mergeCell ref="A267:A268"/>
    <mergeCell ref="A269:A272"/>
    <mergeCell ref="A273:A278"/>
    <mergeCell ref="A288:A290"/>
    <mergeCell ref="A291:A292"/>
    <mergeCell ref="A293:A294"/>
    <mergeCell ref="A296:A297"/>
    <mergeCell ref="A298:A301"/>
    <mergeCell ref="A302:A304"/>
    <mergeCell ref="A316:A318"/>
    <mergeCell ref="A319:A320"/>
    <mergeCell ref="A321:A322"/>
    <mergeCell ref="A324:A325"/>
    <mergeCell ref="A326:A329"/>
    <mergeCell ref="A330:A334"/>
    <mergeCell ref="A345:A347"/>
    <mergeCell ref="A348:A349"/>
    <mergeCell ref="A350:A351"/>
    <mergeCell ref="A353:A354"/>
    <mergeCell ref="A355:A358"/>
    <mergeCell ref="A359:A363"/>
    <mergeCell ref="A373:A375"/>
    <mergeCell ref="A376:A377"/>
    <mergeCell ref="A378:A379"/>
    <mergeCell ref="A381:A382"/>
    <mergeCell ref="A383:A386"/>
    <mergeCell ref="A387:A389"/>
    <mergeCell ref="A401:A403"/>
    <mergeCell ref="A404:A405"/>
    <mergeCell ref="A406:A407"/>
    <mergeCell ref="A409:A410"/>
    <mergeCell ref="A411:A414"/>
    <mergeCell ref="A415:A417"/>
    <mergeCell ref="A429:A431"/>
    <mergeCell ref="A432:A433"/>
    <mergeCell ref="A434:A435"/>
    <mergeCell ref="A437:A438"/>
    <mergeCell ref="A439:A442"/>
    <mergeCell ref="A443:A447"/>
    <mergeCell ref="B5:B7"/>
    <mergeCell ref="B8:B12"/>
    <mergeCell ref="B13:B14"/>
    <mergeCell ref="B15:B18"/>
    <mergeCell ref="B19:B22"/>
    <mergeCell ref="B32:B34"/>
    <mergeCell ref="B35:B39"/>
    <mergeCell ref="B40:B41"/>
    <mergeCell ref="B42:B45"/>
    <mergeCell ref="B46:B50"/>
    <mergeCell ref="B60:B62"/>
    <mergeCell ref="B63:B67"/>
    <mergeCell ref="B68:B69"/>
    <mergeCell ref="B70:B73"/>
    <mergeCell ref="B74:B76"/>
    <mergeCell ref="B89:B91"/>
    <mergeCell ref="B92:B96"/>
    <mergeCell ref="B97:B98"/>
    <mergeCell ref="B99:B102"/>
    <mergeCell ref="B103:B105"/>
    <mergeCell ref="B117:B119"/>
    <mergeCell ref="B120:B124"/>
    <mergeCell ref="B125:B126"/>
    <mergeCell ref="B127:B130"/>
    <mergeCell ref="B131:B133"/>
    <mergeCell ref="B145:B147"/>
    <mergeCell ref="B148:B152"/>
    <mergeCell ref="B153:B154"/>
    <mergeCell ref="B155:B158"/>
    <mergeCell ref="B159:B163"/>
    <mergeCell ref="B173:B175"/>
    <mergeCell ref="B176:B180"/>
    <mergeCell ref="B181:B182"/>
    <mergeCell ref="B183:B186"/>
    <mergeCell ref="B187:B191"/>
    <mergeCell ref="B201:B203"/>
    <mergeCell ref="B204:B208"/>
    <mergeCell ref="B209:B210"/>
    <mergeCell ref="B211:B214"/>
    <mergeCell ref="B215:B220"/>
    <mergeCell ref="B230:B232"/>
    <mergeCell ref="B233:B237"/>
    <mergeCell ref="B238:B239"/>
    <mergeCell ref="B240:B243"/>
    <mergeCell ref="B244:B249"/>
    <mergeCell ref="B259:B261"/>
    <mergeCell ref="B262:B266"/>
    <mergeCell ref="B267:B268"/>
    <mergeCell ref="B269:B272"/>
    <mergeCell ref="B273:B278"/>
    <mergeCell ref="B288:B290"/>
    <mergeCell ref="B291:B295"/>
    <mergeCell ref="B296:B297"/>
    <mergeCell ref="B298:B301"/>
    <mergeCell ref="B302:B304"/>
    <mergeCell ref="B316:B318"/>
    <mergeCell ref="B319:B323"/>
    <mergeCell ref="B324:B325"/>
    <mergeCell ref="B326:B329"/>
    <mergeCell ref="B330:B334"/>
    <mergeCell ref="B345:B347"/>
    <mergeCell ref="B348:B352"/>
    <mergeCell ref="B353:B354"/>
    <mergeCell ref="B355:B358"/>
    <mergeCell ref="B359:B363"/>
    <mergeCell ref="B373:B375"/>
    <mergeCell ref="B376:B380"/>
    <mergeCell ref="B381:B382"/>
    <mergeCell ref="B383:B386"/>
    <mergeCell ref="B387:B389"/>
    <mergeCell ref="B401:B403"/>
    <mergeCell ref="B404:B408"/>
    <mergeCell ref="B409:B410"/>
    <mergeCell ref="B411:B414"/>
    <mergeCell ref="B415:B417"/>
    <mergeCell ref="B429:B431"/>
    <mergeCell ref="B432:B436"/>
    <mergeCell ref="B437:B438"/>
    <mergeCell ref="B439:B442"/>
    <mergeCell ref="B443:B44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0"/>
  <sheetViews>
    <sheetView topLeftCell="A89" workbookViewId="0">
      <selection activeCell="A81" sqref="$A81:$XFD105"/>
    </sheetView>
  </sheetViews>
  <sheetFormatPr defaultColWidth="9" defaultRowHeight="13.5"/>
  <sheetData>
    <row r="1" s="1" customFormat="1" ht="21" customHeight="1" spans="1:11">
      <c r="A1" s="32" t="s">
        <v>264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="1" customFormat="1" ht="21" customHeight="1" spans="1:11">
      <c r="A2" s="35" t="s">
        <v>265</v>
      </c>
      <c r="B2" s="36"/>
      <c r="C2" s="36"/>
      <c r="D2" s="37" t="s">
        <v>266</v>
      </c>
      <c r="E2" s="36"/>
      <c r="F2" s="36"/>
      <c r="G2" s="36"/>
      <c r="H2" s="36"/>
      <c r="I2" s="36"/>
      <c r="J2" s="36"/>
      <c r="K2" s="36"/>
    </row>
    <row r="3" s="1" customFormat="1" ht="21" customHeight="1" spans="1:11">
      <c r="A3" s="27" t="s">
        <v>200</v>
      </c>
      <c r="B3" s="27" t="s">
        <v>201</v>
      </c>
      <c r="C3" s="38" t="s">
        <v>202</v>
      </c>
      <c r="D3" s="12" t="s">
        <v>6</v>
      </c>
      <c r="E3" s="12" t="s">
        <v>6</v>
      </c>
      <c r="F3" s="27" t="s">
        <v>6</v>
      </c>
      <c r="G3" s="27" t="s">
        <v>6</v>
      </c>
      <c r="H3" s="27" t="s">
        <v>6</v>
      </c>
      <c r="I3" s="27" t="s">
        <v>6</v>
      </c>
      <c r="J3" s="27" t="s">
        <v>203</v>
      </c>
      <c r="K3" s="27" t="s">
        <v>204</v>
      </c>
    </row>
    <row r="4" s="1" customFormat="1" ht="21" customHeight="1" spans="1:11">
      <c r="A4" s="27" t="s">
        <v>205</v>
      </c>
      <c r="B4" s="27">
        <v>12</v>
      </c>
      <c r="C4" s="38" t="s">
        <v>206</v>
      </c>
      <c r="D4" s="12">
        <v>15</v>
      </c>
      <c r="E4" s="12">
        <v>10</v>
      </c>
      <c r="F4" s="12">
        <v>10</v>
      </c>
      <c r="G4" s="12"/>
      <c r="H4" s="12"/>
      <c r="I4" s="27"/>
      <c r="J4" s="27"/>
      <c r="K4" s="13">
        <f>SUM(D4:J4)</f>
        <v>35</v>
      </c>
    </row>
    <row r="5" s="1" customFormat="1" ht="21" customHeight="1" spans="1:11">
      <c r="A5" s="21" t="s">
        <v>207</v>
      </c>
      <c r="B5" s="27">
        <v>11.5</v>
      </c>
      <c r="C5" s="38" t="s">
        <v>208</v>
      </c>
      <c r="D5" s="12">
        <v>22</v>
      </c>
      <c r="E5" s="12">
        <v>15</v>
      </c>
      <c r="F5" s="12">
        <v>15</v>
      </c>
      <c r="G5" s="12"/>
      <c r="H5" s="12"/>
      <c r="I5" s="27"/>
      <c r="J5" s="27"/>
      <c r="K5" s="13">
        <f>SUM(D5:J5)</f>
        <v>52</v>
      </c>
    </row>
    <row r="6" s="1" customFormat="1" ht="21" customHeight="1" spans="1:11">
      <c r="A6" s="21"/>
      <c r="B6" s="27"/>
      <c r="C6" s="38" t="s">
        <v>210</v>
      </c>
      <c r="D6" s="12">
        <v>22</v>
      </c>
      <c r="E6" s="12">
        <v>15</v>
      </c>
      <c r="F6" s="12">
        <v>15</v>
      </c>
      <c r="G6" s="12"/>
      <c r="H6" s="12"/>
      <c r="I6" s="27"/>
      <c r="J6" s="27"/>
      <c r="K6" s="13">
        <f t="shared" ref="K6:K25" si="0">SUM(D6:J6)</f>
        <v>52</v>
      </c>
    </row>
    <row r="7" s="1" customFormat="1" ht="21" customHeight="1" spans="1:11">
      <c r="A7" s="16" t="s">
        <v>237</v>
      </c>
      <c r="B7" s="13">
        <v>11.5</v>
      </c>
      <c r="C7" s="17" t="s">
        <v>212</v>
      </c>
      <c r="D7" s="12">
        <v>14.3</v>
      </c>
      <c r="E7" s="12">
        <v>11</v>
      </c>
      <c r="F7" s="12">
        <v>10</v>
      </c>
      <c r="G7" s="12"/>
      <c r="H7" s="12"/>
      <c r="I7" s="27"/>
      <c r="J7" s="27"/>
      <c r="K7" s="13">
        <f t="shared" si="0"/>
        <v>35.3</v>
      </c>
    </row>
    <row r="8" s="1" customFormat="1" ht="21" customHeight="1" spans="1:11">
      <c r="A8" s="18"/>
      <c r="B8" s="13"/>
      <c r="C8" s="1" t="s">
        <v>215</v>
      </c>
      <c r="D8" s="12">
        <v>14.3</v>
      </c>
      <c r="E8" s="12">
        <v>11</v>
      </c>
      <c r="F8" s="12">
        <v>10</v>
      </c>
      <c r="G8" s="12"/>
      <c r="H8" s="12"/>
      <c r="I8" s="27"/>
      <c r="J8" s="27"/>
      <c r="K8" s="13">
        <f t="shared" si="0"/>
        <v>35.3</v>
      </c>
    </row>
    <row r="9" s="1" customFormat="1" ht="21" customHeight="1" spans="1:11">
      <c r="A9" s="19" t="s">
        <v>238</v>
      </c>
      <c r="B9" s="13"/>
      <c r="C9" s="17" t="s">
        <v>213</v>
      </c>
      <c r="D9" s="12">
        <v>14.3</v>
      </c>
      <c r="E9" s="12">
        <v>11</v>
      </c>
      <c r="F9" s="12">
        <v>10</v>
      </c>
      <c r="G9" s="12"/>
      <c r="H9" s="12"/>
      <c r="I9" s="27"/>
      <c r="J9" s="27"/>
      <c r="K9" s="13">
        <f t="shared" si="0"/>
        <v>35.3</v>
      </c>
    </row>
    <row r="10" s="1" customFormat="1" ht="21" customHeight="1" spans="1:11">
      <c r="A10" s="20"/>
      <c r="B10" s="13"/>
      <c r="C10" s="17" t="s">
        <v>216</v>
      </c>
      <c r="D10" s="12">
        <v>14.3</v>
      </c>
      <c r="E10" s="12">
        <v>11</v>
      </c>
      <c r="F10" s="12">
        <v>5</v>
      </c>
      <c r="G10" s="12"/>
      <c r="H10" s="12"/>
      <c r="I10" s="12"/>
      <c r="J10" s="27"/>
      <c r="K10" s="13">
        <f t="shared" si="0"/>
        <v>30.3</v>
      </c>
    </row>
    <row r="11" s="1" customFormat="1" ht="21" customHeight="1" spans="1:11">
      <c r="A11" s="21" t="s">
        <v>239</v>
      </c>
      <c r="B11" s="13"/>
      <c r="C11" s="13" t="s">
        <v>214</v>
      </c>
      <c r="D11" s="12">
        <v>14.3</v>
      </c>
      <c r="E11" s="12">
        <v>11</v>
      </c>
      <c r="F11" s="12">
        <v>5</v>
      </c>
      <c r="G11" s="12"/>
      <c r="H11" s="12"/>
      <c r="I11" s="12"/>
      <c r="J11" s="27"/>
      <c r="K11" s="13">
        <f t="shared" si="0"/>
        <v>30.3</v>
      </c>
    </row>
    <row r="12" s="1" customFormat="1" ht="21" customHeight="1" spans="1:11">
      <c r="A12" s="27" t="s">
        <v>217</v>
      </c>
      <c r="B12" s="27">
        <v>10.5</v>
      </c>
      <c r="C12" s="27" t="s">
        <v>218</v>
      </c>
      <c r="D12" s="12">
        <v>16.7</v>
      </c>
      <c r="E12" s="12">
        <v>10</v>
      </c>
      <c r="F12" s="12">
        <v>5</v>
      </c>
      <c r="G12" s="12"/>
      <c r="H12" s="12"/>
      <c r="I12" s="27"/>
      <c r="J12" s="27"/>
      <c r="K12" s="13">
        <f t="shared" si="0"/>
        <v>31.7</v>
      </c>
    </row>
    <row r="13" s="1" customFormat="1" ht="21" customHeight="1" spans="1:11">
      <c r="A13" s="27"/>
      <c r="B13" s="27"/>
      <c r="C13" s="27" t="s">
        <v>219</v>
      </c>
      <c r="D13" s="12">
        <v>16.7</v>
      </c>
      <c r="E13" s="12">
        <v>10</v>
      </c>
      <c r="F13" s="12">
        <v>5</v>
      </c>
      <c r="G13" s="12"/>
      <c r="H13" s="12"/>
      <c r="I13" s="27"/>
      <c r="J13" s="27"/>
      <c r="K13" s="13">
        <f t="shared" si="0"/>
        <v>31.7</v>
      </c>
    </row>
    <row r="14" s="1" customFormat="1" ht="21" customHeight="1" spans="1:11">
      <c r="A14" s="27" t="s">
        <v>220</v>
      </c>
      <c r="B14" s="27">
        <v>11.5</v>
      </c>
      <c r="C14" s="38" t="s">
        <v>221</v>
      </c>
      <c r="D14" s="12">
        <v>0</v>
      </c>
      <c r="E14" s="12">
        <v>0</v>
      </c>
      <c r="F14" s="12">
        <v>5</v>
      </c>
      <c r="G14" s="12"/>
      <c r="H14" s="12"/>
      <c r="I14" s="27"/>
      <c r="J14" s="27"/>
      <c r="K14" s="13">
        <f t="shared" si="0"/>
        <v>5</v>
      </c>
    </row>
    <row r="15" s="1" customFormat="1" ht="21" customHeight="1" spans="1:11">
      <c r="A15" s="27"/>
      <c r="B15" s="27"/>
      <c r="C15" s="38" t="s">
        <v>222</v>
      </c>
      <c r="D15" s="12">
        <v>16.7</v>
      </c>
      <c r="E15" s="12">
        <v>10</v>
      </c>
      <c r="F15" s="12">
        <v>5</v>
      </c>
      <c r="G15" s="12"/>
      <c r="H15" s="12"/>
      <c r="I15" s="27"/>
      <c r="J15" s="27"/>
      <c r="K15" s="13">
        <f t="shared" si="0"/>
        <v>31.7</v>
      </c>
    </row>
    <row r="16" s="1" customFormat="1" ht="21" customHeight="1" spans="1:11">
      <c r="A16" s="27"/>
      <c r="B16" s="27"/>
      <c r="C16" s="38" t="s">
        <v>223</v>
      </c>
      <c r="D16" s="12">
        <v>16.7</v>
      </c>
      <c r="E16" s="12">
        <v>5</v>
      </c>
      <c r="F16" s="12">
        <v>5</v>
      </c>
      <c r="G16" s="12"/>
      <c r="H16" s="12"/>
      <c r="I16" s="27"/>
      <c r="J16" s="27"/>
      <c r="K16" s="13">
        <f t="shared" si="0"/>
        <v>26.7</v>
      </c>
    </row>
    <row r="17" s="1" customFormat="1" ht="21" customHeight="1" spans="1:11">
      <c r="A17" s="27"/>
      <c r="B17" s="27"/>
      <c r="C17" s="38" t="s">
        <v>224</v>
      </c>
      <c r="D17" s="12">
        <v>0</v>
      </c>
      <c r="E17" s="12">
        <v>0</v>
      </c>
      <c r="F17" s="12">
        <v>5</v>
      </c>
      <c r="G17" s="12"/>
      <c r="H17" s="12"/>
      <c r="I17" s="27"/>
      <c r="J17" s="27"/>
      <c r="K17" s="13">
        <f t="shared" si="0"/>
        <v>5</v>
      </c>
    </row>
    <row r="18" s="1" customFormat="1" ht="21" customHeight="1" spans="1:11">
      <c r="A18" s="39" t="s">
        <v>225</v>
      </c>
      <c r="B18" s="39">
        <v>10.5</v>
      </c>
      <c r="C18" s="27" t="s">
        <v>226</v>
      </c>
      <c r="D18" s="12">
        <v>16.7</v>
      </c>
      <c r="E18" s="12">
        <v>5</v>
      </c>
      <c r="F18" s="12">
        <v>5</v>
      </c>
      <c r="G18" s="12"/>
      <c r="H18" s="12"/>
      <c r="I18" s="27"/>
      <c r="J18" s="27"/>
      <c r="K18" s="13">
        <f t="shared" si="0"/>
        <v>26.7</v>
      </c>
    </row>
    <row r="19" s="1" customFormat="1" ht="21" customHeight="1" spans="1:11">
      <c r="A19" s="39"/>
      <c r="B19" s="39"/>
      <c r="C19" s="27" t="s">
        <v>228</v>
      </c>
      <c r="D19" s="12">
        <v>16.7</v>
      </c>
      <c r="E19" s="12">
        <v>5</v>
      </c>
      <c r="F19" s="12">
        <v>5</v>
      </c>
      <c r="G19" s="12"/>
      <c r="H19" s="12"/>
      <c r="I19" s="27"/>
      <c r="J19" s="27"/>
      <c r="K19" s="13">
        <f t="shared" si="0"/>
        <v>26.7</v>
      </c>
    </row>
    <row r="20" s="1" customFormat="1" ht="21" customHeight="1" spans="1:11">
      <c r="A20" s="39"/>
      <c r="B20" s="39"/>
      <c r="C20" s="27" t="s">
        <v>227</v>
      </c>
      <c r="D20" s="12">
        <v>16.7</v>
      </c>
      <c r="E20" s="12">
        <v>5</v>
      </c>
      <c r="F20" s="12">
        <v>5</v>
      </c>
      <c r="G20" s="12"/>
      <c r="H20" s="12"/>
      <c r="I20" s="27"/>
      <c r="J20" s="27"/>
      <c r="K20" s="13">
        <f t="shared" si="0"/>
        <v>26.7</v>
      </c>
    </row>
    <row r="21" s="1" customFormat="1" ht="21" customHeight="1" spans="1:11">
      <c r="A21" s="39"/>
      <c r="B21" s="39"/>
      <c r="C21" s="27" t="s">
        <v>229</v>
      </c>
      <c r="D21" s="12">
        <v>0</v>
      </c>
      <c r="E21" s="12">
        <v>5</v>
      </c>
      <c r="F21" s="12">
        <v>5</v>
      </c>
      <c r="G21" s="12"/>
      <c r="H21" s="12"/>
      <c r="I21" s="27"/>
      <c r="J21" s="40"/>
      <c r="K21" s="13">
        <f t="shared" si="0"/>
        <v>10</v>
      </c>
    </row>
    <row r="22" s="1" customFormat="1" ht="21" customHeight="1" spans="1:11">
      <c r="A22" s="39"/>
      <c r="B22" s="39"/>
      <c r="C22" s="27" t="s">
        <v>240</v>
      </c>
      <c r="D22" s="12">
        <v>16.7</v>
      </c>
      <c r="E22" s="12">
        <v>5</v>
      </c>
      <c r="F22" s="12">
        <v>5</v>
      </c>
      <c r="G22" s="12"/>
      <c r="H22" s="12"/>
      <c r="I22" s="27"/>
      <c r="J22" s="40"/>
      <c r="K22" s="13">
        <f t="shared" si="0"/>
        <v>26.7</v>
      </c>
    </row>
    <row r="23" s="1" customFormat="1" ht="21" customHeight="1" spans="1:11">
      <c r="A23" s="12" t="s">
        <v>230</v>
      </c>
      <c r="B23" s="12">
        <v>10.5</v>
      </c>
      <c r="C23" s="27" t="s">
        <v>231</v>
      </c>
      <c r="D23" s="27">
        <v>10</v>
      </c>
      <c r="E23" s="27">
        <v>10</v>
      </c>
      <c r="F23" s="12">
        <v>5</v>
      </c>
      <c r="G23" s="27"/>
      <c r="H23" s="27"/>
      <c r="I23" s="27"/>
      <c r="J23" s="40"/>
      <c r="K23" s="13">
        <f t="shared" si="0"/>
        <v>25</v>
      </c>
    </row>
    <row r="24" s="1" customFormat="1" ht="21" customHeight="1" spans="1:11">
      <c r="A24" s="27" t="s">
        <v>232</v>
      </c>
      <c r="B24" s="27">
        <v>12</v>
      </c>
      <c r="C24" s="27" t="s">
        <v>233</v>
      </c>
      <c r="D24" s="27">
        <v>12</v>
      </c>
      <c r="E24" s="27">
        <v>12</v>
      </c>
      <c r="F24" s="27">
        <v>0</v>
      </c>
      <c r="G24" s="27"/>
      <c r="H24" s="27"/>
      <c r="I24" s="27"/>
      <c r="J24" s="40"/>
      <c r="K24" s="13">
        <f t="shared" si="0"/>
        <v>24</v>
      </c>
    </row>
    <row r="25" s="1" customFormat="1" ht="21" customHeight="1" spans="1:11">
      <c r="A25" s="38"/>
      <c r="B25" s="41"/>
      <c r="C25" s="41"/>
      <c r="D25" s="41"/>
      <c r="E25" s="41"/>
      <c r="F25" s="30"/>
      <c r="G25" s="41"/>
      <c r="H25" s="41"/>
      <c r="I25" s="41"/>
      <c r="J25" s="41"/>
      <c r="K25" s="31">
        <f>SUM(K4:K24)</f>
        <v>603.1</v>
      </c>
    </row>
    <row r="26" ht="29" customHeight="1"/>
    <row r="27" s="2" customFormat="1" ht="21.75" customHeight="1" spans="1:11">
      <c r="A27" s="88" t="s">
        <v>264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</row>
    <row r="28" s="2" customFormat="1" ht="21.75" customHeight="1" spans="1:11">
      <c r="A28" s="35" t="s">
        <v>267</v>
      </c>
      <c r="B28" s="36"/>
      <c r="C28" s="36"/>
      <c r="D28" s="37" t="s">
        <v>268</v>
      </c>
      <c r="E28" s="36"/>
      <c r="F28" s="36"/>
      <c r="G28" s="36"/>
      <c r="H28" s="36"/>
      <c r="I28" s="36"/>
      <c r="J28" s="36"/>
      <c r="K28" s="36"/>
    </row>
    <row r="29" s="2" customFormat="1" ht="21.75" customHeight="1" spans="1:11">
      <c r="A29" s="27" t="s">
        <v>200</v>
      </c>
      <c r="B29" s="27" t="s">
        <v>201</v>
      </c>
      <c r="C29" s="38" t="s">
        <v>202</v>
      </c>
      <c r="D29" s="12" t="s">
        <v>6</v>
      </c>
      <c r="E29" s="12" t="s">
        <v>6</v>
      </c>
      <c r="F29" s="27" t="s">
        <v>6</v>
      </c>
      <c r="G29" s="27" t="s">
        <v>6</v>
      </c>
      <c r="H29" s="27" t="s">
        <v>6</v>
      </c>
      <c r="I29" s="27" t="s">
        <v>6</v>
      </c>
      <c r="J29" s="27" t="s">
        <v>203</v>
      </c>
      <c r="K29" s="27" t="s">
        <v>204</v>
      </c>
    </row>
    <row r="30" s="2" customFormat="1" ht="21.75" customHeight="1" spans="1:11">
      <c r="A30" s="27" t="s">
        <v>205</v>
      </c>
      <c r="B30" s="27">
        <v>12</v>
      </c>
      <c r="C30" s="38" t="s">
        <v>206</v>
      </c>
      <c r="D30" s="12">
        <v>12</v>
      </c>
      <c r="E30" s="12">
        <v>10</v>
      </c>
      <c r="F30" s="11"/>
      <c r="G30" s="11"/>
      <c r="H30" s="12"/>
      <c r="I30" s="27"/>
      <c r="J30" s="27"/>
      <c r="K30" s="27">
        <f>SUM(D30:J30)</f>
        <v>22</v>
      </c>
    </row>
    <row r="31" s="2" customFormat="1" ht="21.75" customHeight="1" spans="1:11">
      <c r="A31" s="43" t="s">
        <v>207</v>
      </c>
      <c r="B31" s="12">
        <v>11.5</v>
      </c>
      <c r="C31" s="38" t="s">
        <v>208</v>
      </c>
      <c r="D31" s="12">
        <v>17.5</v>
      </c>
      <c r="E31" s="12">
        <v>15</v>
      </c>
      <c r="F31" s="11"/>
      <c r="G31" s="11"/>
      <c r="H31" s="12"/>
      <c r="I31" s="27"/>
      <c r="J31" s="27"/>
      <c r="K31" s="27">
        <f>SUM(D31:J31)</f>
        <v>32.5</v>
      </c>
    </row>
    <row r="32" s="2" customFormat="1" ht="21.75" customHeight="1" spans="1:11">
      <c r="A32" s="44"/>
      <c r="B32" s="39"/>
      <c r="C32" s="38" t="s">
        <v>210</v>
      </c>
      <c r="D32" s="12">
        <v>17.5</v>
      </c>
      <c r="E32" s="12">
        <v>15</v>
      </c>
      <c r="F32" s="11"/>
      <c r="G32" s="11"/>
      <c r="H32" s="12"/>
      <c r="I32" s="27"/>
      <c r="J32" s="27"/>
      <c r="K32" s="27">
        <f t="shared" ref="K32:K51" si="1">SUM(D32:J32)</f>
        <v>32.5</v>
      </c>
    </row>
    <row r="33" s="2" customFormat="1" ht="21.75" customHeight="1" spans="1:11">
      <c r="A33" s="43" t="s">
        <v>211</v>
      </c>
      <c r="B33" s="12">
        <v>11.5</v>
      </c>
      <c r="C33" s="38" t="s">
        <v>212</v>
      </c>
      <c r="D33" s="27">
        <v>0</v>
      </c>
      <c r="E33" s="27">
        <v>0</v>
      </c>
      <c r="F33" s="11"/>
      <c r="G33" s="11"/>
      <c r="H33" s="12"/>
      <c r="I33" s="27"/>
      <c r="J33" s="27"/>
      <c r="K33" s="27">
        <f t="shared" si="1"/>
        <v>0</v>
      </c>
    </row>
    <row r="34" s="2" customFormat="1" ht="21.75" customHeight="1" spans="1:11">
      <c r="A34" s="44"/>
      <c r="B34" s="39"/>
      <c r="C34" s="38" t="s">
        <v>213</v>
      </c>
      <c r="D34" s="12">
        <v>11.5</v>
      </c>
      <c r="E34" s="12">
        <v>11</v>
      </c>
      <c r="F34" s="11"/>
      <c r="G34" s="11"/>
      <c r="H34" s="12"/>
      <c r="I34" s="27"/>
      <c r="J34" s="27"/>
      <c r="K34" s="27">
        <f t="shared" si="1"/>
        <v>22.5</v>
      </c>
    </row>
    <row r="35" s="2" customFormat="1" ht="21.75" customHeight="1" spans="1:11">
      <c r="A35" s="44"/>
      <c r="B35" s="39"/>
      <c r="C35" s="27" t="s">
        <v>214</v>
      </c>
      <c r="D35" s="27">
        <v>0</v>
      </c>
      <c r="E35" s="27">
        <v>0</v>
      </c>
      <c r="F35" s="11"/>
      <c r="G35" s="11"/>
      <c r="H35" s="12"/>
      <c r="I35" s="27"/>
      <c r="J35" s="27"/>
      <c r="K35" s="27">
        <f t="shared" si="1"/>
        <v>0</v>
      </c>
    </row>
    <row r="36" s="2" customFormat="1" ht="21.75" customHeight="1" spans="1:11">
      <c r="A36" s="44"/>
      <c r="B36" s="39"/>
      <c r="C36" s="38" t="s">
        <v>216</v>
      </c>
      <c r="D36" s="27">
        <v>0</v>
      </c>
      <c r="E36" s="27">
        <v>0</v>
      </c>
      <c r="F36" s="11"/>
      <c r="G36" s="11"/>
      <c r="H36" s="12"/>
      <c r="I36" s="12"/>
      <c r="J36" s="27"/>
      <c r="K36" s="27">
        <f t="shared" si="1"/>
        <v>0</v>
      </c>
    </row>
    <row r="37" s="2" customFormat="1" ht="21.75" customHeight="1" spans="1:11">
      <c r="A37" s="45"/>
      <c r="B37" s="46"/>
      <c r="C37" s="38" t="s">
        <v>215</v>
      </c>
      <c r="D37" s="12">
        <v>11.5</v>
      </c>
      <c r="E37" s="12">
        <v>11</v>
      </c>
      <c r="F37" s="11"/>
      <c r="G37" s="11"/>
      <c r="H37" s="12"/>
      <c r="I37" s="12"/>
      <c r="J37" s="27"/>
      <c r="K37" s="27">
        <f t="shared" si="1"/>
        <v>22.5</v>
      </c>
    </row>
    <row r="38" s="2" customFormat="1" ht="21.75" customHeight="1" spans="1:11">
      <c r="A38" s="27" t="s">
        <v>217</v>
      </c>
      <c r="B38" s="27">
        <v>10.5</v>
      </c>
      <c r="C38" s="27" t="s">
        <v>218</v>
      </c>
      <c r="D38" s="12">
        <v>10.5</v>
      </c>
      <c r="E38" s="12">
        <v>5</v>
      </c>
      <c r="F38" s="22"/>
      <c r="G38" s="22"/>
      <c r="H38" s="12"/>
      <c r="I38" s="27"/>
      <c r="J38" s="27"/>
      <c r="K38" s="27">
        <f t="shared" si="1"/>
        <v>15.5</v>
      </c>
    </row>
    <row r="39" s="2" customFormat="1" ht="21.75" customHeight="1" spans="1:11">
      <c r="A39" s="27"/>
      <c r="B39" s="27"/>
      <c r="C39" s="27" t="s">
        <v>219</v>
      </c>
      <c r="D39" s="27">
        <v>10.5</v>
      </c>
      <c r="E39" s="27">
        <v>5</v>
      </c>
      <c r="F39" s="11"/>
      <c r="G39" s="11"/>
      <c r="H39" s="12"/>
      <c r="I39" s="27"/>
      <c r="J39" s="27"/>
      <c r="K39" s="27">
        <f t="shared" si="1"/>
        <v>15.5</v>
      </c>
    </row>
    <row r="40" s="2" customFormat="1" ht="21.75" customHeight="1" spans="1:11">
      <c r="A40" s="27" t="s">
        <v>220</v>
      </c>
      <c r="B40" s="27">
        <v>11.5</v>
      </c>
      <c r="C40" s="38" t="s">
        <v>221</v>
      </c>
      <c r="D40" s="27">
        <v>0</v>
      </c>
      <c r="E40" s="27">
        <v>0</v>
      </c>
      <c r="F40" s="11"/>
      <c r="G40" s="11"/>
      <c r="H40" s="12"/>
      <c r="I40" s="27"/>
      <c r="J40" s="27"/>
      <c r="K40" s="27">
        <f t="shared" si="1"/>
        <v>0</v>
      </c>
    </row>
    <row r="41" s="2" customFormat="1" ht="21.75" customHeight="1" spans="1:11">
      <c r="A41" s="27"/>
      <c r="B41" s="27"/>
      <c r="C41" s="38" t="s">
        <v>222</v>
      </c>
      <c r="D41" s="12">
        <v>0</v>
      </c>
      <c r="E41" s="12">
        <v>0</v>
      </c>
      <c r="F41" s="11"/>
      <c r="G41" s="11"/>
      <c r="H41" s="12"/>
      <c r="I41" s="27"/>
      <c r="J41" s="27"/>
      <c r="K41" s="27">
        <f t="shared" si="1"/>
        <v>0</v>
      </c>
    </row>
    <row r="42" s="2" customFormat="1" ht="21.75" customHeight="1" spans="1:11">
      <c r="A42" s="27"/>
      <c r="B42" s="27"/>
      <c r="C42" s="38" t="s">
        <v>223</v>
      </c>
      <c r="D42" s="12">
        <v>10.5</v>
      </c>
      <c r="E42" s="12">
        <v>5</v>
      </c>
      <c r="F42" s="23"/>
      <c r="G42" s="23"/>
      <c r="H42" s="12"/>
      <c r="I42" s="27"/>
      <c r="J42" s="27"/>
      <c r="K42" s="27">
        <f t="shared" si="1"/>
        <v>15.5</v>
      </c>
    </row>
    <row r="43" s="2" customFormat="1" ht="21.75" customHeight="1" spans="1:11">
      <c r="A43" s="27"/>
      <c r="B43" s="27"/>
      <c r="C43" s="38" t="s">
        <v>224</v>
      </c>
      <c r="D43" s="27">
        <v>0</v>
      </c>
      <c r="E43" s="27">
        <v>0</v>
      </c>
      <c r="F43" s="24"/>
      <c r="G43" s="24"/>
      <c r="H43" s="12"/>
      <c r="I43" s="27"/>
      <c r="J43" s="27"/>
      <c r="K43" s="27">
        <f t="shared" si="1"/>
        <v>0</v>
      </c>
    </row>
    <row r="44" s="2" customFormat="1" ht="21.75" customHeight="1" spans="1:11">
      <c r="A44" s="39" t="s">
        <v>225</v>
      </c>
      <c r="B44" s="39">
        <v>10.5</v>
      </c>
      <c r="C44" s="27" t="s">
        <v>226</v>
      </c>
      <c r="D44" s="12">
        <v>10.5</v>
      </c>
      <c r="E44" s="12">
        <v>5</v>
      </c>
      <c r="F44" s="11"/>
      <c r="G44" s="11"/>
      <c r="H44" s="12"/>
      <c r="I44" s="27"/>
      <c r="J44" s="27"/>
      <c r="K44" s="27">
        <f t="shared" si="1"/>
        <v>15.5</v>
      </c>
    </row>
    <row r="45" s="2" customFormat="1" ht="21.75" customHeight="1" spans="1:11">
      <c r="A45" s="39"/>
      <c r="B45" s="39"/>
      <c r="C45" s="27" t="s">
        <v>228</v>
      </c>
      <c r="D45" s="12">
        <v>10.5</v>
      </c>
      <c r="E45" s="12">
        <v>5</v>
      </c>
      <c r="F45" s="11"/>
      <c r="G45" s="11"/>
      <c r="H45" s="12"/>
      <c r="I45" s="27"/>
      <c r="J45" s="27"/>
      <c r="K45" s="27">
        <f t="shared" si="1"/>
        <v>15.5</v>
      </c>
    </row>
    <row r="46" s="2" customFormat="1" ht="21.75" customHeight="1" spans="1:11">
      <c r="A46" s="39"/>
      <c r="B46" s="39"/>
      <c r="C46" s="27" t="s">
        <v>227</v>
      </c>
      <c r="D46" s="12">
        <v>10.5</v>
      </c>
      <c r="E46" s="12">
        <v>5</v>
      </c>
      <c r="F46" s="11"/>
      <c r="G46" s="11"/>
      <c r="H46" s="12"/>
      <c r="I46" s="27"/>
      <c r="J46" s="27"/>
      <c r="K46" s="27">
        <f t="shared" si="1"/>
        <v>15.5</v>
      </c>
    </row>
    <row r="47" s="2" customFormat="1" ht="21.75" customHeight="1" spans="1:11">
      <c r="A47" s="39"/>
      <c r="B47" s="39"/>
      <c r="C47" s="27" t="s">
        <v>229</v>
      </c>
      <c r="D47" s="27">
        <v>0</v>
      </c>
      <c r="E47" s="27">
        <v>0</v>
      </c>
      <c r="F47" s="11"/>
      <c r="G47" s="11"/>
      <c r="H47" s="12"/>
      <c r="I47" s="27"/>
      <c r="J47" s="40"/>
      <c r="K47" s="27">
        <f t="shared" si="1"/>
        <v>0</v>
      </c>
    </row>
    <row r="48" s="2" customFormat="1" ht="21.75" customHeight="1" spans="1:11">
      <c r="A48" s="39"/>
      <c r="B48" s="39"/>
      <c r="C48" s="27" t="s">
        <v>240</v>
      </c>
      <c r="D48" s="27">
        <v>0</v>
      </c>
      <c r="E48" s="27">
        <v>0</v>
      </c>
      <c r="F48" s="11"/>
      <c r="G48" s="11"/>
      <c r="H48" s="12"/>
      <c r="I48" s="27"/>
      <c r="J48" s="40"/>
      <c r="K48" s="27">
        <f t="shared" si="1"/>
        <v>0</v>
      </c>
    </row>
    <row r="49" s="2" customFormat="1" ht="21.75" customHeight="1" spans="1:11">
      <c r="A49" s="12" t="s">
        <v>230</v>
      </c>
      <c r="B49" s="12">
        <v>10.5</v>
      </c>
      <c r="C49" s="27" t="s">
        <v>231</v>
      </c>
      <c r="D49" s="27">
        <v>10</v>
      </c>
      <c r="E49" s="27">
        <v>10</v>
      </c>
      <c r="F49" s="11"/>
      <c r="G49" s="11"/>
      <c r="H49" s="27"/>
      <c r="I49" s="27"/>
      <c r="J49" s="40"/>
      <c r="K49" s="27">
        <f t="shared" si="1"/>
        <v>20</v>
      </c>
    </row>
    <row r="50" s="2" customFormat="1" ht="21.75" customHeight="1" spans="1:11">
      <c r="A50" s="12" t="s">
        <v>232</v>
      </c>
      <c r="B50" s="12">
        <v>12</v>
      </c>
      <c r="C50" s="12" t="s">
        <v>233</v>
      </c>
      <c r="D50" s="12">
        <v>12</v>
      </c>
      <c r="E50" s="12">
        <v>12</v>
      </c>
      <c r="F50" s="89"/>
      <c r="G50" s="89"/>
      <c r="H50" s="12"/>
      <c r="I50" s="12"/>
      <c r="J50" s="90"/>
      <c r="K50" s="27">
        <f t="shared" si="1"/>
        <v>24</v>
      </c>
    </row>
    <row r="51" s="2" customFormat="1" ht="21.75" customHeight="1" spans="1:11">
      <c r="A51" s="38"/>
      <c r="B51" s="41"/>
      <c r="C51" s="41"/>
      <c r="D51" s="41"/>
      <c r="E51" s="41"/>
      <c r="F51" s="41"/>
      <c r="G51" s="41"/>
      <c r="H51" s="41"/>
      <c r="I51" s="41"/>
      <c r="J51" s="40"/>
      <c r="K51" s="27">
        <f>SUM(K30:K50)</f>
        <v>269</v>
      </c>
    </row>
    <row r="54" s="1" customFormat="1" ht="21" customHeight="1" spans="1:11">
      <c r="A54" s="32" t="s">
        <v>264</v>
      </c>
      <c r="B54" s="33"/>
      <c r="C54" s="33"/>
      <c r="D54" s="33"/>
      <c r="E54" s="33"/>
      <c r="F54" s="33"/>
      <c r="G54" s="33"/>
      <c r="H54" s="33"/>
      <c r="I54" s="33"/>
      <c r="J54" s="33"/>
      <c r="K54" s="34"/>
    </row>
    <row r="55" s="1" customFormat="1" ht="21" customHeight="1" spans="1:11">
      <c r="A55" s="35" t="s">
        <v>253</v>
      </c>
      <c r="B55" s="36"/>
      <c r="C55" s="36"/>
      <c r="D55" s="37" t="s">
        <v>269</v>
      </c>
      <c r="E55" s="36"/>
      <c r="F55" s="36"/>
      <c r="G55" s="36"/>
      <c r="H55" s="36"/>
      <c r="I55" s="36"/>
      <c r="J55" s="36"/>
      <c r="K55" s="36"/>
    </row>
    <row r="56" s="1" customFormat="1" ht="21" customHeight="1" spans="1:11">
      <c r="A56" s="27" t="s">
        <v>200</v>
      </c>
      <c r="B56" s="27" t="s">
        <v>201</v>
      </c>
      <c r="C56" s="38" t="s">
        <v>202</v>
      </c>
      <c r="D56" s="12" t="s">
        <v>6</v>
      </c>
      <c r="E56" s="12" t="s">
        <v>6</v>
      </c>
      <c r="F56" s="27" t="s">
        <v>6</v>
      </c>
      <c r="G56" s="27" t="s">
        <v>6</v>
      </c>
      <c r="H56" s="27" t="s">
        <v>6</v>
      </c>
      <c r="I56" s="27" t="s">
        <v>6</v>
      </c>
      <c r="J56" s="27" t="s">
        <v>203</v>
      </c>
      <c r="K56" s="27" t="s">
        <v>204</v>
      </c>
    </row>
    <row r="57" s="1" customFormat="1" ht="21" customHeight="1" spans="1:11">
      <c r="A57" s="27" t="s">
        <v>205</v>
      </c>
      <c r="B57" s="27">
        <v>12</v>
      </c>
      <c r="C57" s="38" t="s">
        <v>206</v>
      </c>
      <c r="D57" s="12">
        <v>15</v>
      </c>
      <c r="E57" s="12">
        <v>10</v>
      </c>
      <c r="F57" s="12"/>
      <c r="G57" s="12"/>
      <c r="H57" s="12"/>
      <c r="I57" s="27"/>
      <c r="J57" s="27"/>
      <c r="K57" s="13">
        <f>SUM(D57:J57)</f>
        <v>25</v>
      </c>
    </row>
    <row r="58" s="1" customFormat="1" ht="21" customHeight="1" spans="1:11">
      <c r="A58" s="21" t="s">
        <v>207</v>
      </c>
      <c r="B58" s="27">
        <v>11.5</v>
      </c>
      <c r="C58" s="38" t="s">
        <v>208</v>
      </c>
      <c r="D58" s="12">
        <v>22</v>
      </c>
      <c r="E58" s="12">
        <v>15</v>
      </c>
      <c r="F58" s="12"/>
      <c r="G58" s="12"/>
      <c r="H58" s="12"/>
      <c r="I58" s="27"/>
      <c r="J58" s="27"/>
      <c r="K58" s="13">
        <f>SUM(D58:J58)</f>
        <v>37</v>
      </c>
    </row>
    <row r="59" s="1" customFormat="1" ht="21" customHeight="1" spans="1:11">
      <c r="A59" s="21"/>
      <c r="B59" s="27"/>
      <c r="C59" s="38" t="s">
        <v>210</v>
      </c>
      <c r="D59" s="12">
        <v>22</v>
      </c>
      <c r="E59" s="12">
        <v>15</v>
      </c>
      <c r="F59" s="12"/>
      <c r="G59" s="12"/>
      <c r="H59" s="12"/>
      <c r="I59" s="27"/>
      <c r="J59" s="27"/>
      <c r="K59" s="13">
        <f t="shared" ref="K59:K78" si="2">SUM(D59:J59)</f>
        <v>37</v>
      </c>
    </row>
    <row r="60" s="1" customFormat="1" ht="21" customHeight="1" spans="1:11">
      <c r="A60" s="16" t="s">
        <v>237</v>
      </c>
      <c r="B60" s="13">
        <v>11.5</v>
      </c>
      <c r="C60" s="17" t="s">
        <v>212</v>
      </c>
      <c r="D60" s="12">
        <v>14.3</v>
      </c>
      <c r="E60" s="12">
        <v>11</v>
      </c>
      <c r="F60" s="12"/>
      <c r="G60" s="12"/>
      <c r="H60" s="12"/>
      <c r="I60" s="27"/>
      <c r="J60" s="27"/>
      <c r="K60" s="13">
        <f t="shared" si="2"/>
        <v>25.3</v>
      </c>
    </row>
    <row r="61" s="1" customFormat="1" ht="21" customHeight="1" spans="1:11">
      <c r="A61" s="18"/>
      <c r="B61" s="13"/>
      <c r="C61" s="1" t="s">
        <v>215</v>
      </c>
      <c r="D61" s="12">
        <v>14.3</v>
      </c>
      <c r="E61" s="12">
        <v>11</v>
      </c>
      <c r="F61" s="12"/>
      <c r="G61" s="12"/>
      <c r="H61" s="12"/>
      <c r="I61" s="27"/>
      <c r="J61" s="27"/>
      <c r="K61" s="13">
        <f t="shared" si="2"/>
        <v>25.3</v>
      </c>
    </row>
    <row r="62" s="1" customFormat="1" ht="21" customHeight="1" spans="1:11">
      <c r="A62" s="19" t="s">
        <v>238</v>
      </c>
      <c r="B62" s="13"/>
      <c r="C62" s="17" t="s">
        <v>213</v>
      </c>
      <c r="D62" s="12">
        <v>14.3</v>
      </c>
      <c r="E62" s="12">
        <v>11</v>
      </c>
      <c r="F62" s="12"/>
      <c r="G62" s="12"/>
      <c r="H62" s="12"/>
      <c r="I62" s="27"/>
      <c r="J62" s="27"/>
      <c r="K62" s="13">
        <f t="shared" si="2"/>
        <v>25.3</v>
      </c>
    </row>
    <row r="63" s="1" customFormat="1" ht="21" customHeight="1" spans="1:11">
      <c r="A63" s="20"/>
      <c r="B63" s="13"/>
      <c r="C63" s="17" t="s">
        <v>216</v>
      </c>
      <c r="D63" s="12">
        <v>14.3</v>
      </c>
      <c r="E63" s="12">
        <v>11</v>
      </c>
      <c r="F63" s="12"/>
      <c r="G63" s="12"/>
      <c r="H63" s="12"/>
      <c r="I63" s="12"/>
      <c r="J63" s="27"/>
      <c r="K63" s="13">
        <f t="shared" si="2"/>
        <v>25.3</v>
      </c>
    </row>
    <row r="64" s="1" customFormat="1" ht="21" customHeight="1" spans="1:11">
      <c r="A64" s="21" t="s">
        <v>239</v>
      </c>
      <c r="B64" s="13"/>
      <c r="C64" s="13" t="s">
        <v>214</v>
      </c>
      <c r="D64" s="12">
        <v>14.3</v>
      </c>
      <c r="E64" s="12">
        <v>11</v>
      </c>
      <c r="F64" s="12"/>
      <c r="G64" s="12"/>
      <c r="H64" s="12"/>
      <c r="I64" s="12"/>
      <c r="J64" s="27"/>
      <c r="K64" s="13">
        <f t="shared" si="2"/>
        <v>25.3</v>
      </c>
    </row>
    <row r="65" s="1" customFormat="1" ht="21" customHeight="1" spans="1:11">
      <c r="A65" s="27" t="s">
        <v>217</v>
      </c>
      <c r="B65" s="27">
        <v>10.5</v>
      </c>
      <c r="C65" s="27" t="s">
        <v>218</v>
      </c>
      <c r="D65" s="12">
        <v>16.7</v>
      </c>
      <c r="E65" s="12">
        <v>10</v>
      </c>
      <c r="F65" s="12"/>
      <c r="G65" s="12"/>
      <c r="H65" s="12"/>
      <c r="I65" s="27"/>
      <c r="J65" s="27"/>
      <c r="K65" s="13">
        <f t="shared" si="2"/>
        <v>26.7</v>
      </c>
    </row>
    <row r="66" s="1" customFormat="1" ht="21" customHeight="1" spans="1:11">
      <c r="A66" s="27"/>
      <c r="B66" s="27"/>
      <c r="C66" s="27" t="s">
        <v>219</v>
      </c>
      <c r="D66" s="12">
        <v>16.7</v>
      </c>
      <c r="E66" s="12">
        <v>10</v>
      </c>
      <c r="F66" s="12"/>
      <c r="G66" s="12"/>
      <c r="H66" s="12"/>
      <c r="I66" s="27"/>
      <c r="J66" s="27"/>
      <c r="K66" s="13">
        <f t="shared" si="2"/>
        <v>26.7</v>
      </c>
    </row>
    <row r="67" s="1" customFormat="1" ht="21" customHeight="1" spans="1:11">
      <c r="A67" s="27" t="s">
        <v>220</v>
      </c>
      <c r="B67" s="27">
        <v>11.5</v>
      </c>
      <c r="C67" s="38" t="s">
        <v>221</v>
      </c>
      <c r="D67" s="12">
        <v>16.7</v>
      </c>
      <c r="E67" s="12">
        <v>10</v>
      </c>
      <c r="F67" s="12"/>
      <c r="G67" s="12"/>
      <c r="H67" s="12"/>
      <c r="I67" s="27"/>
      <c r="J67" s="27"/>
      <c r="K67" s="13">
        <f t="shared" si="2"/>
        <v>26.7</v>
      </c>
    </row>
    <row r="68" s="1" customFormat="1" ht="21" customHeight="1" spans="1:11">
      <c r="A68" s="27"/>
      <c r="B68" s="27"/>
      <c r="C68" s="38" t="s">
        <v>222</v>
      </c>
      <c r="D68" s="12">
        <v>16.7</v>
      </c>
      <c r="E68" s="12">
        <v>10</v>
      </c>
      <c r="F68" s="12"/>
      <c r="G68" s="12"/>
      <c r="H68" s="12"/>
      <c r="I68" s="27"/>
      <c r="J68" s="27"/>
      <c r="K68" s="13">
        <f t="shared" si="2"/>
        <v>26.7</v>
      </c>
    </row>
    <row r="69" s="1" customFormat="1" ht="21" customHeight="1" spans="1:11">
      <c r="A69" s="27"/>
      <c r="B69" s="27"/>
      <c r="C69" s="38" t="s">
        <v>223</v>
      </c>
      <c r="D69" s="12">
        <v>16.7</v>
      </c>
      <c r="E69" s="12">
        <v>5</v>
      </c>
      <c r="F69" s="12"/>
      <c r="G69" s="12"/>
      <c r="H69" s="12"/>
      <c r="I69" s="27"/>
      <c r="J69" s="27"/>
      <c r="K69" s="13">
        <f t="shared" si="2"/>
        <v>21.7</v>
      </c>
    </row>
    <row r="70" s="1" customFormat="1" ht="21" customHeight="1" spans="1:11">
      <c r="A70" s="27"/>
      <c r="B70" s="27"/>
      <c r="C70" s="38" t="s">
        <v>224</v>
      </c>
      <c r="D70" s="12">
        <v>0</v>
      </c>
      <c r="E70" s="12">
        <v>0</v>
      </c>
      <c r="F70" s="12"/>
      <c r="G70" s="12"/>
      <c r="H70" s="12"/>
      <c r="I70" s="27"/>
      <c r="J70" s="27"/>
      <c r="K70" s="13">
        <f t="shared" si="2"/>
        <v>0</v>
      </c>
    </row>
    <row r="71" s="1" customFormat="1" ht="21" customHeight="1" spans="1:11">
      <c r="A71" s="39" t="s">
        <v>225</v>
      </c>
      <c r="B71" s="39">
        <v>10.5</v>
      </c>
      <c r="C71" s="27" t="s">
        <v>226</v>
      </c>
      <c r="D71" s="12">
        <v>16.7</v>
      </c>
      <c r="E71" s="12">
        <v>5</v>
      </c>
      <c r="F71" s="12"/>
      <c r="G71" s="12"/>
      <c r="H71" s="12"/>
      <c r="I71" s="27"/>
      <c r="J71" s="27"/>
      <c r="K71" s="13">
        <f t="shared" si="2"/>
        <v>21.7</v>
      </c>
    </row>
    <row r="72" s="1" customFormat="1" ht="21" customHeight="1" spans="1:11">
      <c r="A72" s="39"/>
      <c r="B72" s="39"/>
      <c r="C72" s="27" t="s">
        <v>228</v>
      </c>
      <c r="D72" s="12">
        <v>16.7</v>
      </c>
      <c r="E72" s="12">
        <v>5</v>
      </c>
      <c r="F72" s="12"/>
      <c r="G72" s="12"/>
      <c r="H72" s="12"/>
      <c r="I72" s="27"/>
      <c r="J72" s="27"/>
      <c r="K72" s="13">
        <f t="shared" si="2"/>
        <v>21.7</v>
      </c>
    </row>
    <row r="73" s="1" customFormat="1" ht="21" customHeight="1" spans="1:11">
      <c r="A73" s="39"/>
      <c r="B73" s="39"/>
      <c r="C73" s="27" t="s">
        <v>227</v>
      </c>
      <c r="D73" s="12">
        <v>16.7</v>
      </c>
      <c r="E73" s="12">
        <v>5</v>
      </c>
      <c r="F73" s="12"/>
      <c r="G73" s="12"/>
      <c r="H73" s="12"/>
      <c r="I73" s="27"/>
      <c r="J73" s="27"/>
      <c r="K73" s="13">
        <f t="shared" si="2"/>
        <v>21.7</v>
      </c>
    </row>
    <row r="74" s="1" customFormat="1" ht="21" customHeight="1" spans="1:11">
      <c r="A74" s="39"/>
      <c r="B74" s="39"/>
      <c r="C74" s="27" t="s">
        <v>229</v>
      </c>
      <c r="D74" s="12">
        <v>0</v>
      </c>
      <c r="E74" s="12">
        <v>0</v>
      </c>
      <c r="F74" s="12"/>
      <c r="G74" s="12"/>
      <c r="H74" s="12"/>
      <c r="I74" s="27"/>
      <c r="J74" s="40"/>
      <c r="K74" s="13">
        <f t="shared" si="2"/>
        <v>0</v>
      </c>
    </row>
    <row r="75" s="1" customFormat="1" ht="21" customHeight="1" spans="1:11">
      <c r="A75" s="39"/>
      <c r="B75" s="39"/>
      <c r="C75" s="27" t="s">
        <v>240</v>
      </c>
      <c r="D75" s="12">
        <v>16.7</v>
      </c>
      <c r="E75" s="12">
        <v>5</v>
      </c>
      <c r="F75" s="12"/>
      <c r="G75" s="12"/>
      <c r="H75" s="12"/>
      <c r="I75" s="27"/>
      <c r="J75" s="40"/>
      <c r="K75" s="13">
        <f t="shared" si="2"/>
        <v>21.7</v>
      </c>
    </row>
    <row r="76" s="1" customFormat="1" ht="21" customHeight="1" spans="1:11">
      <c r="A76" s="12" t="s">
        <v>230</v>
      </c>
      <c r="B76" s="12">
        <v>10.5</v>
      </c>
      <c r="C76" s="27" t="s">
        <v>231</v>
      </c>
      <c r="D76" s="27">
        <v>10</v>
      </c>
      <c r="E76" s="27">
        <v>10</v>
      </c>
      <c r="F76" s="27"/>
      <c r="G76" s="27"/>
      <c r="H76" s="27"/>
      <c r="I76" s="27"/>
      <c r="J76" s="40"/>
      <c r="K76" s="13">
        <f t="shared" si="2"/>
        <v>20</v>
      </c>
    </row>
    <row r="77" s="1" customFormat="1" ht="21" customHeight="1" spans="1:11">
      <c r="A77" s="27" t="s">
        <v>232</v>
      </c>
      <c r="B77" s="27">
        <v>12</v>
      </c>
      <c r="C77" s="27" t="s">
        <v>233</v>
      </c>
      <c r="D77" s="27">
        <v>12</v>
      </c>
      <c r="E77" s="27">
        <v>12</v>
      </c>
      <c r="F77" s="27"/>
      <c r="G77" s="27"/>
      <c r="H77" s="27"/>
      <c r="I77" s="27"/>
      <c r="J77" s="40"/>
      <c r="K77" s="13">
        <f t="shared" si="2"/>
        <v>24</v>
      </c>
    </row>
    <row r="78" s="1" customFormat="1" ht="21" customHeight="1" spans="1:11">
      <c r="A78" s="38"/>
      <c r="B78" s="41"/>
      <c r="C78" s="41"/>
      <c r="D78" s="41"/>
      <c r="E78" s="41"/>
      <c r="F78" s="30"/>
      <c r="G78" s="41"/>
      <c r="H78" s="41"/>
      <c r="I78" s="41"/>
      <c r="J78" s="41"/>
      <c r="K78" s="31">
        <f>SUM(K57:K77)</f>
        <v>484.8</v>
      </c>
    </row>
    <row r="81" s="2" customFormat="1" ht="21.75" customHeight="1" spans="1:11">
      <c r="A81" s="88" t="s">
        <v>264</v>
      </c>
      <c r="B81" s="88"/>
      <c r="C81" s="88"/>
      <c r="D81" s="88"/>
      <c r="E81" s="88"/>
      <c r="F81" s="88"/>
      <c r="G81" s="88"/>
      <c r="H81" s="88"/>
      <c r="I81" s="88"/>
      <c r="J81" s="88"/>
      <c r="K81" s="88"/>
    </row>
    <row r="82" s="2" customFormat="1" ht="21.75" customHeight="1" spans="1:11">
      <c r="A82" s="91" t="s">
        <v>251</v>
      </c>
      <c r="B82" s="91"/>
      <c r="C82" s="91"/>
      <c r="D82" s="92" t="s">
        <v>270</v>
      </c>
      <c r="E82" s="91"/>
      <c r="F82" s="91"/>
      <c r="G82" s="91"/>
      <c r="H82" s="91"/>
      <c r="I82" s="91"/>
      <c r="J82" s="91"/>
      <c r="K82" s="91"/>
    </row>
    <row r="83" s="2" customFormat="1" ht="21.75" customHeight="1" spans="1:11">
      <c r="A83" s="93" t="s">
        <v>200</v>
      </c>
      <c r="B83" s="93" t="s">
        <v>201</v>
      </c>
      <c r="C83" s="94" t="s">
        <v>202</v>
      </c>
      <c r="D83" s="95" t="s">
        <v>6</v>
      </c>
      <c r="E83" s="95" t="s">
        <v>6</v>
      </c>
      <c r="F83" s="93" t="s">
        <v>6</v>
      </c>
      <c r="G83" s="93" t="s">
        <v>6</v>
      </c>
      <c r="H83" s="93" t="s">
        <v>6</v>
      </c>
      <c r="I83" s="93" t="s">
        <v>6</v>
      </c>
      <c r="J83" s="93" t="s">
        <v>203</v>
      </c>
      <c r="K83" s="93" t="s">
        <v>204</v>
      </c>
    </row>
    <row r="84" s="2" customFormat="1" ht="21.75" customHeight="1" spans="1:11">
      <c r="A84" s="13" t="s">
        <v>205</v>
      </c>
      <c r="B84" s="13">
        <v>12</v>
      </c>
      <c r="C84" s="38" t="s">
        <v>206</v>
      </c>
      <c r="D84" s="28">
        <v>15</v>
      </c>
      <c r="E84" s="28">
        <v>15</v>
      </c>
      <c r="F84" s="28">
        <v>15</v>
      </c>
      <c r="G84" s="13">
        <v>10</v>
      </c>
      <c r="H84" s="13"/>
      <c r="I84" s="153"/>
      <c r="J84" s="98"/>
      <c r="K84" s="13">
        <f>SUM(D84:J84)</f>
        <v>55</v>
      </c>
    </row>
    <row r="85" s="2" customFormat="1" ht="21.75" customHeight="1" spans="1:11">
      <c r="A85" s="96" t="s">
        <v>207</v>
      </c>
      <c r="B85" s="13">
        <v>11.5</v>
      </c>
      <c r="C85" s="17" t="s">
        <v>208</v>
      </c>
      <c r="D85" s="154">
        <v>21.5</v>
      </c>
      <c r="E85" s="154">
        <v>21.5</v>
      </c>
      <c r="F85" s="154">
        <v>21.5</v>
      </c>
      <c r="G85" s="13">
        <v>0</v>
      </c>
      <c r="H85" s="13"/>
      <c r="I85" s="153"/>
      <c r="J85" s="98"/>
      <c r="K85" s="13">
        <f>SUM(D85:J85)</f>
        <v>64.5</v>
      </c>
    </row>
    <row r="86" s="2" customFormat="1" ht="21.75" customHeight="1" spans="1:11">
      <c r="A86" s="96"/>
      <c r="B86" s="13"/>
      <c r="C86" s="17" t="s">
        <v>210</v>
      </c>
      <c r="D86" s="154">
        <v>21.5</v>
      </c>
      <c r="E86" s="154">
        <v>21.5</v>
      </c>
      <c r="F86" s="154">
        <v>21.5</v>
      </c>
      <c r="G86" s="13">
        <v>10</v>
      </c>
      <c r="H86" s="13"/>
      <c r="I86" s="153"/>
      <c r="J86" s="98"/>
      <c r="K86" s="13">
        <f t="shared" ref="K86:K105" si="3">SUM(D86:J86)</f>
        <v>74.5</v>
      </c>
    </row>
    <row r="87" s="2" customFormat="1" ht="21.75" customHeight="1" spans="1:11">
      <c r="A87" s="19" t="s">
        <v>211</v>
      </c>
      <c r="B87" s="28">
        <v>11.5</v>
      </c>
      <c r="C87" s="17" t="s">
        <v>212</v>
      </c>
      <c r="D87" s="154">
        <v>14.3</v>
      </c>
      <c r="E87" s="154">
        <v>14.3</v>
      </c>
      <c r="F87" s="154">
        <v>14.3</v>
      </c>
      <c r="G87" s="13">
        <v>11.5</v>
      </c>
      <c r="H87" s="13"/>
      <c r="I87" s="153"/>
      <c r="J87" s="98"/>
      <c r="K87" s="13">
        <f t="shared" si="3"/>
        <v>54.4</v>
      </c>
    </row>
    <row r="88" s="2" customFormat="1" ht="21.75" customHeight="1" spans="1:11">
      <c r="A88" s="155"/>
      <c r="B88" s="97"/>
      <c r="C88" s="17" t="s">
        <v>213</v>
      </c>
      <c r="D88" s="154">
        <v>14.3</v>
      </c>
      <c r="E88" s="154">
        <v>14.3</v>
      </c>
      <c r="F88" s="154">
        <v>14.3</v>
      </c>
      <c r="G88" s="13">
        <v>11.5</v>
      </c>
      <c r="H88" s="13"/>
      <c r="I88" s="153"/>
      <c r="J88" s="98"/>
      <c r="K88" s="13">
        <f t="shared" si="3"/>
        <v>54.4</v>
      </c>
    </row>
    <row r="89" s="2" customFormat="1" ht="21.75" customHeight="1" spans="1:11">
      <c r="A89" s="155"/>
      <c r="B89" s="97"/>
      <c r="C89" s="13" t="s">
        <v>214</v>
      </c>
      <c r="D89" s="156">
        <v>14.3</v>
      </c>
      <c r="E89" s="156">
        <v>14.3</v>
      </c>
      <c r="F89" s="156">
        <v>14.3</v>
      </c>
      <c r="G89" s="13">
        <v>11.5</v>
      </c>
      <c r="H89" s="13"/>
      <c r="I89" s="153"/>
      <c r="J89" s="98"/>
      <c r="K89" s="13">
        <f t="shared" si="3"/>
        <v>54.4</v>
      </c>
    </row>
    <row r="90" s="2" customFormat="1" ht="21.75" customHeight="1" spans="1:11">
      <c r="A90" s="155"/>
      <c r="B90" s="97"/>
      <c r="C90" s="17" t="s">
        <v>216</v>
      </c>
      <c r="D90" s="154">
        <v>0</v>
      </c>
      <c r="E90" s="154">
        <v>0</v>
      </c>
      <c r="F90" s="154">
        <v>0</v>
      </c>
      <c r="G90" s="13">
        <v>0</v>
      </c>
      <c r="H90" s="13"/>
      <c r="I90" s="153"/>
      <c r="J90" s="98"/>
      <c r="K90" s="13">
        <f t="shared" si="3"/>
        <v>0</v>
      </c>
    </row>
    <row r="91" s="2" customFormat="1" ht="21.75" customHeight="1" spans="1:11">
      <c r="A91" s="20"/>
      <c r="B91" s="157"/>
      <c r="C91" s="17" t="s">
        <v>215</v>
      </c>
      <c r="D91" s="154">
        <v>14.3</v>
      </c>
      <c r="E91" s="154">
        <v>14.3</v>
      </c>
      <c r="F91" s="154">
        <v>14.3</v>
      </c>
      <c r="G91" s="13">
        <v>11.5</v>
      </c>
      <c r="H91" s="13"/>
      <c r="I91" s="153"/>
      <c r="J91" s="98"/>
      <c r="K91" s="13">
        <f t="shared" si="3"/>
        <v>54.4</v>
      </c>
    </row>
    <row r="92" s="2" customFormat="1" ht="21.75" customHeight="1" spans="1:11">
      <c r="A92" s="13" t="s">
        <v>217</v>
      </c>
      <c r="B92" s="13">
        <v>10.5</v>
      </c>
      <c r="C92" s="13" t="s">
        <v>218</v>
      </c>
      <c r="D92" s="154">
        <v>16.7</v>
      </c>
      <c r="E92" s="154">
        <v>16.7</v>
      </c>
      <c r="F92" s="154">
        <v>16.7</v>
      </c>
      <c r="G92" s="13">
        <v>10</v>
      </c>
      <c r="H92" s="13"/>
      <c r="I92" s="153"/>
      <c r="J92" s="98"/>
      <c r="K92" s="13">
        <f t="shared" si="3"/>
        <v>60.1</v>
      </c>
    </row>
    <row r="93" s="2" customFormat="1" ht="21.75" customHeight="1" spans="1:11">
      <c r="A93" s="13"/>
      <c r="B93" s="13"/>
      <c r="C93" s="13" t="s">
        <v>219</v>
      </c>
      <c r="D93" s="28">
        <v>16.7</v>
      </c>
      <c r="E93" s="28">
        <v>16.7</v>
      </c>
      <c r="F93" s="28">
        <v>16.7</v>
      </c>
      <c r="G93" s="13">
        <v>10</v>
      </c>
      <c r="H93" s="13"/>
      <c r="I93" s="153"/>
      <c r="J93" s="98"/>
      <c r="K93" s="13">
        <f t="shared" si="3"/>
        <v>60.1</v>
      </c>
    </row>
    <row r="94" s="2" customFormat="1" ht="21.75" customHeight="1" spans="1:11">
      <c r="A94" s="13" t="s">
        <v>220</v>
      </c>
      <c r="B94" s="13">
        <v>11.5</v>
      </c>
      <c r="C94" s="17" t="s">
        <v>221</v>
      </c>
      <c r="D94" s="28">
        <v>0</v>
      </c>
      <c r="E94" s="28">
        <v>0</v>
      </c>
      <c r="F94" s="28">
        <v>0</v>
      </c>
      <c r="G94" s="13">
        <v>0</v>
      </c>
      <c r="H94" s="13"/>
      <c r="I94" s="153"/>
      <c r="J94" s="98"/>
      <c r="K94" s="13">
        <f t="shared" si="3"/>
        <v>0</v>
      </c>
    </row>
    <row r="95" s="2" customFormat="1" ht="21.75" customHeight="1" spans="1:11">
      <c r="A95" s="13"/>
      <c r="B95" s="13"/>
      <c r="C95" s="17" t="s">
        <v>222</v>
      </c>
      <c r="D95" s="28">
        <v>16.7</v>
      </c>
      <c r="E95" s="28">
        <v>16.7</v>
      </c>
      <c r="F95" s="28">
        <v>16.7</v>
      </c>
      <c r="G95" s="13">
        <v>10</v>
      </c>
      <c r="H95" s="13"/>
      <c r="I95" s="153"/>
      <c r="J95" s="98"/>
      <c r="K95" s="13">
        <f t="shared" si="3"/>
        <v>60.1</v>
      </c>
    </row>
    <row r="96" s="2" customFormat="1" ht="21.75" customHeight="1" spans="1:11">
      <c r="A96" s="13"/>
      <c r="B96" s="13"/>
      <c r="C96" s="17" t="s">
        <v>223</v>
      </c>
      <c r="D96" s="28">
        <v>16.7</v>
      </c>
      <c r="E96" s="28">
        <v>16.7</v>
      </c>
      <c r="F96" s="28">
        <v>16.7</v>
      </c>
      <c r="G96" s="13">
        <v>5</v>
      </c>
      <c r="H96" s="13"/>
      <c r="I96" s="153"/>
      <c r="J96" s="98"/>
      <c r="K96" s="13">
        <f t="shared" si="3"/>
        <v>55.1</v>
      </c>
    </row>
    <row r="97" s="2" customFormat="1" ht="21.75" customHeight="1" spans="1:11">
      <c r="A97" s="13"/>
      <c r="B97" s="13"/>
      <c r="C97" s="17" t="s">
        <v>224</v>
      </c>
      <c r="D97" s="28">
        <v>0</v>
      </c>
      <c r="E97" s="28">
        <v>0</v>
      </c>
      <c r="F97" s="28">
        <v>0</v>
      </c>
      <c r="G97" s="13">
        <v>0</v>
      </c>
      <c r="H97" s="13"/>
      <c r="I97" s="153"/>
      <c r="J97" s="98"/>
      <c r="K97" s="13">
        <f t="shared" si="3"/>
        <v>0</v>
      </c>
    </row>
    <row r="98" s="2" customFormat="1" ht="21.75" customHeight="1" spans="1:11">
      <c r="A98" s="85" t="s">
        <v>225</v>
      </c>
      <c r="B98" s="85">
        <v>10.5</v>
      </c>
      <c r="C98" s="13" t="s">
        <v>226</v>
      </c>
      <c r="D98" s="28">
        <v>16.7</v>
      </c>
      <c r="E98" s="28">
        <v>16.7</v>
      </c>
      <c r="F98" s="28">
        <v>16.7</v>
      </c>
      <c r="G98" s="28">
        <v>0</v>
      </c>
      <c r="H98" s="28"/>
      <c r="I98" s="153"/>
      <c r="J98" s="98"/>
      <c r="K98" s="13">
        <f t="shared" si="3"/>
        <v>50.1</v>
      </c>
    </row>
    <row r="99" s="2" customFormat="1" ht="21.75" customHeight="1" spans="1:11">
      <c r="A99" s="85"/>
      <c r="B99" s="85"/>
      <c r="C99" s="13" t="s">
        <v>228</v>
      </c>
      <c r="D99" s="28">
        <v>16.7</v>
      </c>
      <c r="E99" s="28">
        <v>16.7</v>
      </c>
      <c r="F99" s="28">
        <v>16.7</v>
      </c>
      <c r="G99" s="13">
        <v>10</v>
      </c>
      <c r="H99" s="13"/>
      <c r="I99" s="153"/>
      <c r="J99" s="98"/>
      <c r="K99" s="13">
        <f t="shared" si="3"/>
        <v>60.1</v>
      </c>
    </row>
    <row r="100" s="2" customFormat="1" ht="21.75" customHeight="1" spans="1:11">
      <c r="A100" s="85"/>
      <c r="B100" s="85"/>
      <c r="C100" s="13" t="s">
        <v>227</v>
      </c>
      <c r="D100" s="28">
        <v>0</v>
      </c>
      <c r="E100" s="28">
        <v>0</v>
      </c>
      <c r="F100" s="28">
        <v>0</v>
      </c>
      <c r="G100" s="13">
        <v>5</v>
      </c>
      <c r="H100" s="13"/>
      <c r="I100" s="153"/>
      <c r="J100" s="98"/>
      <c r="K100" s="13">
        <f t="shared" si="3"/>
        <v>5</v>
      </c>
    </row>
    <row r="101" s="2" customFormat="1" ht="21.75" customHeight="1" spans="1:11">
      <c r="A101" s="85"/>
      <c r="B101" s="85"/>
      <c r="C101" s="13" t="s">
        <v>229</v>
      </c>
      <c r="D101" s="28">
        <v>16.7</v>
      </c>
      <c r="E101" s="28">
        <v>16.7</v>
      </c>
      <c r="F101" s="28">
        <v>16.7</v>
      </c>
      <c r="G101" s="13">
        <v>5</v>
      </c>
      <c r="H101" s="13"/>
      <c r="I101" s="153"/>
      <c r="J101" s="98"/>
      <c r="K101" s="13">
        <f t="shared" si="3"/>
        <v>55.1</v>
      </c>
    </row>
    <row r="102" s="2" customFormat="1" ht="21.75" customHeight="1" spans="1:11">
      <c r="A102" s="85"/>
      <c r="B102" s="85"/>
      <c r="C102" s="13" t="s">
        <v>240</v>
      </c>
      <c r="D102" s="28">
        <v>16.7</v>
      </c>
      <c r="E102" s="28">
        <v>16.7</v>
      </c>
      <c r="F102" s="28">
        <v>16.7</v>
      </c>
      <c r="G102" s="13">
        <v>5</v>
      </c>
      <c r="H102" s="13"/>
      <c r="I102" s="153"/>
      <c r="J102" s="98"/>
      <c r="K102" s="13">
        <f t="shared" si="3"/>
        <v>55.1</v>
      </c>
    </row>
    <row r="103" s="2" customFormat="1" ht="21.75" customHeight="1" spans="1:11">
      <c r="A103" s="28" t="s">
        <v>230</v>
      </c>
      <c r="B103" s="28">
        <v>10.5</v>
      </c>
      <c r="C103" s="13" t="s">
        <v>231</v>
      </c>
      <c r="D103" s="13">
        <v>10</v>
      </c>
      <c r="E103" s="13">
        <v>10</v>
      </c>
      <c r="F103" s="13">
        <v>10</v>
      </c>
      <c r="G103" s="13">
        <v>10</v>
      </c>
      <c r="H103" s="13"/>
      <c r="I103" s="153"/>
      <c r="J103" s="98"/>
      <c r="K103" s="13">
        <f t="shared" si="3"/>
        <v>40</v>
      </c>
    </row>
    <row r="104" s="2" customFormat="1" ht="21.75" customHeight="1" spans="1:11">
      <c r="A104" s="13" t="s">
        <v>232</v>
      </c>
      <c r="B104" s="13">
        <v>12</v>
      </c>
      <c r="C104" s="13" t="s">
        <v>233</v>
      </c>
      <c r="D104" s="13">
        <v>12</v>
      </c>
      <c r="E104" s="13">
        <v>12</v>
      </c>
      <c r="F104" s="13">
        <v>12</v>
      </c>
      <c r="G104" s="13">
        <v>12</v>
      </c>
      <c r="H104" s="13"/>
      <c r="I104" s="153"/>
      <c r="J104" s="98"/>
      <c r="K104" s="13">
        <f t="shared" si="3"/>
        <v>48</v>
      </c>
    </row>
    <row r="105" s="2" customFormat="1" ht="21.75" customHeight="1" spans="1:11">
      <c r="A105" s="17"/>
      <c r="B105" s="29"/>
      <c r="C105" s="29"/>
      <c r="D105" s="29"/>
      <c r="E105" s="29"/>
      <c r="F105" s="29"/>
      <c r="G105" s="29"/>
      <c r="H105" s="29"/>
      <c r="I105" s="29"/>
      <c r="J105" s="29"/>
      <c r="K105" s="13">
        <f>SUM(K84:K104)</f>
        <v>960.4</v>
      </c>
    </row>
    <row r="108" s="3" customFormat="1" ht="21" customHeight="1" spans="1:11">
      <c r="A108" s="48" t="s">
        <v>264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50"/>
    </row>
    <row r="109" s="3" customFormat="1" ht="21" customHeight="1" spans="1:11">
      <c r="A109" s="51" t="s">
        <v>271</v>
      </c>
      <c r="B109" s="52"/>
      <c r="C109" s="52"/>
      <c r="D109" s="53" t="s">
        <v>272</v>
      </c>
      <c r="E109" s="52"/>
      <c r="F109" s="52"/>
      <c r="G109" s="52"/>
      <c r="H109" s="52"/>
      <c r="I109" s="52"/>
      <c r="J109" s="52"/>
      <c r="K109" s="52"/>
    </row>
    <row r="110" s="3" customFormat="1" ht="21" customHeight="1" spans="1:11">
      <c r="A110" s="47" t="s">
        <v>200</v>
      </c>
      <c r="B110" s="47" t="s">
        <v>201</v>
      </c>
      <c r="C110" s="54" t="s">
        <v>202</v>
      </c>
      <c r="D110" s="55" t="s">
        <v>6</v>
      </c>
      <c r="E110" s="55" t="s">
        <v>6</v>
      </c>
      <c r="F110" s="47" t="s">
        <v>6</v>
      </c>
      <c r="G110" s="47" t="s">
        <v>6</v>
      </c>
      <c r="H110" s="47" t="s">
        <v>6</v>
      </c>
      <c r="I110" s="47" t="s">
        <v>6</v>
      </c>
      <c r="J110" s="47" t="s">
        <v>203</v>
      </c>
      <c r="K110" s="47" t="s">
        <v>204</v>
      </c>
    </row>
    <row r="111" s="3" customFormat="1" ht="21" customHeight="1" spans="1:11">
      <c r="A111" s="47" t="s">
        <v>205</v>
      </c>
      <c r="B111" s="47">
        <v>12</v>
      </c>
      <c r="C111" s="54" t="s">
        <v>206</v>
      </c>
      <c r="D111" s="55">
        <v>12</v>
      </c>
      <c r="E111" s="55">
        <v>10</v>
      </c>
      <c r="F111" s="55"/>
      <c r="G111" s="55"/>
      <c r="H111" s="55"/>
      <c r="I111" s="47"/>
      <c r="J111" s="47"/>
      <c r="K111" s="56">
        <f>SUM(D111:J111)</f>
        <v>22</v>
      </c>
    </row>
    <row r="112" s="3" customFormat="1" ht="21" customHeight="1" spans="1:11">
      <c r="A112" s="84" t="s">
        <v>207</v>
      </c>
      <c r="B112" s="47">
        <v>11.5</v>
      </c>
      <c r="C112" s="54" t="s">
        <v>208</v>
      </c>
      <c r="D112" s="55">
        <v>17.5</v>
      </c>
      <c r="E112" s="55">
        <v>15</v>
      </c>
      <c r="F112" s="55"/>
      <c r="G112" s="55"/>
      <c r="H112" s="55"/>
      <c r="I112" s="47"/>
      <c r="J112" s="47"/>
      <c r="K112" s="56">
        <f>SUM(D112:J112)</f>
        <v>32.5</v>
      </c>
    </row>
    <row r="113" s="3" customFormat="1" ht="21" customHeight="1" spans="1:11">
      <c r="A113" s="84"/>
      <c r="B113" s="47"/>
      <c r="C113" s="54" t="s">
        <v>210</v>
      </c>
      <c r="D113" s="55">
        <v>17.5</v>
      </c>
      <c r="E113" s="55">
        <v>15</v>
      </c>
      <c r="F113" s="55"/>
      <c r="G113" s="55"/>
      <c r="H113" s="55"/>
      <c r="I113" s="47"/>
      <c r="J113" s="47"/>
      <c r="K113" s="56">
        <f t="shared" ref="K113:K132" si="4">SUM(D113:J113)</f>
        <v>32.5</v>
      </c>
    </row>
    <row r="114" s="3" customFormat="1" ht="21" customHeight="1" spans="1:11">
      <c r="A114" s="79" t="s">
        <v>237</v>
      </c>
      <c r="B114" s="56">
        <v>11.5</v>
      </c>
      <c r="C114" s="61" t="s">
        <v>212</v>
      </c>
      <c r="D114" s="55">
        <v>11.5</v>
      </c>
      <c r="E114" s="55">
        <v>10</v>
      </c>
      <c r="F114" s="55"/>
      <c r="G114" s="55"/>
      <c r="H114" s="55"/>
      <c r="I114" s="47"/>
      <c r="J114" s="47"/>
      <c r="K114" s="56">
        <f t="shared" si="4"/>
        <v>21.5</v>
      </c>
    </row>
    <row r="115" s="3" customFormat="1" ht="21" customHeight="1" spans="1:11">
      <c r="A115" s="80"/>
      <c r="B115" s="56"/>
      <c r="C115" s="3" t="s">
        <v>215</v>
      </c>
      <c r="D115" s="55">
        <v>15</v>
      </c>
      <c r="E115" s="55">
        <v>10</v>
      </c>
      <c r="F115" s="55"/>
      <c r="G115" s="55"/>
      <c r="H115" s="55"/>
      <c r="I115" s="47"/>
      <c r="J115" s="47"/>
      <c r="K115" s="56">
        <f t="shared" si="4"/>
        <v>25</v>
      </c>
    </row>
    <row r="116" s="3" customFormat="1" ht="21" customHeight="1" spans="1:11">
      <c r="A116" s="81" t="s">
        <v>238</v>
      </c>
      <c r="B116" s="56"/>
      <c r="C116" s="61" t="s">
        <v>213</v>
      </c>
      <c r="D116" s="55">
        <v>10</v>
      </c>
      <c r="E116" s="55">
        <v>10</v>
      </c>
      <c r="F116" s="55"/>
      <c r="G116" s="55"/>
      <c r="H116" s="55"/>
      <c r="I116" s="47"/>
      <c r="J116" s="47"/>
      <c r="K116" s="56">
        <f t="shared" si="4"/>
        <v>20</v>
      </c>
    </row>
    <row r="117" s="3" customFormat="1" ht="21" customHeight="1" spans="1:11">
      <c r="A117" s="82"/>
      <c r="B117" s="56"/>
      <c r="C117" s="61" t="s">
        <v>216</v>
      </c>
      <c r="D117" s="55">
        <v>10</v>
      </c>
      <c r="E117" s="55">
        <v>15</v>
      </c>
      <c r="F117" s="55"/>
      <c r="G117" s="55"/>
      <c r="H117" s="55"/>
      <c r="I117" s="55"/>
      <c r="J117" s="47"/>
      <c r="K117" s="56">
        <f t="shared" si="4"/>
        <v>25</v>
      </c>
    </row>
    <row r="118" s="3" customFormat="1" ht="21" customHeight="1" spans="1:11">
      <c r="A118" s="84" t="s">
        <v>239</v>
      </c>
      <c r="B118" s="56"/>
      <c r="C118" s="56" t="s">
        <v>214</v>
      </c>
      <c r="D118" s="55">
        <v>15</v>
      </c>
      <c r="E118" s="55">
        <v>10</v>
      </c>
      <c r="F118" s="55"/>
      <c r="G118" s="55"/>
      <c r="H118" s="55"/>
      <c r="I118" s="55"/>
      <c r="J118" s="47"/>
      <c r="K118" s="56">
        <f t="shared" si="4"/>
        <v>25</v>
      </c>
    </row>
    <row r="119" s="3" customFormat="1" ht="21" customHeight="1" spans="1:11">
      <c r="A119" s="47" t="s">
        <v>217</v>
      </c>
      <c r="B119" s="47">
        <v>10.5</v>
      </c>
      <c r="C119" s="47" t="s">
        <v>218</v>
      </c>
      <c r="D119" s="55">
        <v>15</v>
      </c>
      <c r="E119" s="55">
        <v>10</v>
      </c>
      <c r="F119" s="55"/>
      <c r="G119" s="55"/>
      <c r="H119" s="55"/>
      <c r="I119" s="47"/>
      <c r="J119" s="47"/>
      <c r="K119" s="56">
        <f t="shared" si="4"/>
        <v>25</v>
      </c>
    </row>
    <row r="120" s="3" customFormat="1" ht="21" customHeight="1" spans="1:11">
      <c r="A120" s="47"/>
      <c r="B120" s="47"/>
      <c r="C120" s="47" t="s">
        <v>219</v>
      </c>
      <c r="D120" s="55">
        <v>15</v>
      </c>
      <c r="E120" s="55">
        <v>10</v>
      </c>
      <c r="F120" s="55"/>
      <c r="G120" s="55"/>
      <c r="H120" s="55"/>
      <c r="I120" s="47"/>
      <c r="J120" s="47"/>
      <c r="K120" s="56">
        <f t="shared" si="4"/>
        <v>25</v>
      </c>
    </row>
    <row r="121" s="3" customFormat="1" ht="21" customHeight="1" spans="1:11">
      <c r="A121" s="47" t="s">
        <v>220</v>
      </c>
      <c r="B121" s="47">
        <v>11.5</v>
      </c>
      <c r="C121" s="54" t="s">
        <v>221</v>
      </c>
      <c r="D121" s="55">
        <v>10</v>
      </c>
      <c r="E121" s="55">
        <v>11.5</v>
      </c>
      <c r="F121" s="55"/>
      <c r="G121" s="55"/>
      <c r="H121" s="55"/>
      <c r="I121" s="47"/>
      <c r="J121" s="47"/>
      <c r="K121" s="56">
        <f t="shared" si="4"/>
        <v>21.5</v>
      </c>
    </row>
    <row r="122" s="3" customFormat="1" ht="21" customHeight="1" spans="1:11">
      <c r="A122" s="47"/>
      <c r="B122" s="47"/>
      <c r="C122" s="54" t="s">
        <v>222</v>
      </c>
      <c r="D122" s="55">
        <v>10.5</v>
      </c>
      <c r="E122" s="55">
        <v>5</v>
      </c>
      <c r="F122" s="55"/>
      <c r="G122" s="55"/>
      <c r="H122" s="55"/>
      <c r="I122" s="47"/>
      <c r="J122" s="47"/>
      <c r="K122" s="56">
        <f t="shared" si="4"/>
        <v>15.5</v>
      </c>
    </row>
    <row r="123" s="3" customFormat="1" ht="21" customHeight="1" spans="1:11">
      <c r="A123" s="47"/>
      <c r="B123" s="47"/>
      <c r="C123" s="54" t="s">
        <v>223</v>
      </c>
      <c r="D123" s="55">
        <v>10.5</v>
      </c>
      <c r="E123" s="55">
        <v>5</v>
      </c>
      <c r="F123" s="55"/>
      <c r="G123" s="55"/>
      <c r="H123" s="55"/>
      <c r="I123" s="47"/>
      <c r="J123" s="47"/>
      <c r="K123" s="56">
        <f t="shared" si="4"/>
        <v>15.5</v>
      </c>
    </row>
    <row r="124" s="3" customFormat="1" ht="21" customHeight="1" spans="1:11">
      <c r="A124" s="47"/>
      <c r="B124" s="47"/>
      <c r="C124" s="54" t="s">
        <v>224</v>
      </c>
      <c r="D124" s="55">
        <v>10.5</v>
      </c>
      <c r="E124" s="55">
        <v>10</v>
      </c>
      <c r="F124" s="55"/>
      <c r="G124" s="55"/>
      <c r="H124" s="55"/>
      <c r="I124" s="47"/>
      <c r="J124" s="47"/>
      <c r="K124" s="56">
        <f t="shared" si="4"/>
        <v>20.5</v>
      </c>
    </row>
    <row r="125" s="3" customFormat="1" ht="21" customHeight="1" spans="1:11">
      <c r="A125" s="64" t="s">
        <v>225</v>
      </c>
      <c r="B125" s="64">
        <v>10.5</v>
      </c>
      <c r="C125" s="47" t="s">
        <v>226</v>
      </c>
      <c r="D125" s="55">
        <v>15.2</v>
      </c>
      <c r="E125" s="55">
        <v>5</v>
      </c>
      <c r="F125" s="54"/>
      <c r="G125" s="55"/>
      <c r="H125" s="55"/>
      <c r="I125" s="47"/>
      <c r="J125" s="47"/>
      <c r="K125" s="56">
        <f t="shared" si="4"/>
        <v>20.2</v>
      </c>
    </row>
    <row r="126" s="3" customFormat="1" ht="21" customHeight="1" spans="1:11">
      <c r="A126" s="64"/>
      <c r="B126" s="64"/>
      <c r="C126" s="47" t="s">
        <v>228</v>
      </c>
      <c r="D126" s="55">
        <v>30.4</v>
      </c>
      <c r="E126" s="55">
        <v>10</v>
      </c>
      <c r="F126" s="55"/>
      <c r="G126" s="55"/>
      <c r="H126" s="55"/>
      <c r="I126" s="47"/>
      <c r="J126" s="47"/>
      <c r="K126" s="56">
        <f t="shared" si="4"/>
        <v>40.4</v>
      </c>
    </row>
    <row r="127" s="3" customFormat="1" ht="21" customHeight="1" spans="1:11">
      <c r="A127" s="64"/>
      <c r="B127" s="64"/>
      <c r="C127" s="47" t="s">
        <v>227</v>
      </c>
      <c r="D127" s="55">
        <v>15.2</v>
      </c>
      <c r="E127" s="55">
        <v>5</v>
      </c>
      <c r="F127" s="55"/>
      <c r="G127" s="55"/>
      <c r="H127" s="55"/>
      <c r="I127" s="47"/>
      <c r="J127" s="47"/>
      <c r="K127" s="56">
        <f t="shared" si="4"/>
        <v>20.2</v>
      </c>
    </row>
    <row r="128" s="3" customFormat="1" ht="21" customHeight="1" spans="1:11">
      <c r="A128" s="64"/>
      <c r="B128" s="64"/>
      <c r="C128" s="47" t="s">
        <v>229</v>
      </c>
      <c r="D128" s="55">
        <v>15.2</v>
      </c>
      <c r="E128" s="55">
        <v>5</v>
      </c>
      <c r="F128" s="55"/>
      <c r="G128" s="55"/>
      <c r="H128" s="55"/>
      <c r="I128" s="47"/>
      <c r="J128" s="58"/>
      <c r="K128" s="56">
        <f t="shared" si="4"/>
        <v>20.2</v>
      </c>
    </row>
    <row r="129" s="3" customFormat="1" ht="21" customHeight="1" spans="1:11">
      <c r="A129" s="64"/>
      <c r="B129" s="64"/>
      <c r="C129" s="47" t="s">
        <v>240</v>
      </c>
      <c r="D129" s="55">
        <v>15.2</v>
      </c>
      <c r="E129" s="55">
        <v>5</v>
      </c>
      <c r="F129" s="55"/>
      <c r="G129" s="55"/>
      <c r="H129" s="55"/>
      <c r="I129" s="47"/>
      <c r="J129" s="58"/>
      <c r="K129" s="56">
        <f t="shared" si="4"/>
        <v>20.2</v>
      </c>
    </row>
    <row r="130" s="3" customFormat="1" ht="21" customHeight="1" spans="1:11">
      <c r="A130" s="55" t="s">
        <v>230</v>
      </c>
      <c r="B130" s="55">
        <v>10.5</v>
      </c>
      <c r="C130" s="47" t="s">
        <v>231</v>
      </c>
      <c r="D130" s="55">
        <v>10</v>
      </c>
      <c r="E130" s="55">
        <v>5</v>
      </c>
      <c r="F130" s="47"/>
      <c r="G130" s="47"/>
      <c r="H130" s="47"/>
      <c r="I130" s="47"/>
      <c r="J130" s="58"/>
      <c r="K130" s="56">
        <f t="shared" si="4"/>
        <v>15</v>
      </c>
    </row>
    <row r="131" s="3" customFormat="1" ht="21" customHeight="1" spans="1:11">
      <c r="A131" s="47" t="s">
        <v>232</v>
      </c>
      <c r="B131" s="47">
        <v>12</v>
      </c>
      <c r="C131" s="47" t="s">
        <v>233</v>
      </c>
      <c r="D131" s="47">
        <v>12</v>
      </c>
      <c r="E131" s="47">
        <v>5</v>
      </c>
      <c r="F131" s="47"/>
      <c r="G131" s="47"/>
      <c r="H131" s="47"/>
      <c r="I131" s="47"/>
      <c r="J131" s="58"/>
      <c r="K131" s="56">
        <f t="shared" si="4"/>
        <v>17</v>
      </c>
    </row>
    <row r="132" s="3" customFormat="1" ht="21" customHeight="1" spans="1:11">
      <c r="A132" s="237"/>
      <c r="B132" s="237"/>
      <c r="C132" s="237"/>
      <c r="D132" s="237"/>
      <c r="E132" s="237"/>
      <c r="F132" s="237"/>
      <c r="G132" s="237"/>
      <c r="H132" s="237"/>
      <c r="I132" s="237"/>
      <c r="J132" s="237"/>
      <c r="K132" s="68">
        <f>SUM(K111:K131)</f>
        <v>479.7</v>
      </c>
    </row>
    <row r="135" s="2" customFormat="1" ht="24" customHeight="1" spans="1:11">
      <c r="A135" s="48" t="s">
        <v>264</v>
      </c>
      <c r="B135" s="49"/>
      <c r="C135" s="49"/>
      <c r="D135" s="49"/>
      <c r="E135" s="49"/>
      <c r="F135" s="49"/>
      <c r="G135" s="49"/>
      <c r="H135" s="49"/>
      <c r="I135" s="49"/>
      <c r="J135" s="49"/>
      <c r="K135" s="50"/>
    </row>
    <row r="136" s="2" customFormat="1" ht="24" customHeight="1" spans="1:11">
      <c r="A136" s="51" t="s">
        <v>257</v>
      </c>
      <c r="B136" s="52"/>
      <c r="C136" s="52"/>
      <c r="D136" s="53" t="s">
        <v>273</v>
      </c>
      <c r="E136" s="52"/>
      <c r="F136" s="52"/>
      <c r="G136" s="52"/>
      <c r="H136" s="52"/>
      <c r="I136" s="52"/>
      <c r="J136" s="52"/>
      <c r="K136" s="52"/>
    </row>
    <row r="137" s="2" customFormat="1" ht="24" customHeight="1" spans="1:11">
      <c r="A137" s="47" t="s">
        <v>200</v>
      </c>
      <c r="B137" s="47" t="s">
        <v>201</v>
      </c>
      <c r="C137" s="54" t="s">
        <v>202</v>
      </c>
      <c r="D137" s="55" t="s">
        <v>6</v>
      </c>
      <c r="E137" s="55" t="s">
        <v>6</v>
      </c>
      <c r="F137" s="47" t="s">
        <v>6</v>
      </c>
      <c r="G137" s="47" t="s">
        <v>6</v>
      </c>
      <c r="H137" s="47" t="s">
        <v>6</v>
      </c>
      <c r="I137" s="47" t="s">
        <v>6</v>
      </c>
      <c r="J137" s="47" t="s">
        <v>203</v>
      </c>
      <c r="K137" s="47" t="s">
        <v>204</v>
      </c>
    </row>
    <row r="138" s="2" customFormat="1" ht="24" customHeight="1" spans="1:11">
      <c r="A138" s="55" t="s">
        <v>205</v>
      </c>
      <c r="B138" s="47">
        <v>12</v>
      </c>
      <c r="C138" s="54" t="s">
        <v>206</v>
      </c>
      <c r="D138" s="12">
        <v>12</v>
      </c>
      <c r="E138" s="12">
        <v>10</v>
      </c>
      <c r="F138" s="13">
        <v>0</v>
      </c>
      <c r="G138" s="55"/>
      <c r="H138" s="55"/>
      <c r="I138" s="47"/>
      <c r="J138" s="47"/>
      <c r="K138" s="56">
        <f>SUM(D138:J138)</f>
        <v>22</v>
      </c>
    </row>
    <row r="139" s="2" customFormat="1" ht="24" customHeight="1" spans="1:11">
      <c r="A139" s="57" t="s">
        <v>207</v>
      </c>
      <c r="B139" s="58">
        <v>11.5</v>
      </c>
      <c r="C139" s="54" t="s">
        <v>208</v>
      </c>
      <c r="D139" s="12">
        <v>11.5</v>
      </c>
      <c r="E139" s="12">
        <v>10</v>
      </c>
      <c r="F139" s="13">
        <v>10</v>
      </c>
      <c r="G139" s="55"/>
      <c r="H139" s="55"/>
      <c r="I139" s="47"/>
      <c r="J139" s="47"/>
      <c r="K139" s="56">
        <f>SUM(D139:J139)</f>
        <v>31.5</v>
      </c>
    </row>
    <row r="140" s="2" customFormat="1" ht="24" customHeight="1" spans="1:11">
      <c r="A140" s="57"/>
      <c r="B140" s="58"/>
      <c r="C140" s="54" t="s">
        <v>210</v>
      </c>
      <c r="D140" s="12">
        <v>23</v>
      </c>
      <c r="E140" s="12">
        <v>20</v>
      </c>
      <c r="F140" s="13">
        <v>5</v>
      </c>
      <c r="G140" s="55"/>
      <c r="H140" s="55"/>
      <c r="I140" s="47"/>
      <c r="J140" s="47"/>
      <c r="K140" s="56">
        <f t="shared" ref="K140:K159" si="5">SUM(D140:J140)</f>
        <v>48</v>
      </c>
    </row>
    <row r="141" s="2" customFormat="1" ht="24" customHeight="1" spans="1:11">
      <c r="A141" s="59" t="s">
        <v>237</v>
      </c>
      <c r="B141" s="60">
        <v>11.5</v>
      </c>
      <c r="C141" s="61" t="s">
        <v>212</v>
      </c>
      <c r="D141" s="27">
        <v>11.5</v>
      </c>
      <c r="E141" s="12">
        <v>11</v>
      </c>
      <c r="F141" s="13">
        <v>10</v>
      </c>
      <c r="G141" s="55"/>
      <c r="H141" s="55"/>
      <c r="I141" s="47"/>
      <c r="J141" s="47"/>
      <c r="K141" s="56">
        <f t="shared" si="5"/>
        <v>32.5</v>
      </c>
    </row>
    <row r="142" s="2" customFormat="1" ht="24" customHeight="1" spans="1:11">
      <c r="A142" s="59"/>
      <c r="B142" s="60"/>
      <c r="C142" s="3" t="s">
        <v>215</v>
      </c>
      <c r="D142" s="27">
        <v>10</v>
      </c>
      <c r="E142" s="12">
        <v>0</v>
      </c>
      <c r="F142" s="13">
        <v>5</v>
      </c>
      <c r="G142" s="55"/>
      <c r="H142" s="55"/>
      <c r="I142" s="47"/>
      <c r="J142" s="47"/>
      <c r="K142" s="56">
        <f t="shared" si="5"/>
        <v>15</v>
      </c>
    </row>
    <row r="143" s="2" customFormat="1" ht="24" customHeight="1" spans="1:11">
      <c r="A143" s="62" t="s">
        <v>238</v>
      </c>
      <c r="B143" s="60"/>
      <c r="C143" s="61" t="s">
        <v>213</v>
      </c>
      <c r="D143" s="27">
        <v>11.5</v>
      </c>
      <c r="E143" s="12">
        <v>11</v>
      </c>
      <c r="F143" s="13">
        <v>10</v>
      </c>
      <c r="G143" s="55"/>
      <c r="H143" s="55"/>
      <c r="I143" s="47"/>
      <c r="J143" s="47"/>
      <c r="K143" s="56">
        <f t="shared" si="5"/>
        <v>32.5</v>
      </c>
    </row>
    <row r="144" s="2" customFormat="1" ht="24" customHeight="1" spans="1:11">
      <c r="A144" s="62"/>
      <c r="B144" s="60"/>
      <c r="C144" s="61" t="s">
        <v>216</v>
      </c>
      <c r="D144" s="27">
        <v>10</v>
      </c>
      <c r="E144" s="12">
        <v>5</v>
      </c>
      <c r="F144" s="13">
        <v>0</v>
      </c>
      <c r="G144" s="55"/>
      <c r="H144" s="55"/>
      <c r="I144" s="55"/>
      <c r="J144" s="47"/>
      <c r="K144" s="56">
        <f t="shared" si="5"/>
        <v>15</v>
      </c>
    </row>
    <row r="145" s="2" customFormat="1" ht="24" customHeight="1" spans="1:11">
      <c r="A145" s="57" t="s">
        <v>239</v>
      </c>
      <c r="B145" s="60"/>
      <c r="C145" s="56" t="s">
        <v>214</v>
      </c>
      <c r="D145" s="27">
        <v>10</v>
      </c>
      <c r="E145" s="12">
        <v>0</v>
      </c>
      <c r="F145" s="13">
        <v>5</v>
      </c>
      <c r="G145" s="55"/>
      <c r="H145" s="55"/>
      <c r="I145" s="55"/>
      <c r="J145" s="47"/>
      <c r="K145" s="56">
        <f t="shared" si="5"/>
        <v>15</v>
      </c>
    </row>
    <row r="146" s="2" customFormat="1" ht="24" customHeight="1" spans="1:11">
      <c r="A146" s="63" t="s">
        <v>217</v>
      </c>
      <c r="B146" s="47">
        <v>10.5</v>
      </c>
      <c r="C146" s="47" t="s">
        <v>218</v>
      </c>
      <c r="D146" s="27">
        <v>10</v>
      </c>
      <c r="E146" s="12">
        <v>0</v>
      </c>
      <c r="F146" s="13">
        <v>5</v>
      </c>
      <c r="G146" s="55"/>
      <c r="H146" s="55"/>
      <c r="I146" s="47"/>
      <c r="J146" s="47"/>
      <c r="K146" s="56">
        <f t="shared" si="5"/>
        <v>15</v>
      </c>
    </row>
    <row r="147" s="2" customFormat="1" ht="24" customHeight="1" spans="1:11">
      <c r="A147" s="47"/>
      <c r="B147" s="47"/>
      <c r="C147" s="47" t="s">
        <v>219</v>
      </c>
      <c r="D147" s="27">
        <v>10</v>
      </c>
      <c r="E147" s="12">
        <v>0</v>
      </c>
      <c r="F147" s="13">
        <v>0</v>
      </c>
      <c r="G147" s="55"/>
      <c r="H147" s="55"/>
      <c r="I147" s="47"/>
      <c r="J147" s="47"/>
      <c r="K147" s="56">
        <f t="shared" si="5"/>
        <v>10</v>
      </c>
    </row>
    <row r="148" s="2" customFormat="1" ht="24" customHeight="1" spans="1:11">
      <c r="A148" s="47" t="s">
        <v>220</v>
      </c>
      <c r="B148" s="47">
        <v>11.5</v>
      </c>
      <c r="C148" s="54" t="s">
        <v>221</v>
      </c>
      <c r="D148" s="12">
        <v>20</v>
      </c>
      <c r="E148" s="12">
        <v>5</v>
      </c>
      <c r="F148" s="13">
        <v>0</v>
      </c>
      <c r="G148" s="55"/>
      <c r="H148" s="55"/>
      <c r="I148" s="47"/>
      <c r="J148" s="47"/>
      <c r="K148" s="56">
        <f t="shared" si="5"/>
        <v>25</v>
      </c>
    </row>
    <row r="149" s="2" customFormat="1" ht="24" customHeight="1" spans="1:11">
      <c r="A149" s="47"/>
      <c r="B149" s="47"/>
      <c r="C149" s="54" t="s">
        <v>222</v>
      </c>
      <c r="D149" s="12">
        <v>10</v>
      </c>
      <c r="E149" s="12">
        <v>0</v>
      </c>
      <c r="F149" s="13">
        <v>5</v>
      </c>
      <c r="G149" s="55"/>
      <c r="H149" s="55"/>
      <c r="I149" s="47"/>
      <c r="J149" s="47"/>
      <c r="K149" s="56">
        <f t="shared" si="5"/>
        <v>15</v>
      </c>
    </row>
    <row r="150" s="2" customFormat="1" ht="24" customHeight="1" spans="1:11">
      <c r="A150" s="47"/>
      <c r="B150" s="47"/>
      <c r="C150" s="54" t="s">
        <v>223</v>
      </c>
      <c r="D150" s="12">
        <v>10</v>
      </c>
      <c r="E150" s="12">
        <v>5</v>
      </c>
      <c r="F150" s="13">
        <v>0</v>
      </c>
      <c r="G150" s="55"/>
      <c r="H150" s="55"/>
      <c r="I150" s="47"/>
      <c r="J150" s="47"/>
      <c r="K150" s="56">
        <f t="shared" si="5"/>
        <v>15</v>
      </c>
    </row>
    <row r="151" s="2" customFormat="1" ht="24" customHeight="1" spans="1:11">
      <c r="A151" s="47"/>
      <c r="B151" s="47"/>
      <c r="C151" s="54" t="s">
        <v>224</v>
      </c>
      <c r="D151" s="12">
        <v>6</v>
      </c>
      <c r="E151" s="12">
        <v>5</v>
      </c>
      <c r="F151" s="13">
        <v>5</v>
      </c>
      <c r="G151" s="55"/>
      <c r="H151" s="55"/>
      <c r="I151" s="47"/>
      <c r="J151" s="47"/>
      <c r="K151" s="56">
        <f t="shared" si="5"/>
        <v>16</v>
      </c>
    </row>
    <row r="152" s="2" customFormat="1" ht="24" customHeight="1" spans="1:11">
      <c r="A152" s="64" t="s">
        <v>225</v>
      </c>
      <c r="B152" s="64">
        <v>10.5</v>
      </c>
      <c r="C152" s="47" t="s">
        <v>226</v>
      </c>
      <c r="D152" s="12">
        <v>6</v>
      </c>
      <c r="E152" s="12">
        <v>5</v>
      </c>
      <c r="F152" s="28">
        <v>5</v>
      </c>
      <c r="G152" s="55"/>
      <c r="H152" s="55"/>
      <c r="I152" s="47"/>
      <c r="J152" s="47"/>
      <c r="K152" s="56">
        <f t="shared" si="5"/>
        <v>16</v>
      </c>
    </row>
    <row r="153" s="2" customFormat="1" ht="24" customHeight="1" spans="1:11">
      <c r="A153" s="64"/>
      <c r="B153" s="64"/>
      <c r="C153" s="47" t="s">
        <v>228</v>
      </c>
      <c r="D153" s="12">
        <v>10</v>
      </c>
      <c r="E153" s="12">
        <v>0</v>
      </c>
      <c r="F153" s="13">
        <v>5</v>
      </c>
      <c r="G153" s="55"/>
      <c r="H153" s="55"/>
      <c r="I153" s="47"/>
      <c r="J153" s="47"/>
      <c r="K153" s="56">
        <f t="shared" si="5"/>
        <v>15</v>
      </c>
    </row>
    <row r="154" s="2" customFormat="1" ht="24" customHeight="1" spans="1:11">
      <c r="A154" s="64"/>
      <c r="B154" s="64"/>
      <c r="C154" s="47" t="s">
        <v>227</v>
      </c>
      <c r="D154" s="12">
        <v>5</v>
      </c>
      <c r="E154" s="12">
        <v>0</v>
      </c>
      <c r="F154" s="13">
        <v>5</v>
      </c>
      <c r="G154" s="55"/>
      <c r="H154" s="55"/>
      <c r="I154" s="47"/>
      <c r="J154" s="47"/>
      <c r="K154" s="56">
        <f t="shared" si="5"/>
        <v>10</v>
      </c>
    </row>
    <row r="155" s="2" customFormat="1" ht="24" customHeight="1" spans="1:11">
      <c r="A155" s="64"/>
      <c r="B155" s="64"/>
      <c r="C155" s="47" t="s">
        <v>229</v>
      </c>
      <c r="D155" s="12">
        <v>6</v>
      </c>
      <c r="E155" s="12">
        <v>5</v>
      </c>
      <c r="F155" s="13">
        <v>5</v>
      </c>
      <c r="G155" s="55"/>
      <c r="H155" s="55"/>
      <c r="I155" s="47"/>
      <c r="J155" s="58"/>
      <c r="K155" s="56">
        <f t="shared" si="5"/>
        <v>16</v>
      </c>
    </row>
    <row r="156" s="2" customFormat="1" ht="24" customHeight="1" spans="1:11">
      <c r="A156" s="64"/>
      <c r="B156" s="64"/>
      <c r="C156" s="47" t="s">
        <v>240</v>
      </c>
      <c r="D156" s="12">
        <v>6</v>
      </c>
      <c r="E156" s="12">
        <v>5</v>
      </c>
      <c r="F156" s="13">
        <v>5</v>
      </c>
      <c r="G156" s="55"/>
      <c r="H156" s="55"/>
      <c r="I156" s="47"/>
      <c r="J156" s="58"/>
      <c r="K156" s="56">
        <f t="shared" si="5"/>
        <v>16</v>
      </c>
    </row>
    <row r="157" s="2" customFormat="1" ht="24" customHeight="1" spans="1:11">
      <c r="A157" s="55" t="s">
        <v>230</v>
      </c>
      <c r="B157" s="55">
        <v>10.5</v>
      </c>
      <c r="C157" s="47" t="s">
        <v>231</v>
      </c>
      <c r="D157" s="27">
        <v>10.5</v>
      </c>
      <c r="E157" s="27">
        <v>10.5</v>
      </c>
      <c r="F157" s="13">
        <v>0</v>
      </c>
      <c r="G157" s="47"/>
      <c r="H157" s="47"/>
      <c r="I157" s="47"/>
      <c r="J157" s="58"/>
      <c r="K157" s="56">
        <f t="shared" si="5"/>
        <v>21</v>
      </c>
    </row>
    <row r="158" s="2" customFormat="1" ht="24" customHeight="1" spans="1:11">
      <c r="A158" s="47" t="s">
        <v>232</v>
      </c>
      <c r="B158" s="47">
        <v>12</v>
      </c>
      <c r="C158" s="47" t="s">
        <v>233</v>
      </c>
      <c r="D158" s="27">
        <v>12</v>
      </c>
      <c r="E158" s="27">
        <v>12</v>
      </c>
      <c r="F158" s="13">
        <v>0</v>
      </c>
      <c r="G158" s="47"/>
      <c r="H158" s="47"/>
      <c r="I158" s="47"/>
      <c r="J158" s="58"/>
      <c r="K158" s="56">
        <f t="shared" si="5"/>
        <v>24</v>
      </c>
    </row>
    <row r="159" s="2" customFormat="1" ht="24" customHeight="1" spans="1:11">
      <c r="A159" s="54"/>
      <c r="B159" s="65"/>
      <c r="C159" s="65"/>
      <c r="D159" s="66">
        <f>SUM(D138:D158)</f>
        <v>221</v>
      </c>
      <c r="E159" s="66">
        <f>SUM(E138:E158)</f>
        <v>119.5</v>
      </c>
      <c r="F159" s="66">
        <f>SUM(F138:F158)</f>
        <v>85</v>
      </c>
      <c r="G159" s="65"/>
      <c r="H159" s="65"/>
      <c r="I159" s="65"/>
      <c r="J159" s="67"/>
      <c r="K159" s="68">
        <f>SUM(K138:K158)</f>
        <v>425.5</v>
      </c>
    </row>
    <row r="162" s="102" customFormat="1" ht="23.25" customHeight="1" spans="1:11">
      <c r="A162" s="88" t="s">
        <v>274</v>
      </c>
      <c r="B162" s="88"/>
      <c r="C162" s="88"/>
      <c r="D162" s="88"/>
      <c r="E162" s="88"/>
      <c r="F162" s="88"/>
      <c r="G162" s="88"/>
      <c r="H162" s="88"/>
      <c r="I162" s="88"/>
      <c r="J162" s="88"/>
      <c r="K162" s="88"/>
    </row>
    <row r="163" s="102" customFormat="1" ht="23.25" customHeight="1" spans="1:11">
      <c r="A163" s="108" t="s">
        <v>235</v>
      </c>
      <c r="B163" s="108"/>
      <c r="C163" s="108"/>
      <c r="D163" s="109" t="s">
        <v>275</v>
      </c>
      <c r="E163" s="110"/>
      <c r="F163" s="108"/>
      <c r="G163" s="110"/>
      <c r="H163" s="108"/>
      <c r="I163" s="108"/>
      <c r="J163" s="108"/>
      <c r="K163" s="108"/>
    </row>
    <row r="164" s="102" customFormat="1" ht="23.25" customHeight="1" spans="1:11">
      <c r="A164" s="110" t="s">
        <v>200</v>
      </c>
      <c r="B164" s="110" t="s">
        <v>201</v>
      </c>
      <c r="C164" s="111" t="s">
        <v>202</v>
      </c>
      <c r="D164" s="112" t="s">
        <v>6</v>
      </c>
      <c r="E164" s="112" t="s">
        <v>6</v>
      </c>
      <c r="F164" s="110" t="s">
        <v>6</v>
      </c>
      <c r="G164" s="110" t="s">
        <v>6</v>
      </c>
      <c r="H164" s="110" t="s">
        <v>6</v>
      </c>
      <c r="I164" s="110" t="s">
        <v>6</v>
      </c>
      <c r="J164" s="110" t="s">
        <v>203</v>
      </c>
      <c r="K164" s="110" t="s">
        <v>204</v>
      </c>
    </row>
    <row r="165" s="102" customFormat="1" ht="23.25" customHeight="1" spans="1:11">
      <c r="A165" s="68" t="s">
        <v>205</v>
      </c>
      <c r="B165" s="68">
        <v>12</v>
      </c>
      <c r="C165" s="113" t="s">
        <v>206</v>
      </c>
      <c r="D165" s="114">
        <v>12</v>
      </c>
      <c r="E165" s="114">
        <v>10</v>
      </c>
      <c r="F165" s="114"/>
      <c r="G165" s="114"/>
      <c r="H165" s="114"/>
      <c r="I165" s="115"/>
      <c r="J165" s="115"/>
      <c r="K165" s="115">
        <f>SUM(D165:J165)</f>
        <v>22</v>
      </c>
    </row>
    <row r="166" s="102" customFormat="1" ht="23.25" customHeight="1" spans="1:11">
      <c r="A166" s="116" t="s">
        <v>207</v>
      </c>
      <c r="B166" s="68">
        <v>11.5</v>
      </c>
      <c r="C166" s="117" t="s">
        <v>208</v>
      </c>
      <c r="D166" s="114">
        <v>17.5</v>
      </c>
      <c r="E166" s="114">
        <v>15</v>
      </c>
      <c r="F166" s="114"/>
      <c r="G166" s="114"/>
      <c r="H166" s="114"/>
      <c r="I166" s="115"/>
      <c r="J166" s="115"/>
      <c r="K166" s="115">
        <f>SUM(D166:J166)</f>
        <v>32.5</v>
      </c>
    </row>
    <row r="167" s="102" customFormat="1" ht="23.25" customHeight="1" spans="1:11">
      <c r="A167" s="116"/>
      <c r="B167" s="68"/>
      <c r="C167" s="117" t="s">
        <v>210</v>
      </c>
      <c r="D167" s="114">
        <v>17.5</v>
      </c>
      <c r="E167" s="114">
        <v>15</v>
      </c>
      <c r="F167" s="114"/>
      <c r="G167" s="114"/>
      <c r="H167" s="114"/>
      <c r="I167" s="115"/>
      <c r="J167" s="115"/>
      <c r="K167" s="115">
        <f t="shared" ref="K167:K185" si="6">SUM(D167:J167)</f>
        <v>32.5</v>
      </c>
    </row>
    <row r="168" s="102" customFormat="1" ht="23.25" customHeight="1" spans="1:11">
      <c r="A168" s="79" t="s">
        <v>237</v>
      </c>
      <c r="B168" s="56">
        <v>11.5</v>
      </c>
      <c r="C168" s="61" t="s">
        <v>212</v>
      </c>
      <c r="D168" s="115">
        <v>0</v>
      </c>
      <c r="E168" s="115">
        <v>10</v>
      </c>
      <c r="F168" s="115"/>
      <c r="G168" s="115"/>
      <c r="H168" s="115"/>
      <c r="I168" s="115"/>
      <c r="J168" s="115"/>
      <c r="K168" s="115">
        <f t="shared" si="6"/>
        <v>10</v>
      </c>
    </row>
    <row r="169" s="102" customFormat="1" ht="23.25" customHeight="1" spans="1:11">
      <c r="A169" s="80"/>
      <c r="B169" s="56"/>
      <c r="C169" s="3" t="s">
        <v>215</v>
      </c>
      <c r="D169" s="115">
        <v>0</v>
      </c>
      <c r="E169" s="115">
        <v>10</v>
      </c>
      <c r="F169" s="115"/>
      <c r="G169" s="115"/>
      <c r="H169" s="115"/>
      <c r="I169" s="115"/>
      <c r="J169" s="115"/>
      <c r="K169" s="115">
        <f t="shared" si="6"/>
        <v>10</v>
      </c>
    </row>
    <row r="170" s="102" customFormat="1" ht="23.25" customHeight="1" spans="1:11">
      <c r="A170" s="81" t="s">
        <v>238</v>
      </c>
      <c r="B170" s="56"/>
      <c r="C170" s="61" t="s">
        <v>213</v>
      </c>
      <c r="D170" s="115">
        <v>0</v>
      </c>
      <c r="E170" s="115">
        <v>10</v>
      </c>
      <c r="F170" s="115"/>
      <c r="G170" s="115"/>
      <c r="H170" s="115"/>
      <c r="I170" s="115"/>
      <c r="J170" s="115"/>
      <c r="K170" s="115">
        <f t="shared" si="6"/>
        <v>10</v>
      </c>
    </row>
    <row r="171" s="102" customFormat="1" ht="23.25" customHeight="1" spans="1:11">
      <c r="A171" s="82"/>
      <c r="B171" s="56"/>
      <c r="C171" s="61" t="s">
        <v>216</v>
      </c>
      <c r="D171" s="115">
        <v>0</v>
      </c>
      <c r="E171" s="115">
        <v>10</v>
      </c>
      <c r="F171" s="115"/>
      <c r="G171" s="115"/>
      <c r="H171" s="115"/>
      <c r="I171" s="114"/>
      <c r="J171" s="115"/>
      <c r="K171" s="115">
        <f t="shared" si="6"/>
        <v>10</v>
      </c>
    </row>
    <row r="172" s="102" customFormat="1" ht="23.25" customHeight="1" spans="1:11">
      <c r="A172" s="84" t="s">
        <v>239</v>
      </c>
      <c r="B172" s="56"/>
      <c r="C172" s="56" t="s">
        <v>214</v>
      </c>
      <c r="D172" s="115">
        <v>0</v>
      </c>
      <c r="E172" s="115">
        <v>10</v>
      </c>
      <c r="F172" s="115"/>
      <c r="G172" s="115"/>
      <c r="H172" s="115"/>
      <c r="I172" s="114"/>
      <c r="J172" s="115"/>
      <c r="K172" s="115">
        <f t="shared" si="6"/>
        <v>10</v>
      </c>
    </row>
    <row r="173" s="102" customFormat="1" ht="23.25" customHeight="1" spans="1:11">
      <c r="A173" s="68" t="s">
        <v>217</v>
      </c>
      <c r="B173" s="68">
        <v>10.5</v>
      </c>
      <c r="C173" s="68" t="s">
        <v>218</v>
      </c>
      <c r="D173" s="115">
        <v>0</v>
      </c>
      <c r="E173" s="115">
        <v>10</v>
      </c>
      <c r="F173" s="115"/>
      <c r="G173" s="115"/>
      <c r="H173" s="115"/>
      <c r="I173" s="115"/>
      <c r="J173" s="115"/>
      <c r="K173" s="115">
        <f t="shared" si="6"/>
        <v>10</v>
      </c>
    </row>
    <row r="174" s="102" customFormat="1" ht="23.25" customHeight="1" spans="1:11">
      <c r="A174" s="68"/>
      <c r="B174" s="68"/>
      <c r="C174" s="68" t="s">
        <v>219</v>
      </c>
      <c r="D174" s="115">
        <v>0</v>
      </c>
      <c r="E174" s="115">
        <v>10</v>
      </c>
      <c r="F174" s="115"/>
      <c r="G174" s="115"/>
      <c r="H174" s="115"/>
      <c r="I174" s="115"/>
      <c r="J174" s="115"/>
      <c r="K174" s="115">
        <f t="shared" si="6"/>
        <v>10</v>
      </c>
    </row>
    <row r="175" s="102" customFormat="1" ht="23.25" customHeight="1" spans="1:11">
      <c r="A175" s="68" t="s">
        <v>220</v>
      </c>
      <c r="B175" s="68">
        <v>11.5</v>
      </c>
      <c r="C175" s="117" t="s">
        <v>221</v>
      </c>
      <c r="D175" s="115">
        <v>29</v>
      </c>
      <c r="E175" s="118">
        <v>10</v>
      </c>
      <c r="F175" s="115"/>
      <c r="G175" s="115"/>
      <c r="H175" s="115"/>
      <c r="I175" s="115"/>
      <c r="J175" s="115"/>
      <c r="K175" s="115">
        <f t="shared" si="6"/>
        <v>39</v>
      </c>
    </row>
    <row r="176" s="102" customFormat="1" ht="23.25" customHeight="1" spans="1:11">
      <c r="A176" s="68"/>
      <c r="B176" s="68"/>
      <c r="C176" s="117" t="s">
        <v>222</v>
      </c>
      <c r="D176" s="118">
        <v>8</v>
      </c>
      <c r="E176" s="118">
        <v>10</v>
      </c>
      <c r="F176" s="118"/>
      <c r="G176" s="118"/>
      <c r="H176" s="118"/>
      <c r="I176" s="115"/>
      <c r="J176" s="115"/>
      <c r="K176" s="115">
        <f t="shared" si="6"/>
        <v>18</v>
      </c>
    </row>
    <row r="177" s="102" customFormat="1" ht="23.25" customHeight="1" spans="1:11">
      <c r="A177" s="68"/>
      <c r="B177" s="68"/>
      <c r="C177" s="117" t="s">
        <v>223</v>
      </c>
      <c r="D177" s="118">
        <v>11</v>
      </c>
      <c r="E177" s="118">
        <v>10</v>
      </c>
      <c r="F177" s="118"/>
      <c r="G177" s="118"/>
      <c r="H177" s="118"/>
      <c r="I177" s="115"/>
      <c r="J177" s="115"/>
      <c r="K177" s="115">
        <f t="shared" si="6"/>
        <v>21</v>
      </c>
    </row>
    <row r="178" s="102" customFormat="1" ht="23.25" customHeight="1" spans="1:11">
      <c r="A178" s="68"/>
      <c r="B178" s="68"/>
      <c r="C178" s="117" t="s">
        <v>224</v>
      </c>
      <c r="D178" s="114">
        <v>68</v>
      </c>
      <c r="E178" s="118">
        <v>10</v>
      </c>
      <c r="F178" s="114"/>
      <c r="G178" s="114"/>
      <c r="H178" s="114"/>
      <c r="I178" s="115"/>
      <c r="J178" s="115"/>
      <c r="K178" s="115">
        <f t="shared" si="6"/>
        <v>78</v>
      </c>
    </row>
    <row r="179" s="102" customFormat="1" ht="23.25" customHeight="1" spans="1:11">
      <c r="A179" s="119" t="s">
        <v>225</v>
      </c>
      <c r="B179" s="119">
        <v>10.5</v>
      </c>
      <c r="C179" s="68" t="s">
        <v>226</v>
      </c>
      <c r="D179" s="114">
        <v>11</v>
      </c>
      <c r="E179" s="118">
        <v>10</v>
      </c>
      <c r="F179" s="114"/>
      <c r="G179" s="114"/>
      <c r="H179" s="114"/>
      <c r="I179" s="115"/>
      <c r="J179" s="115"/>
      <c r="K179" s="115">
        <f t="shared" si="6"/>
        <v>21</v>
      </c>
    </row>
    <row r="180" s="102" customFormat="1" ht="23.25" customHeight="1" spans="1:11">
      <c r="A180" s="119"/>
      <c r="B180" s="119"/>
      <c r="C180" s="68" t="s">
        <v>228</v>
      </c>
      <c r="D180" s="114">
        <v>11</v>
      </c>
      <c r="E180" s="118">
        <v>10</v>
      </c>
      <c r="F180" s="114"/>
      <c r="G180" s="114"/>
      <c r="H180" s="114"/>
      <c r="I180" s="115"/>
      <c r="J180" s="115"/>
      <c r="K180" s="115">
        <f t="shared" si="6"/>
        <v>21</v>
      </c>
    </row>
    <row r="181" s="102" customFormat="1" ht="23.25" customHeight="1" spans="1:11">
      <c r="A181" s="119"/>
      <c r="B181" s="119"/>
      <c r="C181" s="68" t="s">
        <v>227</v>
      </c>
      <c r="D181" s="114">
        <v>11</v>
      </c>
      <c r="E181" s="118">
        <v>10</v>
      </c>
      <c r="F181" s="114"/>
      <c r="G181" s="114"/>
      <c r="H181" s="114"/>
      <c r="I181" s="115"/>
      <c r="J181" s="120"/>
      <c r="K181" s="115">
        <f t="shared" si="6"/>
        <v>21</v>
      </c>
    </row>
    <row r="182" s="102" customFormat="1" ht="23.25" customHeight="1" spans="1:11">
      <c r="A182" s="119"/>
      <c r="B182" s="119"/>
      <c r="C182" s="68" t="s">
        <v>229</v>
      </c>
      <c r="D182" s="114">
        <v>10</v>
      </c>
      <c r="E182" s="118">
        <v>10</v>
      </c>
      <c r="F182" s="114"/>
      <c r="G182" s="114"/>
      <c r="H182" s="114"/>
      <c r="I182" s="115"/>
      <c r="J182" s="120"/>
      <c r="K182" s="115">
        <f t="shared" si="6"/>
        <v>20</v>
      </c>
    </row>
    <row r="183" s="102" customFormat="1" ht="23.25" customHeight="1" spans="1:11">
      <c r="A183" s="119"/>
      <c r="B183" s="119"/>
      <c r="C183" s="68" t="s">
        <v>240</v>
      </c>
      <c r="D183" s="114">
        <v>11</v>
      </c>
      <c r="E183" s="118">
        <v>10</v>
      </c>
      <c r="F183" s="115"/>
      <c r="G183" s="114"/>
      <c r="H183" s="114"/>
      <c r="I183" s="115"/>
      <c r="J183" s="120"/>
      <c r="K183" s="115">
        <f t="shared" si="6"/>
        <v>21</v>
      </c>
    </row>
    <row r="184" s="102" customFormat="1" ht="23.25" customHeight="1" spans="1:11">
      <c r="A184" s="121" t="s">
        <v>230</v>
      </c>
      <c r="B184" s="121">
        <v>10.5</v>
      </c>
      <c r="C184" s="121" t="s">
        <v>231</v>
      </c>
      <c r="D184" s="115">
        <v>10.5</v>
      </c>
      <c r="E184" s="118">
        <v>10.5</v>
      </c>
      <c r="G184" s="115"/>
      <c r="H184" s="115"/>
      <c r="I184" s="115"/>
      <c r="J184" s="120"/>
      <c r="K184" s="115">
        <f t="shared" si="6"/>
        <v>21</v>
      </c>
    </row>
    <row r="185" s="102" customFormat="1" ht="23.25" customHeight="1" spans="1:11">
      <c r="A185" s="56" t="s">
        <v>232</v>
      </c>
      <c r="B185" s="56">
        <v>12</v>
      </c>
      <c r="C185" s="56" t="s">
        <v>233</v>
      </c>
      <c r="D185" s="115">
        <v>12</v>
      </c>
      <c r="E185" s="115">
        <v>0</v>
      </c>
      <c r="F185" s="115"/>
      <c r="G185" s="115"/>
      <c r="H185" s="115"/>
      <c r="I185" s="115"/>
      <c r="J185" s="120"/>
      <c r="K185" s="115">
        <f t="shared" si="6"/>
        <v>12</v>
      </c>
    </row>
    <row r="186" s="102" customFormat="1" ht="23.25" customHeight="1" spans="1:11">
      <c r="A186" s="122"/>
      <c r="B186" s="123"/>
      <c r="C186" s="123"/>
      <c r="D186" s="123"/>
      <c r="E186" s="123"/>
      <c r="F186" s="123"/>
      <c r="G186" s="123"/>
      <c r="H186" s="123"/>
      <c r="I186" s="123"/>
      <c r="J186" s="123"/>
      <c r="K186" s="115">
        <f>SUM(K165:K185)</f>
        <v>450</v>
      </c>
    </row>
    <row r="189" s="102" customFormat="1" ht="23.25" customHeight="1" spans="1:11">
      <c r="A189" s="88" t="s">
        <v>274</v>
      </c>
      <c r="B189" s="88"/>
      <c r="C189" s="88"/>
      <c r="D189" s="88"/>
      <c r="E189" s="88"/>
      <c r="F189" s="88"/>
      <c r="G189" s="88"/>
      <c r="H189" s="88"/>
      <c r="I189" s="88"/>
      <c r="J189" s="88"/>
      <c r="K189" s="88"/>
    </row>
    <row r="190" s="102" customFormat="1" ht="23.25" customHeight="1" spans="1:11">
      <c r="A190" s="108" t="s">
        <v>235</v>
      </c>
      <c r="B190" s="108"/>
      <c r="C190" s="108"/>
      <c r="D190" s="109" t="s">
        <v>276</v>
      </c>
      <c r="E190" s="110"/>
      <c r="F190" s="108"/>
      <c r="G190" s="110"/>
      <c r="H190" s="108"/>
      <c r="I190" s="108"/>
      <c r="J190" s="108"/>
      <c r="K190" s="108"/>
    </row>
    <row r="191" s="102" customFormat="1" ht="23.25" customHeight="1" spans="1:11">
      <c r="A191" s="110" t="s">
        <v>200</v>
      </c>
      <c r="B191" s="110" t="s">
        <v>201</v>
      </c>
      <c r="C191" s="111" t="s">
        <v>202</v>
      </c>
      <c r="D191" s="112" t="s">
        <v>6</v>
      </c>
      <c r="E191" s="112" t="s">
        <v>6</v>
      </c>
      <c r="F191" s="110" t="s">
        <v>6</v>
      </c>
      <c r="G191" s="110" t="s">
        <v>6</v>
      </c>
      <c r="H191" s="110" t="s">
        <v>6</v>
      </c>
      <c r="I191" s="110" t="s">
        <v>6</v>
      </c>
      <c r="J191" s="110" t="s">
        <v>203</v>
      </c>
      <c r="K191" s="110" t="s">
        <v>204</v>
      </c>
    </row>
    <row r="192" s="102" customFormat="1" ht="23.25" customHeight="1" spans="1:11">
      <c r="A192" s="115" t="s">
        <v>205</v>
      </c>
      <c r="B192" s="115">
        <v>12</v>
      </c>
      <c r="C192" s="124" t="s">
        <v>206</v>
      </c>
      <c r="D192" s="114">
        <v>10</v>
      </c>
      <c r="E192" s="114"/>
      <c r="F192" s="114"/>
      <c r="G192" s="114"/>
      <c r="H192" s="114"/>
      <c r="I192" s="115"/>
      <c r="J192" s="115"/>
      <c r="K192" s="115">
        <f>SUM(D192:J192)</f>
        <v>10</v>
      </c>
    </row>
    <row r="193" s="102" customFormat="1" ht="23.25" customHeight="1" spans="1:11">
      <c r="A193" s="125" t="s">
        <v>207</v>
      </c>
      <c r="B193" s="115">
        <v>11.5</v>
      </c>
      <c r="C193" s="126" t="s">
        <v>208</v>
      </c>
      <c r="D193" s="114">
        <v>20</v>
      </c>
      <c r="E193" s="114"/>
      <c r="F193" s="114"/>
      <c r="G193" s="114"/>
      <c r="H193" s="114"/>
      <c r="I193" s="115"/>
      <c r="J193" s="115"/>
      <c r="K193" s="115">
        <f>SUM(D193:J193)</f>
        <v>20</v>
      </c>
    </row>
    <row r="194" s="102" customFormat="1" ht="23.25" customHeight="1" spans="1:11">
      <c r="A194" s="125"/>
      <c r="B194" s="115"/>
      <c r="C194" s="126" t="s">
        <v>210</v>
      </c>
      <c r="D194" s="114">
        <v>10</v>
      </c>
      <c r="E194" s="114">
        <v>10</v>
      </c>
      <c r="F194" s="114"/>
      <c r="G194" s="114"/>
      <c r="H194" s="114"/>
      <c r="I194" s="115"/>
      <c r="J194" s="115"/>
      <c r="K194" s="115">
        <f t="shared" ref="K194:K212" si="7">SUM(D194:J194)</f>
        <v>20</v>
      </c>
    </row>
    <row r="195" s="102" customFormat="1" ht="23.25" customHeight="1" spans="1:11">
      <c r="A195" s="125" t="s">
        <v>211</v>
      </c>
      <c r="B195" s="115">
        <v>11.5</v>
      </c>
      <c r="C195" s="126" t="s">
        <v>212</v>
      </c>
      <c r="D195" s="114">
        <v>10</v>
      </c>
      <c r="E195" s="115">
        <v>11.5</v>
      </c>
      <c r="F195" s="115"/>
      <c r="G195" s="115"/>
      <c r="H195" s="115"/>
      <c r="I195" s="115"/>
      <c r="J195" s="115"/>
      <c r="K195" s="115">
        <f t="shared" si="7"/>
        <v>21.5</v>
      </c>
    </row>
    <row r="196" s="102" customFormat="1" ht="23.25" customHeight="1" spans="1:11">
      <c r="A196" s="125"/>
      <c r="B196" s="115"/>
      <c r="C196" s="126" t="s">
        <v>213</v>
      </c>
      <c r="D196" s="114">
        <v>20</v>
      </c>
      <c r="E196" s="115">
        <v>11.5</v>
      </c>
      <c r="F196" s="115"/>
      <c r="G196" s="115"/>
      <c r="H196" s="115"/>
      <c r="I196" s="115"/>
      <c r="J196" s="115"/>
      <c r="K196" s="115">
        <f t="shared" si="7"/>
        <v>31.5</v>
      </c>
    </row>
    <row r="197" s="102" customFormat="1" ht="23.25" customHeight="1" spans="1:11">
      <c r="A197" s="125"/>
      <c r="B197" s="115"/>
      <c r="C197" s="115" t="s">
        <v>214</v>
      </c>
      <c r="D197" s="114">
        <v>10</v>
      </c>
      <c r="E197" s="115">
        <v>11.5</v>
      </c>
      <c r="F197" s="115"/>
      <c r="G197" s="115"/>
      <c r="H197" s="115"/>
      <c r="I197" s="115"/>
      <c r="J197" s="115"/>
      <c r="K197" s="115">
        <f t="shared" si="7"/>
        <v>21.5</v>
      </c>
    </row>
    <row r="198" s="102" customFormat="1" ht="23.25" customHeight="1" spans="1:11">
      <c r="A198" s="125"/>
      <c r="B198" s="115"/>
      <c r="C198" s="126" t="s">
        <v>215</v>
      </c>
      <c r="D198" s="114">
        <v>10</v>
      </c>
      <c r="E198" s="115">
        <v>11.5</v>
      </c>
      <c r="F198" s="115"/>
      <c r="G198" s="115"/>
      <c r="H198" s="115"/>
      <c r="I198" s="114"/>
      <c r="J198" s="115"/>
      <c r="K198" s="115">
        <f t="shared" si="7"/>
        <v>21.5</v>
      </c>
    </row>
    <row r="199" s="102" customFormat="1" ht="23.25" customHeight="1" spans="1:11">
      <c r="A199" s="125"/>
      <c r="B199" s="115"/>
      <c r="C199" s="126" t="s">
        <v>216</v>
      </c>
      <c r="D199" s="114">
        <v>10</v>
      </c>
      <c r="E199" s="115">
        <v>10</v>
      </c>
      <c r="F199" s="115"/>
      <c r="G199" s="115"/>
      <c r="H199" s="115"/>
      <c r="I199" s="114"/>
      <c r="J199" s="115"/>
      <c r="K199" s="115">
        <f t="shared" si="7"/>
        <v>20</v>
      </c>
    </row>
    <row r="200" s="102" customFormat="1" ht="23.25" customHeight="1" spans="1:11">
      <c r="A200" s="115" t="s">
        <v>217</v>
      </c>
      <c r="B200" s="115">
        <v>10.5</v>
      </c>
      <c r="C200" s="115" t="s">
        <v>218</v>
      </c>
      <c r="D200" s="114">
        <v>10</v>
      </c>
      <c r="E200" s="115"/>
      <c r="F200" s="115"/>
      <c r="G200" s="115"/>
      <c r="H200" s="115"/>
      <c r="I200" s="115"/>
      <c r="J200" s="115"/>
      <c r="K200" s="115">
        <f t="shared" si="7"/>
        <v>10</v>
      </c>
    </row>
    <row r="201" s="102" customFormat="1" ht="23.25" customHeight="1" spans="1:11">
      <c r="A201" s="115"/>
      <c r="B201" s="115"/>
      <c r="C201" s="115" t="s">
        <v>219</v>
      </c>
      <c r="D201" s="115">
        <v>7.5</v>
      </c>
      <c r="E201" s="115"/>
      <c r="F201" s="115"/>
      <c r="G201" s="115"/>
      <c r="H201" s="115"/>
      <c r="I201" s="115"/>
      <c r="J201" s="115"/>
      <c r="K201" s="115">
        <f t="shared" si="7"/>
        <v>7.5</v>
      </c>
    </row>
    <row r="202" s="102" customFormat="1" ht="23.25" customHeight="1" spans="1:11">
      <c r="A202" s="115" t="s">
        <v>220</v>
      </c>
      <c r="B202" s="115">
        <v>11.5</v>
      </c>
      <c r="C202" s="126" t="s">
        <v>221</v>
      </c>
      <c r="D202" s="115">
        <v>14</v>
      </c>
      <c r="E202" s="127"/>
      <c r="F202" s="115"/>
      <c r="G202" s="115"/>
      <c r="H202" s="115"/>
      <c r="I202" s="115"/>
      <c r="J202" s="115"/>
      <c r="K202" s="115">
        <f t="shared" si="7"/>
        <v>14</v>
      </c>
    </row>
    <row r="203" s="102" customFormat="1" ht="23.25" customHeight="1" spans="1:11">
      <c r="A203" s="115"/>
      <c r="B203" s="115"/>
      <c r="C203" s="126" t="s">
        <v>222</v>
      </c>
      <c r="D203" s="118">
        <v>12</v>
      </c>
      <c r="E203" s="118"/>
      <c r="F203" s="118"/>
      <c r="G203" s="118"/>
      <c r="H203" s="118"/>
      <c r="I203" s="115"/>
      <c r="J203" s="115"/>
      <c r="K203" s="115">
        <f t="shared" si="7"/>
        <v>12</v>
      </c>
    </row>
    <row r="204" s="102" customFormat="1" ht="23.25" customHeight="1" spans="1:11">
      <c r="A204" s="115"/>
      <c r="B204" s="115"/>
      <c r="C204" s="126" t="s">
        <v>223</v>
      </c>
      <c r="D204" s="118">
        <v>9</v>
      </c>
      <c r="E204" s="118"/>
      <c r="F204" s="118"/>
      <c r="G204" s="118"/>
      <c r="H204" s="118"/>
      <c r="I204" s="115"/>
      <c r="J204" s="115"/>
      <c r="K204" s="115">
        <f t="shared" si="7"/>
        <v>9</v>
      </c>
    </row>
    <row r="205" s="102" customFormat="1" ht="23.25" customHeight="1" spans="1:11">
      <c r="A205" s="115"/>
      <c r="B205" s="115"/>
      <c r="C205" s="126" t="s">
        <v>224</v>
      </c>
      <c r="D205" s="114">
        <v>105</v>
      </c>
      <c r="E205" s="115"/>
      <c r="F205" s="115"/>
      <c r="G205" s="114"/>
      <c r="H205" s="114"/>
      <c r="I205" s="115"/>
      <c r="J205" s="115"/>
      <c r="K205" s="115">
        <f t="shared" si="7"/>
        <v>105</v>
      </c>
    </row>
    <row r="206" s="102" customFormat="1" ht="23.25" customHeight="1" spans="1:11">
      <c r="A206" s="128"/>
      <c r="B206" s="128"/>
      <c r="C206" s="115" t="s">
        <v>228</v>
      </c>
      <c r="D206" s="114">
        <v>17</v>
      </c>
      <c r="E206" s="115"/>
      <c r="F206" s="115"/>
      <c r="G206" s="114"/>
      <c r="H206" s="114"/>
      <c r="I206" s="115"/>
      <c r="J206" s="115"/>
      <c r="K206" s="115">
        <f t="shared" si="7"/>
        <v>17</v>
      </c>
    </row>
    <row r="207" s="102" customFormat="1" ht="23.25" customHeight="1" spans="1:11">
      <c r="A207" s="128"/>
      <c r="B207" s="128"/>
      <c r="C207" s="115" t="s">
        <v>226</v>
      </c>
      <c r="D207" s="114">
        <v>17</v>
      </c>
      <c r="E207" s="115"/>
      <c r="F207" s="115"/>
      <c r="G207" s="114"/>
      <c r="H207" s="114"/>
      <c r="I207" s="115"/>
      <c r="J207" s="115"/>
      <c r="K207" s="115">
        <f t="shared" si="7"/>
        <v>17</v>
      </c>
    </row>
    <row r="208" s="102" customFormat="1" ht="23.25" customHeight="1" spans="1:11">
      <c r="A208" s="128"/>
      <c r="B208" s="128"/>
      <c r="C208" s="115" t="s">
        <v>227</v>
      </c>
      <c r="D208" s="114">
        <v>17</v>
      </c>
      <c r="E208" s="115"/>
      <c r="F208" s="115"/>
      <c r="G208" s="114"/>
      <c r="H208" s="114"/>
      <c r="I208" s="115"/>
      <c r="J208" s="120"/>
      <c r="K208" s="115">
        <f t="shared" si="7"/>
        <v>17</v>
      </c>
    </row>
    <row r="209" s="102" customFormat="1" ht="23.25" customHeight="1" spans="1:11">
      <c r="A209" s="128"/>
      <c r="B209" s="128"/>
      <c r="C209" s="115" t="s">
        <v>240</v>
      </c>
      <c r="D209" s="114">
        <v>17</v>
      </c>
      <c r="E209" s="115"/>
      <c r="F209" s="115"/>
      <c r="G209" s="114"/>
      <c r="H209" s="114"/>
      <c r="I209" s="115"/>
      <c r="J209" s="120"/>
      <c r="K209" s="115">
        <f t="shared" si="7"/>
        <v>17</v>
      </c>
    </row>
    <row r="210" s="102" customFormat="1" ht="23.25" customHeight="1" spans="1:11">
      <c r="A210" s="128"/>
      <c r="B210" s="128"/>
      <c r="C210" s="115" t="s">
        <v>229</v>
      </c>
      <c r="D210" s="114">
        <v>17</v>
      </c>
      <c r="E210" s="115"/>
      <c r="F210" s="115"/>
      <c r="G210" s="114"/>
      <c r="H210" s="114"/>
      <c r="I210" s="115"/>
      <c r="J210" s="120"/>
      <c r="K210" s="115">
        <f t="shared" si="7"/>
        <v>17</v>
      </c>
    </row>
    <row r="211" s="102" customFormat="1" ht="23.25" customHeight="1" spans="1:11">
      <c r="A211" s="114" t="s">
        <v>230</v>
      </c>
      <c r="B211" s="114">
        <v>10.5</v>
      </c>
      <c r="C211" s="115" t="s">
        <v>231</v>
      </c>
      <c r="D211" s="115">
        <v>10</v>
      </c>
      <c r="E211" s="127"/>
      <c r="F211" s="115"/>
      <c r="G211" s="115"/>
      <c r="H211" s="115"/>
      <c r="I211" s="115"/>
      <c r="J211" s="120"/>
      <c r="K211" s="115">
        <f t="shared" si="7"/>
        <v>10</v>
      </c>
    </row>
    <row r="212" s="102" customFormat="1" ht="23.25" customHeight="1" spans="1:11">
      <c r="A212" s="115" t="s">
        <v>232</v>
      </c>
      <c r="B212" s="115">
        <v>12</v>
      </c>
      <c r="C212" s="115" t="s">
        <v>233</v>
      </c>
      <c r="D212" s="115">
        <v>10</v>
      </c>
      <c r="E212" s="115"/>
      <c r="F212" s="115"/>
      <c r="G212" s="115"/>
      <c r="H212" s="115"/>
      <c r="I212" s="115"/>
      <c r="J212" s="120"/>
      <c r="K212" s="115">
        <f t="shared" si="7"/>
        <v>10</v>
      </c>
    </row>
    <row r="213" s="103" customFormat="1" ht="16.5" spans="1:11">
      <c r="A213" s="129"/>
      <c r="B213" s="130"/>
      <c r="C213" s="130"/>
      <c r="D213" s="130"/>
      <c r="E213" s="130"/>
      <c r="F213" s="130"/>
      <c r="G213" s="130"/>
      <c r="H213" s="130"/>
      <c r="I213" s="130"/>
      <c r="J213" s="131"/>
      <c r="K213" s="132">
        <f>SUM(K192:K212)</f>
        <v>428.5</v>
      </c>
    </row>
    <row r="216" s="3" customFormat="1" ht="21" customHeight="1" spans="1:11">
      <c r="A216" s="133" t="s">
        <v>274</v>
      </c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</row>
    <row r="217" s="3" customFormat="1" ht="21" customHeight="1" spans="1:11">
      <c r="A217" s="134" t="s">
        <v>235</v>
      </c>
      <c r="B217" s="134"/>
      <c r="C217" s="134"/>
      <c r="D217" s="134" t="s">
        <v>277</v>
      </c>
      <c r="E217" s="134"/>
      <c r="F217" s="134"/>
      <c r="G217" s="134"/>
      <c r="H217" s="134"/>
      <c r="I217" s="134"/>
      <c r="J217" s="134"/>
      <c r="K217" s="134"/>
    </row>
    <row r="218" s="3" customFormat="1" ht="21" customHeight="1" spans="1:11">
      <c r="A218" s="135" t="s">
        <v>200</v>
      </c>
      <c r="B218" s="135" t="s">
        <v>201</v>
      </c>
      <c r="C218" s="136" t="s">
        <v>202</v>
      </c>
      <c r="D218" s="137" t="s">
        <v>6</v>
      </c>
      <c r="E218" s="137" t="s">
        <v>6</v>
      </c>
      <c r="F218" s="135" t="s">
        <v>6</v>
      </c>
      <c r="G218" s="135" t="s">
        <v>6</v>
      </c>
      <c r="H218" s="135" t="s">
        <v>6</v>
      </c>
      <c r="I218" s="135" t="s">
        <v>6</v>
      </c>
      <c r="J218" s="135" t="s">
        <v>203</v>
      </c>
      <c r="K218" s="135" t="s">
        <v>204</v>
      </c>
    </row>
    <row r="219" s="3" customFormat="1" ht="21" customHeight="1" spans="1:11">
      <c r="A219" s="68" t="s">
        <v>205</v>
      </c>
      <c r="B219" s="68">
        <v>12</v>
      </c>
      <c r="C219" s="113" t="s">
        <v>206</v>
      </c>
      <c r="D219" s="228">
        <v>12</v>
      </c>
      <c r="E219" s="228">
        <v>12</v>
      </c>
      <c r="F219" s="228">
        <v>12</v>
      </c>
      <c r="G219" s="228">
        <v>12</v>
      </c>
      <c r="H219" s="228">
        <v>10</v>
      </c>
      <c r="I219" s="68"/>
      <c r="J219" s="68"/>
      <c r="K219" s="56">
        <f t="shared" ref="K219:K240" si="8">SUM(D219:J219)</f>
        <v>58</v>
      </c>
    </row>
    <row r="220" s="3" customFormat="1" ht="21" customHeight="1" spans="1:11">
      <c r="A220" s="116" t="s">
        <v>207</v>
      </c>
      <c r="B220" s="68">
        <v>11.5</v>
      </c>
      <c r="C220" s="117" t="s">
        <v>208</v>
      </c>
      <c r="D220" s="228">
        <v>23</v>
      </c>
      <c r="E220" s="228">
        <v>23</v>
      </c>
      <c r="F220" s="228">
        <v>23</v>
      </c>
      <c r="G220" s="228">
        <v>23</v>
      </c>
      <c r="H220" s="228">
        <v>10</v>
      </c>
      <c r="I220" s="68"/>
      <c r="J220" s="68"/>
      <c r="K220" s="56">
        <f t="shared" si="8"/>
        <v>102</v>
      </c>
    </row>
    <row r="221" s="3" customFormat="1" ht="21" customHeight="1" spans="1:11">
      <c r="A221" s="116"/>
      <c r="B221" s="68"/>
      <c r="C221" s="68" t="s">
        <v>209</v>
      </c>
      <c r="D221" s="228">
        <v>16.5</v>
      </c>
      <c r="E221" s="228">
        <v>16.5</v>
      </c>
      <c r="F221" s="228">
        <v>16.5</v>
      </c>
      <c r="G221" s="228">
        <v>16.5</v>
      </c>
      <c r="H221" s="228">
        <v>10</v>
      </c>
      <c r="I221" s="68"/>
      <c r="J221" s="68"/>
      <c r="K221" s="56">
        <f t="shared" si="8"/>
        <v>76</v>
      </c>
    </row>
    <row r="222" s="3" customFormat="1" ht="21" customHeight="1" spans="1:11">
      <c r="A222" s="116"/>
      <c r="B222" s="68"/>
      <c r="C222" s="117" t="s">
        <v>210</v>
      </c>
      <c r="D222" s="228">
        <v>16.5</v>
      </c>
      <c r="E222" s="228">
        <v>16.5</v>
      </c>
      <c r="F222" s="228">
        <v>16.5</v>
      </c>
      <c r="G222" s="228">
        <v>16.5</v>
      </c>
      <c r="H222" s="228">
        <v>10</v>
      </c>
      <c r="I222" s="68"/>
      <c r="J222" s="68"/>
      <c r="K222" s="56">
        <f t="shared" si="8"/>
        <v>76</v>
      </c>
    </row>
    <row r="223" s="3" customFormat="1" ht="21" customHeight="1" spans="1:11">
      <c r="A223" s="79" t="s">
        <v>237</v>
      </c>
      <c r="B223" s="56">
        <v>11.5</v>
      </c>
      <c r="C223" s="61" t="s">
        <v>212</v>
      </c>
      <c r="D223" s="228">
        <v>40</v>
      </c>
      <c r="E223" s="228">
        <v>40</v>
      </c>
      <c r="F223" s="228">
        <v>40</v>
      </c>
      <c r="G223" s="228">
        <v>40</v>
      </c>
      <c r="H223" s="228">
        <v>10</v>
      </c>
      <c r="I223" s="68"/>
      <c r="J223" s="68"/>
      <c r="K223" s="56">
        <f t="shared" si="8"/>
        <v>170</v>
      </c>
    </row>
    <row r="224" s="3" customFormat="1" ht="21" customHeight="1" spans="1:11">
      <c r="A224" s="80"/>
      <c r="B224" s="56"/>
      <c r="C224" s="3" t="s">
        <v>215</v>
      </c>
      <c r="D224" s="228">
        <v>30</v>
      </c>
      <c r="E224" s="228">
        <v>30</v>
      </c>
      <c r="F224" s="228">
        <v>30</v>
      </c>
      <c r="G224" s="228">
        <v>30</v>
      </c>
      <c r="H224" s="228">
        <v>10</v>
      </c>
      <c r="I224" s="68"/>
      <c r="J224" s="68"/>
      <c r="K224" s="56">
        <f t="shared" si="8"/>
        <v>130</v>
      </c>
    </row>
    <row r="225" s="3" customFormat="1" ht="21" customHeight="1" spans="1:11">
      <c r="A225" s="81" t="s">
        <v>238</v>
      </c>
      <c r="B225" s="56"/>
      <c r="C225" s="61" t="s">
        <v>213</v>
      </c>
      <c r="D225" s="228">
        <v>30</v>
      </c>
      <c r="E225" s="228">
        <v>30</v>
      </c>
      <c r="F225" s="228">
        <v>30</v>
      </c>
      <c r="G225" s="228">
        <v>30</v>
      </c>
      <c r="H225" s="228">
        <v>0</v>
      </c>
      <c r="I225" s="68"/>
      <c r="J225" s="68"/>
      <c r="K225" s="56">
        <f t="shared" si="8"/>
        <v>120</v>
      </c>
    </row>
    <row r="226" s="3" customFormat="1" ht="21" customHeight="1" spans="1:11">
      <c r="A226" s="82"/>
      <c r="B226" s="56"/>
      <c r="C226" s="61" t="s">
        <v>216</v>
      </c>
      <c r="D226" s="228">
        <v>30</v>
      </c>
      <c r="E226" s="228">
        <v>30</v>
      </c>
      <c r="F226" s="228">
        <v>30</v>
      </c>
      <c r="G226" s="228">
        <v>30</v>
      </c>
      <c r="H226" s="228">
        <v>10</v>
      </c>
      <c r="I226" s="121"/>
      <c r="J226" s="68"/>
      <c r="K226" s="56">
        <f t="shared" si="8"/>
        <v>130</v>
      </c>
    </row>
    <row r="227" s="3" customFormat="1" ht="21" customHeight="1" spans="1:11">
      <c r="A227" s="84" t="s">
        <v>239</v>
      </c>
      <c r="B227" s="56"/>
      <c r="C227" s="56" t="s">
        <v>214</v>
      </c>
      <c r="D227" s="228">
        <v>23</v>
      </c>
      <c r="E227" s="228">
        <v>23</v>
      </c>
      <c r="F227" s="228">
        <v>24</v>
      </c>
      <c r="G227" s="228">
        <v>25</v>
      </c>
      <c r="H227" s="228">
        <v>10</v>
      </c>
      <c r="I227" s="121"/>
      <c r="J227" s="68"/>
      <c r="K227" s="56">
        <f t="shared" si="8"/>
        <v>105</v>
      </c>
    </row>
    <row r="228" s="3" customFormat="1" ht="21" customHeight="1" spans="1:11">
      <c r="A228" s="68" t="s">
        <v>217</v>
      </c>
      <c r="B228" s="68">
        <v>10.5</v>
      </c>
      <c r="C228" s="68" t="s">
        <v>218</v>
      </c>
      <c r="D228" s="229">
        <v>30</v>
      </c>
      <c r="E228" s="238">
        <v>30</v>
      </c>
      <c r="F228" s="238">
        <v>30</v>
      </c>
      <c r="G228" s="238">
        <v>30</v>
      </c>
      <c r="H228" s="229">
        <v>0</v>
      </c>
      <c r="I228" s="68"/>
      <c r="J228" s="68"/>
      <c r="K228" s="56">
        <f t="shared" si="8"/>
        <v>120</v>
      </c>
    </row>
    <row r="229" s="3" customFormat="1" ht="21" customHeight="1" spans="1:11">
      <c r="A229" s="68"/>
      <c r="B229" s="68"/>
      <c r="C229" s="68" t="s">
        <v>219</v>
      </c>
      <c r="D229" s="228">
        <v>41</v>
      </c>
      <c r="E229" s="239">
        <v>41</v>
      </c>
      <c r="F229" s="239">
        <v>41</v>
      </c>
      <c r="G229" s="239">
        <v>41</v>
      </c>
      <c r="H229" s="228">
        <v>0</v>
      </c>
      <c r="I229" s="68"/>
      <c r="J229" s="68"/>
      <c r="K229" s="56">
        <f t="shared" si="8"/>
        <v>164</v>
      </c>
    </row>
    <row r="230" s="3" customFormat="1" ht="21" customHeight="1" spans="1:11">
      <c r="A230" s="68" t="s">
        <v>220</v>
      </c>
      <c r="B230" s="68">
        <v>11.5</v>
      </c>
      <c r="C230" s="117" t="s">
        <v>221</v>
      </c>
      <c r="D230" s="228">
        <v>41</v>
      </c>
      <c r="E230" s="239">
        <v>41</v>
      </c>
      <c r="F230" s="239">
        <v>41</v>
      </c>
      <c r="G230" s="239">
        <v>41</v>
      </c>
      <c r="H230" s="228">
        <v>10</v>
      </c>
      <c r="I230" s="68"/>
      <c r="J230" s="68"/>
      <c r="K230" s="56">
        <f t="shared" si="8"/>
        <v>174</v>
      </c>
    </row>
    <row r="231" s="3" customFormat="1" ht="21" customHeight="1" spans="1:11">
      <c r="A231" s="68"/>
      <c r="B231" s="68"/>
      <c r="C231" s="117" t="s">
        <v>222</v>
      </c>
      <c r="D231" s="228">
        <v>20.5</v>
      </c>
      <c r="E231" s="239">
        <v>20.5</v>
      </c>
      <c r="F231" s="239">
        <v>20.5</v>
      </c>
      <c r="G231" s="239">
        <v>20.5</v>
      </c>
      <c r="H231" s="228">
        <v>10</v>
      </c>
      <c r="I231" s="68"/>
      <c r="J231" s="68"/>
      <c r="K231" s="56">
        <f t="shared" si="8"/>
        <v>92</v>
      </c>
    </row>
    <row r="232" s="3" customFormat="1" ht="21" customHeight="1" spans="1:11">
      <c r="A232" s="68"/>
      <c r="B232" s="68"/>
      <c r="C232" s="117" t="s">
        <v>223</v>
      </c>
      <c r="D232" s="230">
        <v>29</v>
      </c>
      <c r="E232" s="240">
        <v>29</v>
      </c>
      <c r="F232" s="240">
        <v>29</v>
      </c>
      <c r="G232" s="240">
        <v>29</v>
      </c>
      <c r="H232" s="230">
        <v>10</v>
      </c>
      <c r="I232" s="68"/>
      <c r="J232" s="68"/>
      <c r="K232" s="56">
        <f t="shared" si="8"/>
        <v>126</v>
      </c>
    </row>
    <row r="233" s="3" customFormat="1" ht="21" customHeight="1" spans="1:11">
      <c r="A233" s="68"/>
      <c r="B233" s="68"/>
      <c r="C233" s="117" t="s">
        <v>224</v>
      </c>
      <c r="D233" s="231">
        <v>152</v>
      </c>
      <c r="E233" s="241">
        <v>152</v>
      </c>
      <c r="F233" s="241">
        <v>152</v>
      </c>
      <c r="G233" s="241">
        <v>152</v>
      </c>
      <c r="H233" s="231">
        <v>0</v>
      </c>
      <c r="I233" s="68"/>
      <c r="J233" s="68"/>
      <c r="K233" s="56">
        <f t="shared" si="8"/>
        <v>608</v>
      </c>
    </row>
    <row r="234" s="3" customFormat="1" ht="21" customHeight="1" spans="1:11">
      <c r="A234" s="119" t="s">
        <v>225</v>
      </c>
      <c r="B234" s="119">
        <v>10.5</v>
      </c>
      <c r="C234" s="68" t="s">
        <v>226</v>
      </c>
      <c r="D234" s="228">
        <v>25</v>
      </c>
      <c r="E234" s="239">
        <v>25</v>
      </c>
      <c r="F234" s="239">
        <v>25</v>
      </c>
      <c r="G234" s="239">
        <v>25</v>
      </c>
      <c r="H234" s="228">
        <v>10</v>
      </c>
      <c r="I234" s="68"/>
      <c r="J234" s="68"/>
      <c r="K234" s="56">
        <f t="shared" si="8"/>
        <v>110</v>
      </c>
    </row>
    <row r="235" s="3" customFormat="1" ht="21" customHeight="1" spans="1:11">
      <c r="A235" s="119"/>
      <c r="B235" s="119"/>
      <c r="C235" s="68" t="s">
        <v>228</v>
      </c>
      <c r="D235" s="228">
        <v>25</v>
      </c>
      <c r="E235" s="239">
        <v>25</v>
      </c>
      <c r="F235" s="239">
        <v>25</v>
      </c>
      <c r="G235" s="239">
        <v>25</v>
      </c>
      <c r="H235" s="228">
        <v>0</v>
      </c>
      <c r="I235" s="68"/>
      <c r="J235" s="68"/>
      <c r="K235" s="56">
        <f t="shared" si="8"/>
        <v>100</v>
      </c>
    </row>
    <row r="236" s="3" customFormat="1" ht="21" customHeight="1" spans="1:11">
      <c r="A236" s="119"/>
      <c r="B236" s="119"/>
      <c r="C236" s="68" t="s">
        <v>227</v>
      </c>
      <c r="D236" s="228">
        <v>25</v>
      </c>
      <c r="E236" s="239">
        <v>25</v>
      </c>
      <c r="F236" s="239">
        <v>25</v>
      </c>
      <c r="G236" s="239">
        <v>25</v>
      </c>
      <c r="H236" s="228">
        <v>0</v>
      </c>
      <c r="I236" s="68"/>
      <c r="J236" s="68"/>
      <c r="K236" s="56">
        <f t="shared" si="8"/>
        <v>100</v>
      </c>
    </row>
    <row r="237" s="3" customFormat="1" ht="21" customHeight="1" spans="1:11">
      <c r="A237" s="119"/>
      <c r="B237" s="119"/>
      <c r="C237" s="68" t="s">
        <v>229</v>
      </c>
      <c r="D237" s="228">
        <v>25</v>
      </c>
      <c r="E237" s="239">
        <v>25</v>
      </c>
      <c r="F237" s="239">
        <v>25</v>
      </c>
      <c r="G237" s="239">
        <v>25</v>
      </c>
      <c r="H237" s="228">
        <v>0</v>
      </c>
      <c r="I237" s="68"/>
      <c r="J237" s="141"/>
      <c r="K237" s="56">
        <f t="shared" si="8"/>
        <v>100</v>
      </c>
    </row>
    <row r="238" s="3" customFormat="1" ht="21" customHeight="1" spans="1:11">
      <c r="A238" s="119"/>
      <c r="B238" s="119"/>
      <c r="C238" s="68" t="s">
        <v>240</v>
      </c>
      <c r="D238" s="228">
        <v>25.5</v>
      </c>
      <c r="E238" s="239">
        <v>25</v>
      </c>
      <c r="F238" s="239">
        <v>25</v>
      </c>
      <c r="G238" s="239">
        <v>25</v>
      </c>
      <c r="H238" s="228">
        <v>0</v>
      </c>
      <c r="I238" s="68"/>
      <c r="J238" s="141"/>
      <c r="K238" s="56">
        <f t="shared" si="8"/>
        <v>100.5</v>
      </c>
    </row>
    <row r="239" s="3" customFormat="1" ht="21" customHeight="1" spans="1:11">
      <c r="A239" s="121" t="s">
        <v>230</v>
      </c>
      <c r="B239" s="121">
        <v>10.5</v>
      </c>
      <c r="C239" s="68" t="s">
        <v>231</v>
      </c>
      <c r="D239" s="228">
        <v>25</v>
      </c>
      <c r="E239" s="239">
        <v>25</v>
      </c>
      <c r="F239" s="239">
        <v>25</v>
      </c>
      <c r="G239" s="239">
        <v>25</v>
      </c>
      <c r="H239" s="228">
        <v>10</v>
      </c>
      <c r="I239" s="68"/>
      <c r="J239" s="141"/>
      <c r="K239" s="56">
        <f t="shared" si="8"/>
        <v>110</v>
      </c>
    </row>
    <row r="240" s="3" customFormat="1" ht="21" customHeight="1" spans="1:11">
      <c r="A240" s="121" t="s">
        <v>232</v>
      </c>
      <c r="B240" s="121">
        <v>12</v>
      </c>
      <c r="C240" s="121" t="s">
        <v>233</v>
      </c>
      <c r="D240" s="229">
        <v>12</v>
      </c>
      <c r="E240" s="238">
        <v>12</v>
      </c>
      <c r="F240" s="238">
        <v>12</v>
      </c>
      <c r="G240" s="238">
        <v>12</v>
      </c>
      <c r="H240" s="228">
        <v>10</v>
      </c>
      <c r="I240" s="121"/>
      <c r="J240" s="139"/>
      <c r="K240" s="86">
        <f t="shared" si="8"/>
        <v>58</v>
      </c>
    </row>
    <row r="241" s="3" customFormat="1" ht="21" customHeight="1" spans="1:16">
      <c r="A241" s="61"/>
      <c r="B241" s="87"/>
      <c r="C241" s="87"/>
      <c r="D241" s="87">
        <f>SUM(D219:D240)</f>
        <v>697</v>
      </c>
      <c r="E241" s="87">
        <f>SUM(E219:E240)</f>
        <v>696.5</v>
      </c>
      <c r="F241" s="87">
        <f>SUM(F219:F240)</f>
        <v>697.5</v>
      </c>
      <c r="G241" s="87">
        <f>SUM(G219:G240)</f>
        <v>698.5</v>
      </c>
      <c r="H241" s="87">
        <f>SUM(H219:H240)</f>
        <v>140</v>
      </c>
      <c r="I241" s="87"/>
      <c r="J241" s="87"/>
      <c r="K241" s="145">
        <f>SUM(K219:K240)</f>
        <v>2929.5</v>
      </c>
      <c r="P241" s="3">
        <f>E241+F241+G241</f>
        <v>2092.5</v>
      </c>
    </row>
    <row r="242" spans="1:16">
      <c r="E242">
        <f>SUM(E219:E227)</f>
        <v>221</v>
      </c>
      <c r="F242">
        <f>SUM(F219:F227)</f>
        <v>222</v>
      </c>
      <c r="G242">
        <f>SUM(G219:G227)</f>
        <v>223</v>
      </c>
    </row>
    <row r="243" spans="1:16">
      <c r="P243">
        <f>P241+H241</f>
        <v>2232.5</v>
      </c>
    </row>
    <row r="244" s="2" customFormat="1" ht="21.75" customHeight="1" spans="1:16">
      <c r="A244" s="42" t="s">
        <v>264</v>
      </c>
      <c r="B244" s="42"/>
      <c r="C244" s="42"/>
      <c r="D244" s="42"/>
      <c r="E244" s="42"/>
      <c r="F244" s="42"/>
      <c r="G244" s="42"/>
      <c r="H244" s="42"/>
      <c r="I244" s="42"/>
      <c r="J244" s="42"/>
      <c r="K244" s="42"/>
    </row>
    <row r="245" s="2" customFormat="1" ht="21.75" customHeight="1" spans="1:16">
      <c r="A245" s="35" t="s">
        <v>235</v>
      </c>
      <c r="B245" s="36"/>
      <c r="C245" s="36"/>
      <c r="D245" s="37" t="s">
        <v>278</v>
      </c>
      <c r="E245" s="36"/>
      <c r="F245" s="36"/>
      <c r="G245" s="36"/>
      <c r="H245" s="36"/>
      <c r="I245" s="36"/>
      <c r="J245" s="36"/>
      <c r="K245" s="36"/>
    </row>
    <row r="246" s="2" customFormat="1" ht="21.75" customHeight="1" spans="1:16">
      <c r="A246" s="27" t="s">
        <v>200</v>
      </c>
      <c r="B246" s="27" t="s">
        <v>201</v>
      </c>
      <c r="C246" s="38" t="s">
        <v>202</v>
      </c>
      <c r="D246" s="12" t="s">
        <v>6</v>
      </c>
      <c r="E246" s="12" t="s">
        <v>6</v>
      </c>
      <c r="F246" s="27" t="s">
        <v>6</v>
      </c>
      <c r="G246" s="27" t="s">
        <v>6</v>
      </c>
      <c r="H246" s="27" t="s">
        <v>6</v>
      </c>
      <c r="I246" s="27" t="s">
        <v>6</v>
      </c>
      <c r="J246" s="27" t="s">
        <v>203</v>
      </c>
      <c r="K246" s="27" t="s">
        <v>204</v>
      </c>
    </row>
    <row r="247" s="2" customFormat="1" ht="21.75" customHeight="1" spans="1:16">
      <c r="A247" s="27" t="s">
        <v>205</v>
      </c>
      <c r="B247" s="27">
        <v>12</v>
      </c>
      <c r="C247" s="38" t="s">
        <v>206</v>
      </c>
      <c r="D247" s="12">
        <v>12</v>
      </c>
      <c r="E247" s="12">
        <v>0</v>
      </c>
      <c r="F247" s="11"/>
      <c r="G247" s="11"/>
      <c r="H247" s="12"/>
      <c r="I247" s="27"/>
      <c r="J247" s="27"/>
      <c r="K247" s="27">
        <f>SUM(D247:J247)</f>
        <v>12</v>
      </c>
    </row>
    <row r="248" s="2" customFormat="1" ht="21.75" customHeight="1" spans="1:16">
      <c r="A248" s="43" t="s">
        <v>207</v>
      </c>
      <c r="B248" s="12">
        <v>11.5</v>
      </c>
      <c r="C248" s="38" t="s">
        <v>208</v>
      </c>
      <c r="D248" s="12">
        <v>17.5</v>
      </c>
      <c r="E248" s="12">
        <v>0</v>
      </c>
      <c r="F248" s="11"/>
      <c r="G248" s="11"/>
      <c r="H248" s="12"/>
      <c r="I248" s="27"/>
      <c r="J248" s="27"/>
      <c r="K248" s="27">
        <f>SUM(D248:J248)</f>
        <v>17.5</v>
      </c>
    </row>
    <row r="249" s="2" customFormat="1" ht="21.75" customHeight="1" spans="1:16">
      <c r="A249" s="44"/>
      <c r="B249" s="39"/>
      <c r="C249" s="38" t="s">
        <v>210</v>
      </c>
      <c r="D249" s="12">
        <v>17.5</v>
      </c>
      <c r="E249" s="12">
        <v>0</v>
      </c>
      <c r="F249" s="11"/>
      <c r="G249" s="11"/>
      <c r="H249" s="12"/>
      <c r="I249" s="27"/>
      <c r="J249" s="27"/>
      <c r="K249" s="27">
        <f t="shared" ref="K249:K268" si="9">SUM(D249:J249)</f>
        <v>17.5</v>
      </c>
    </row>
    <row r="250" s="2" customFormat="1" ht="21.75" customHeight="1" spans="1:16">
      <c r="A250" s="79" t="s">
        <v>237</v>
      </c>
      <c r="B250" s="56">
        <v>11.5</v>
      </c>
      <c r="C250" s="61" t="s">
        <v>212</v>
      </c>
      <c r="D250" s="12">
        <v>11.5</v>
      </c>
      <c r="E250" s="12">
        <v>0</v>
      </c>
      <c r="F250" s="11"/>
      <c r="G250" s="11"/>
      <c r="H250" s="12"/>
      <c r="I250" s="27"/>
      <c r="J250" s="27"/>
      <c r="K250" s="27">
        <f t="shared" si="9"/>
        <v>11.5</v>
      </c>
    </row>
    <row r="251" s="2" customFormat="1" ht="21.75" customHeight="1" spans="1:16">
      <c r="A251" s="80"/>
      <c r="B251" s="56"/>
      <c r="C251" s="3" t="s">
        <v>215</v>
      </c>
      <c r="D251" s="12">
        <v>23</v>
      </c>
      <c r="E251" s="12">
        <v>0</v>
      </c>
      <c r="F251" s="11"/>
      <c r="G251" s="11"/>
      <c r="H251" s="12"/>
      <c r="I251" s="27"/>
      <c r="J251" s="27"/>
      <c r="K251" s="27">
        <f t="shared" si="9"/>
        <v>23</v>
      </c>
    </row>
    <row r="252" s="2" customFormat="1" ht="21.75" customHeight="1" spans="1:16">
      <c r="A252" s="81" t="s">
        <v>238</v>
      </c>
      <c r="B252" s="56"/>
      <c r="C252" s="61" t="s">
        <v>213</v>
      </c>
      <c r="D252" s="12">
        <v>23</v>
      </c>
      <c r="E252" s="12">
        <v>0</v>
      </c>
      <c r="F252" s="11"/>
      <c r="G252" s="11"/>
      <c r="H252" s="12"/>
      <c r="I252" s="27"/>
      <c r="J252" s="27"/>
      <c r="K252" s="27">
        <f t="shared" si="9"/>
        <v>23</v>
      </c>
    </row>
    <row r="253" s="2" customFormat="1" ht="21.75" customHeight="1" spans="1:16">
      <c r="A253" s="82"/>
      <c r="B253" s="56"/>
      <c r="C253" s="61" t="s">
        <v>216</v>
      </c>
      <c r="D253" s="12">
        <v>23</v>
      </c>
      <c r="E253" s="12">
        <v>0</v>
      </c>
      <c r="F253" s="11"/>
      <c r="G253" s="11"/>
      <c r="H253" s="12"/>
      <c r="I253" s="12"/>
      <c r="J253" s="27"/>
      <c r="K253" s="27">
        <f t="shared" si="9"/>
        <v>23</v>
      </c>
    </row>
    <row r="254" s="2" customFormat="1" ht="21.75" customHeight="1" spans="1:16">
      <c r="A254" s="84" t="s">
        <v>239</v>
      </c>
      <c r="B254" s="56"/>
      <c r="C254" s="56" t="s">
        <v>214</v>
      </c>
      <c r="D254" s="12">
        <v>11.5</v>
      </c>
      <c r="E254" s="12">
        <v>7.5</v>
      </c>
      <c r="F254" s="11"/>
      <c r="G254" s="11"/>
      <c r="H254" s="12"/>
      <c r="I254" s="12"/>
      <c r="J254" s="27"/>
      <c r="K254" s="27">
        <f t="shared" si="9"/>
        <v>19</v>
      </c>
    </row>
    <row r="255" s="2" customFormat="1" ht="21.75" customHeight="1" spans="1:16">
      <c r="A255" s="27" t="s">
        <v>217</v>
      </c>
      <c r="B255" s="27">
        <v>10.5</v>
      </c>
      <c r="C255" s="27" t="s">
        <v>218</v>
      </c>
      <c r="D255" s="12">
        <v>0</v>
      </c>
      <c r="E255" s="12">
        <v>15</v>
      </c>
      <c r="F255" s="22"/>
      <c r="G255" s="22"/>
      <c r="H255" s="12"/>
      <c r="I255" s="27"/>
      <c r="J255" s="27"/>
      <c r="K255" s="27">
        <f t="shared" si="9"/>
        <v>15</v>
      </c>
    </row>
    <row r="256" s="2" customFormat="1" ht="21.75" customHeight="1" spans="1:16">
      <c r="A256" s="27"/>
      <c r="B256" s="27"/>
      <c r="C256" s="27" t="s">
        <v>219</v>
      </c>
      <c r="D256" s="12">
        <v>0</v>
      </c>
      <c r="E256" s="12">
        <v>15</v>
      </c>
      <c r="F256" s="11"/>
      <c r="G256" s="11"/>
      <c r="H256" s="12"/>
      <c r="I256" s="27"/>
      <c r="J256" s="27"/>
      <c r="K256" s="27">
        <f t="shared" si="9"/>
        <v>15</v>
      </c>
    </row>
    <row r="257" s="2" customFormat="1" ht="21.75" customHeight="1" spans="1:11">
      <c r="A257" s="27" t="s">
        <v>220</v>
      </c>
      <c r="B257" s="27">
        <v>11.5</v>
      </c>
      <c r="C257" s="38" t="s">
        <v>221</v>
      </c>
      <c r="D257" s="12">
        <v>20</v>
      </c>
      <c r="E257" s="12">
        <v>0</v>
      </c>
      <c r="F257" s="11"/>
      <c r="G257" s="11"/>
      <c r="H257" s="12"/>
      <c r="I257" s="27"/>
      <c r="J257" s="27"/>
      <c r="K257" s="27">
        <f t="shared" si="9"/>
        <v>20</v>
      </c>
    </row>
    <row r="258" s="2" customFormat="1" ht="21.75" customHeight="1" spans="1:11">
      <c r="A258" s="27"/>
      <c r="B258" s="27"/>
      <c r="C258" s="38" t="s">
        <v>222</v>
      </c>
      <c r="D258" s="12">
        <v>10</v>
      </c>
      <c r="E258" s="12">
        <v>7.5</v>
      </c>
      <c r="F258" s="11"/>
      <c r="G258" s="11"/>
      <c r="H258" s="12"/>
      <c r="I258" s="27"/>
      <c r="J258" s="27"/>
      <c r="K258" s="27">
        <f t="shared" si="9"/>
        <v>17.5</v>
      </c>
    </row>
    <row r="259" s="2" customFormat="1" ht="21.75" customHeight="1" spans="1:11">
      <c r="A259" s="27"/>
      <c r="B259" s="27"/>
      <c r="C259" s="38" t="s">
        <v>223</v>
      </c>
      <c r="D259" s="12">
        <v>10</v>
      </c>
      <c r="E259" s="12">
        <v>0</v>
      </c>
      <c r="F259" s="23"/>
      <c r="G259" s="23"/>
      <c r="H259" s="12"/>
      <c r="I259" s="27"/>
      <c r="J259" s="27"/>
      <c r="K259" s="27">
        <f t="shared" si="9"/>
        <v>10</v>
      </c>
    </row>
    <row r="260" s="2" customFormat="1" ht="21.75" customHeight="1" spans="1:11">
      <c r="A260" s="27"/>
      <c r="B260" s="27"/>
      <c r="C260" s="38" t="s">
        <v>224</v>
      </c>
      <c r="D260" s="12">
        <v>45</v>
      </c>
      <c r="E260" s="12">
        <v>15</v>
      </c>
      <c r="F260" s="24"/>
      <c r="G260" s="24"/>
      <c r="H260" s="12"/>
      <c r="I260" s="27"/>
      <c r="J260" s="27"/>
      <c r="K260" s="27">
        <f t="shared" si="9"/>
        <v>60</v>
      </c>
    </row>
    <row r="261" s="2" customFormat="1" ht="21.75" customHeight="1" spans="1:11">
      <c r="A261" s="39" t="s">
        <v>225</v>
      </c>
      <c r="B261" s="39">
        <v>10.5</v>
      </c>
      <c r="C261" s="27" t="s">
        <v>226</v>
      </c>
      <c r="D261" s="12">
        <v>7.5</v>
      </c>
      <c r="E261" s="12">
        <v>0</v>
      </c>
      <c r="F261" s="11"/>
      <c r="G261" s="11"/>
      <c r="H261" s="12"/>
      <c r="I261" s="27"/>
      <c r="J261" s="27"/>
      <c r="K261" s="27">
        <f t="shared" si="9"/>
        <v>7.5</v>
      </c>
    </row>
    <row r="262" s="2" customFormat="1" ht="21.75" customHeight="1" spans="1:11">
      <c r="A262" s="39"/>
      <c r="B262" s="39"/>
      <c r="C262" s="27" t="s">
        <v>228</v>
      </c>
      <c r="D262" s="12">
        <v>7.5</v>
      </c>
      <c r="E262" s="12">
        <v>15</v>
      </c>
      <c r="F262" s="11"/>
      <c r="G262" s="11"/>
      <c r="H262" s="12"/>
      <c r="I262" s="27"/>
      <c r="J262" s="27"/>
      <c r="K262" s="27">
        <f t="shared" si="9"/>
        <v>22.5</v>
      </c>
    </row>
    <row r="263" s="2" customFormat="1" ht="21.75" customHeight="1" spans="1:11">
      <c r="A263" s="39"/>
      <c r="B263" s="39"/>
      <c r="C263" s="27" t="s">
        <v>227</v>
      </c>
      <c r="D263" s="12">
        <v>0</v>
      </c>
      <c r="E263" s="12">
        <v>15</v>
      </c>
      <c r="F263" s="11"/>
      <c r="G263" s="11"/>
      <c r="H263" s="12"/>
      <c r="I263" s="27"/>
      <c r="J263" s="27"/>
      <c r="K263" s="27">
        <f t="shared" si="9"/>
        <v>15</v>
      </c>
    </row>
    <row r="264" s="2" customFormat="1" ht="21.75" customHeight="1" spans="1:11">
      <c r="A264" s="39"/>
      <c r="B264" s="39"/>
      <c r="C264" s="27" t="s">
        <v>229</v>
      </c>
      <c r="D264" s="12">
        <v>7.5</v>
      </c>
      <c r="E264" s="12">
        <v>0</v>
      </c>
      <c r="F264" s="11"/>
      <c r="G264" s="11"/>
      <c r="H264" s="12"/>
      <c r="I264" s="27"/>
      <c r="J264" s="40"/>
      <c r="K264" s="27">
        <f t="shared" si="9"/>
        <v>7.5</v>
      </c>
    </row>
    <row r="265" s="2" customFormat="1" ht="21.75" customHeight="1" spans="1:11">
      <c r="A265" s="39"/>
      <c r="B265" s="39"/>
      <c r="C265" s="27" t="s">
        <v>240</v>
      </c>
      <c r="D265" s="12">
        <v>7.5</v>
      </c>
      <c r="E265" s="12">
        <v>15</v>
      </c>
      <c r="F265" s="11"/>
      <c r="G265" s="11"/>
      <c r="H265" s="12"/>
      <c r="I265" s="27"/>
      <c r="J265" s="40"/>
      <c r="K265" s="27">
        <f t="shared" si="9"/>
        <v>22.5</v>
      </c>
    </row>
    <row r="266" s="2" customFormat="1" ht="21.75" customHeight="1" spans="1:11">
      <c r="A266" s="12" t="s">
        <v>230</v>
      </c>
      <c r="B266" s="12">
        <v>10.5</v>
      </c>
      <c r="C266" s="27" t="s">
        <v>231</v>
      </c>
      <c r="D266" s="12">
        <v>10.5</v>
      </c>
      <c r="E266" s="12">
        <v>0</v>
      </c>
      <c r="F266" s="11"/>
      <c r="G266" s="11"/>
      <c r="H266" s="27"/>
      <c r="I266" s="27"/>
      <c r="J266" s="40"/>
      <c r="K266" s="27">
        <f t="shared" si="9"/>
        <v>10.5</v>
      </c>
    </row>
    <row r="267" s="2" customFormat="1" ht="21.75" customHeight="1" spans="1:11">
      <c r="A267" s="27" t="s">
        <v>232</v>
      </c>
      <c r="B267" s="27">
        <v>12</v>
      </c>
      <c r="C267" s="27" t="s">
        <v>233</v>
      </c>
      <c r="D267" s="12">
        <v>12</v>
      </c>
      <c r="E267" s="12">
        <v>0</v>
      </c>
      <c r="F267" s="11"/>
      <c r="G267" s="22"/>
      <c r="H267" s="27"/>
      <c r="I267" s="27"/>
      <c r="J267" s="40"/>
      <c r="K267" s="27">
        <f t="shared" si="9"/>
        <v>12</v>
      </c>
    </row>
    <row r="268" s="2" customFormat="1" ht="21.75" customHeight="1" spans="1:11">
      <c r="A268" s="38"/>
      <c r="B268" s="41"/>
      <c r="C268" s="41"/>
      <c r="D268" s="41"/>
      <c r="E268" s="41"/>
      <c r="F268" s="41"/>
      <c r="G268" s="41"/>
      <c r="H268" s="41"/>
      <c r="I268" s="41"/>
      <c r="J268" s="40"/>
      <c r="K268" s="47">
        <f>SUM(K247:K267)</f>
        <v>381.5</v>
      </c>
    </row>
    <row r="271" s="2" customFormat="1" ht="21.75" customHeight="1" spans="1:11">
      <c r="A271" s="42" t="s">
        <v>264</v>
      </c>
      <c r="B271" s="42"/>
      <c r="C271" s="42"/>
      <c r="D271" s="42"/>
      <c r="E271" s="42"/>
      <c r="F271" s="42"/>
      <c r="G271" s="42"/>
      <c r="H271" s="42"/>
      <c r="I271" s="42"/>
      <c r="J271" s="42"/>
      <c r="K271" s="42"/>
    </row>
    <row r="272" s="2" customFormat="1" ht="21.75" customHeight="1" spans="1:11">
      <c r="A272" s="35" t="s">
        <v>235</v>
      </c>
      <c r="B272" s="36"/>
      <c r="C272" s="36"/>
      <c r="D272" s="37" t="s">
        <v>279</v>
      </c>
      <c r="E272" s="36"/>
      <c r="F272" s="36"/>
      <c r="G272" s="36"/>
      <c r="H272" s="36"/>
      <c r="I272" s="36"/>
      <c r="J272" s="36"/>
      <c r="K272" s="36"/>
    </row>
    <row r="273" s="2" customFormat="1" ht="21.75" customHeight="1" spans="1:11">
      <c r="A273" s="27" t="s">
        <v>200</v>
      </c>
      <c r="B273" s="27" t="s">
        <v>201</v>
      </c>
      <c r="C273" s="38" t="s">
        <v>202</v>
      </c>
      <c r="D273" s="12" t="s">
        <v>6</v>
      </c>
      <c r="E273" s="12" t="s">
        <v>6</v>
      </c>
      <c r="F273" s="27" t="s">
        <v>6</v>
      </c>
      <c r="G273" s="27" t="s">
        <v>6</v>
      </c>
      <c r="H273" s="27" t="s">
        <v>6</v>
      </c>
      <c r="I273" s="27" t="s">
        <v>6</v>
      </c>
      <c r="J273" s="27" t="s">
        <v>203</v>
      </c>
      <c r="K273" s="27" t="s">
        <v>204</v>
      </c>
    </row>
    <row r="274" s="2" customFormat="1" ht="21.75" customHeight="1" spans="1:11">
      <c r="A274" s="27" t="s">
        <v>205</v>
      </c>
      <c r="B274" s="27">
        <v>12</v>
      </c>
      <c r="C274" s="38" t="s">
        <v>206</v>
      </c>
      <c r="D274" s="11">
        <v>0</v>
      </c>
      <c r="E274" s="11"/>
      <c r="F274" s="11"/>
      <c r="G274" s="11"/>
      <c r="H274" s="12"/>
      <c r="I274" s="27"/>
      <c r="J274" s="27"/>
      <c r="K274" s="27">
        <f>SUM(D274:J274)</f>
        <v>0</v>
      </c>
    </row>
    <row r="275" s="2" customFormat="1" ht="21.75" customHeight="1" spans="1:11">
      <c r="A275" s="43" t="s">
        <v>207</v>
      </c>
      <c r="B275" s="12">
        <v>11.5</v>
      </c>
      <c r="C275" s="38" t="s">
        <v>208</v>
      </c>
      <c r="D275" s="11">
        <v>0</v>
      </c>
      <c r="E275" s="11"/>
      <c r="F275" s="11"/>
      <c r="G275" s="11"/>
      <c r="H275" s="12"/>
      <c r="I275" s="27"/>
      <c r="J275" s="27"/>
      <c r="K275" s="27">
        <f>SUM(D275:J275)</f>
        <v>0</v>
      </c>
    </row>
    <row r="276" s="2" customFormat="1" ht="21.75" customHeight="1" spans="1:11">
      <c r="A276" s="44"/>
      <c r="B276" s="39"/>
      <c r="C276" s="38" t="s">
        <v>210</v>
      </c>
      <c r="D276" s="11">
        <v>0</v>
      </c>
      <c r="E276" s="11"/>
      <c r="F276" s="11"/>
      <c r="G276" s="11"/>
      <c r="H276" s="12"/>
      <c r="I276" s="27"/>
      <c r="J276" s="27"/>
      <c r="K276" s="27">
        <f t="shared" ref="K276:K295" si="10">SUM(D276:J276)</f>
        <v>0</v>
      </c>
    </row>
    <row r="277" s="2" customFormat="1" ht="21.75" customHeight="1" spans="1:11">
      <c r="A277" s="79" t="s">
        <v>237</v>
      </c>
      <c r="B277" s="56">
        <v>11.5</v>
      </c>
      <c r="C277" s="61" t="s">
        <v>212</v>
      </c>
      <c r="D277" s="11">
        <v>0</v>
      </c>
      <c r="E277" s="11"/>
      <c r="F277" s="11"/>
      <c r="G277" s="11"/>
      <c r="H277" s="12"/>
      <c r="I277" s="27"/>
      <c r="J277" s="27"/>
      <c r="K277" s="27">
        <f t="shared" si="10"/>
        <v>0</v>
      </c>
    </row>
    <row r="278" s="2" customFormat="1" ht="21.75" customHeight="1" spans="1:11">
      <c r="A278" s="80"/>
      <c r="B278" s="56"/>
      <c r="C278" s="3" t="s">
        <v>215</v>
      </c>
      <c r="D278" s="11">
        <v>0</v>
      </c>
      <c r="E278" s="11"/>
      <c r="F278" s="11"/>
      <c r="G278" s="11"/>
      <c r="H278" s="12"/>
      <c r="I278" s="27"/>
      <c r="J278" s="27"/>
      <c r="K278" s="27">
        <f t="shared" si="10"/>
        <v>0</v>
      </c>
    </row>
    <row r="279" s="2" customFormat="1" ht="21.75" customHeight="1" spans="1:11">
      <c r="A279" s="81" t="s">
        <v>238</v>
      </c>
      <c r="B279" s="56"/>
      <c r="C279" s="61" t="s">
        <v>213</v>
      </c>
      <c r="D279" s="11">
        <v>0</v>
      </c>
      <c r="E279" s="11"/>
      <c r="F279" s="11"/>
      <c r="G279" s="11"/>
      <c r="H279" s="12"/>
      <c r="I279" s="27"/>
      <c r="J279" s="27"/>
      <c r="K279" s="27">
        <f t="shared" si="10"/>
        <v>0</v>
      </c>
    </row>
    <row r="280" s="2" customFormat="1" ht="21.75" customHeight="1" spans="1:11">
      <c r="A280" s="82"/>
      <c r="B280" s="56"/>
      <c r="C280" s="61" t="s">
        <v>216</v>
      </c>
      <c r="D280" s="11">
        <v>0</v>
      </c>
      <c r="E280" s="11"/>
      <c r="F280" s="11"/>
      <c r="G280" s="11"/>
      <c r="H280" s="12"/>
      <c r="I280" s="12"/>
      <c r="J280" s="27"/>
      <c r="K280" s="27">
        <f t="shared" si="10"/>
        <v>0</v>
      </c>
    </row>
    <row r="281" s="2" customFormat="1" ht="21.75" customHeight="1" spans="1:11">
      <c r="A281" s="84" t="s">
        <v>239</v>
      </c>
      <c r="B281" s="56"/>
      <c r="C281" s="56" t="s">
        <v>214</v>
      </c>
      <c r="D281" s="11">
        <v>0</v>
      </c>
      <c r="E281" s="11"/>
      <c r="F281" s="11"/>
      <c r="G281" s="11"/>
      <c r="H281" s="12"/>
      <c r="I281" s="12"/>
      <c r="J281" s="27"/>
      <c r="K281" s="27">
        <f t="shared" si="10"/>
        <v>0</v>
      </c>
    </row>
    <row r="282" s="2" customFormat="1" ht="21.75" customHeight="1" spans="1:11">
      <c r="A282" s="27" t="s">
        <v>217</v>
      </c>
      <c r="B282" s="27">
        <v>10.5</v>
      </c>
      <c r="C282" s="27" t="s">
        <v>218</v>
      </c>
      <c r="D282" s="22">
        <v>10</v>
      </c>
      <c r="E282" s="22"/>
      <c r="F282" s="22"/>
      <c r="G282" s="22"/>
      <c r="H282" s="12"/>
      <c r="I282" s="27"/>
      <c r="J282" s="27"/>
      <c r="K282" s="27">
        <f t="shared" si="10"/>
        <v>10</v>
      </c>
    </row>
    <row r="283" s="2" customFormat="1" ht="21.75" customHeight="1" spans="1:11">
      <c r="A283" s="27"/>
      <c r="B283" s="27"/>
      <c r="C283" s="27" t="s">
        <v>219</v>
      </c>
      <c r="D283" s="11">
        <v>37.2</v>
      </c>
      <c r="E283" s="11"/>
      <c r="F283" s="11"/>
      <c r="G283" s="11"/>
      <c r="H283" s="12"/>
      <c r="I283" s="27"/>
      <c r="J283" s="27"/>
      <c r="K283" s="27">
        <f t="shared" si="10"/>
        <v>37.2</v>
      </c>
    </row>
    <row r="284" s="2" customFormat="1" ht="21.75" customHeight="1" spans="1:11">
      <c r="A284" s="27" t="s">
        <v>220</v>
      </c>
      <c r="B284" s="27">
        <v>11.5</v>
      </c>
      <c r="C284" s="38" t="s">
        <v>221</v>
      </c>
      <c r="D284" s="11">
        <v>19</v>
      </c>
      <c r="E284" s="11"/>
      <c r="F284" s="11"/>
      <c r="G284" s="11"/>
      <c r="H284" s="12"/>
      <c r="I284" s="27"/>
      <c r="J284" s="27"/>
      <c r="K284" s="27">
        <f t="shared" si="10"/>
        <v>19</v>
      </c>
    </row>
    <row r="285" s="2" customFormat="1" ht="21.75" customHeight="1" spans="1:11">
      <c r="A285" s="27"/>
      <c r="B285" s="27"/>
      <c r="C285" s="38" t="s">
        <v>222</v>
      </c>
      <c r="D285" s="11">
        <v>8</v>
      </c>
      <c r="E285" s="11"/>
      <c r="F285" s="11"/>
      <c r="G285" s="11"/>
      <c r="H285" s="12"/>
      <c r="I285" s="27"/>
      <c r="J285" s="27"/>
      <c r="K285" s="27">
        <f t="shared" si="10"/>
        <v>8</v>
      </c>
    </row>
    <row r="286" s="2" customFormat="1" ht="21.75" customHeight="1" spans="1:11">
      <c r="A286" s="27"/>
      <c r="B286" s="27"/>
      <c r="C286" s="38" t="s">
        <v>223</v>
      </c>
      <c r="D286" s="23">
        <v>11.6</v>
      </c>
      <c r="E286" s="23"/>
      <c r="F286" s="23"/>
      <c r="G286" s="23"/>
      <c r="H286" s="12"/>
      <c r="I286" s="27"/>
      <c r="J286" s="27"/>
      <c r="K286" s="27">
        <f t="shared" si="10"/>
        <v>11.6</v>
      </c>
    </row>
    <row r="287" s="2" customFormat="1" ht="21.75" customHeight="1" spans="1:11">
      <c r="A287" s="27"/>
      <c r="B287" s="27"/>
      <c r="C287" s="38" t="s">
        <v>224</v>
      </c>
      <c r="D287" s="24">
        <v>76.5</v>
      </c>
      <c r="E287" s="24"/>
      <c r="F287" s="24"/>
      <c r="G287" s="24"/>
      <c r="H287" s="12"/>
      <c r="I287" s="27"/>
      <c r="J287" s="27"/>
      <c r="K287" s="27">
        <f t="shared" si="10"/>
        <v>76.5</v>
      </c>
    </row>
    <row r="288" s="2" customFormat="1" ht="21.75" customHeight="1" spans="1:11">
      <c r="A288" s="39" t="s">
        <v>225</v>
      </c>
      <c r="B288" s="39">
        <v>10.5</v>
      </c>
      <c r="C288" s="27" t="s">
        <v>226</v>
      </c>
      <c r="D288" s="11">
        <v>11.6</v>
      </c>
      <c r="E288" s="11"/>
      <c r="F288" s="11"/>
      <c r="G288" s="11"/>
      <c r="H288" s="12"/>
      <c r="I288" s="27"/>
      <c r="J288" s="27"/>
      <c r="K288" s="27">
        <f t="shared" si="10"/>
        <v>11.6</v>
      </c>
    </row>
    <row r="289" s="2" customFormat="1" ht="21.75" customHeight="1" spans="1:11">
      <c r="A289" s="39"/>
      <c r="B289" s="39"/>
      <c r="C289" s="27" t="s">
        <v>228</v>
      </c>
      <c r="D289" s="11">
        <v>11.6</v>
      </c>
      <c r="E289" s="11"/>
      <c r="F289" s="11"/>
      <c r="G289" s="11"/>
      <c r="H289" s="12"/>
      <c r="I289" s="27"/>
      <c r="J289" s="27"/>
      <c r="K289" s="27">
        <f t="shared" si="10"/>
        <v>11.6</v>
      </c>
    </row>
    <row r="290" s="2" customFormat="1" ht="21.75" customHeight="1" spans="1:11">
      <c r="A290" s="39"/>
      <c r="B290" s="39"/>
      <c r="C290" s="27" t="s">
        <v>227</v>
      </c>
      <c r="D290" s="11">
        <v>10</v>
      </c>
      <c r="E290" s="11"/>
      <c r="F290" s="11"/>
      <c r="G290" s="11"/>
      <c r="H290" s="12"/>
      <c r="I290" s="27"/>
      <c r="J290" s="27"/>
      <c r="K290" s="27">
        <f t="shared" si="10"/>
        <v>10</v>
      </c>
    </row>
    <row r="291" s="2" customFormat="1" ht="21.75" customHeight="1" spans="1:11">
      <c r="A291" s="39"/>
      <c r="B291" s="39"/>
      <c r="C291" s="27" t="s">
        <v>229</v>
      </c>
      <c r="D291" s="11">
        <v>11.6</v>
      </c>
      <c r="E291" s="11"/>
      <c r="F291" s="11"/>
      <c r="G291" s="11"/>
      <c r="H291" s="12"/>
      <c r="I291" s="27"/>
      <c r="J291" s="40"/>
      <c r="K291" s="27">
        <f t="shared" si="10"/>
        <v>11.6</v>
      </c>
    </row>
    <row r="292" s="2" customFormat="1" ht="21.75" customHeight="1" spans="1:11">
      <c r="A292" s="39"/>
      <c r="B292" s="39"/>
      <c r="C292" s="27" t="s">
        <v>240</v>
      </c>
      <c r="D292" s="11">
        <v>11.6</v>
      </c>
      <c r="E292" s="11"/>
      <c r="F292" s="11"/>
      <c r="G292" s="11"/>
      <c r="H292" s="12"/>
      <c r="I292" s="27"/>
      <c r="J292" s="40"/>
      <c r="K292" s="27">
        <f t="shared" si="10"/>
        <v>11.6</v>
      </c>
    </row>
    <row r="293" s="2" customFormat="1" ht="21.75" customHeight="1" spans="1:11">
      <c r="A293" s="12" t="s">
        <v>230</v>
      </c>
      <c r="B293" s="12">
        <v>10.5</v>
      </c>
      <c r="C293" s="27" t="s">
        <v>231</v>
      </c>
      <c r="D293" s="11">
        <v>10</v>
      </c>
      <c r="E293" s="11"/>
      <c r="F293" s="11"/>
      <c r="G293" s="11"/>
      <c r="H293" s="27"/>
      <c r="I293" s="27"/>
      <c r="J293" s="40"/>
      <c r="K293" s="27">
        <f t="shared" si="10"/>
        <v>10</v>
      </c>
    </row>
    <row r="294" s="2" customFormat="1" ht="21.75" customHeight="1" spans="1:11">
      <c r="A294" s="27" t="s">
        <v>232</v>
      </c>
      <c r="B294" s="27">
        <v>12</v>
      </c>
      <c r="C294" s="27" t="s">
        <v>233</v>
      </c>
      <c r="D294" s="22">
        <v>0</v>
      </c>
      <c r="E294" s="22"/>
      <c r="F294" s="11"/>
      <c r="G294" s="22"/>
      <c r="H294" s="27"/>
      <c r="I294" s="27"/>
      <c r="J294" s="40"/>
      <c r="K294" s="27">
        <f t="shared" si="10"/>
        <v>0</v>
      </c>
    </row>
    <row r="295" s="2" customFormat="1" ht="21.75" customHeight="1" spans="1:11">
      <c r="A295" s="38"/>
      <c r="B295" s="41"/>
      <c r="C295" s="41"/>
      <c r="D295" s="41"/>
      <c r="E295" s="41"/>
      <c r="F295" s="41"/>
      <c r="G295" s="41"/>
      <c r="H295" s="41"/>
      <c r="I295" s="41"/>
      <c r="J295" s="40"/>
      <c r="K295" s="47">
        <f>SUM(K274:K294)</f>
        <v>228.7</v>
      </c>
    </row>
    <row r="298" s="3" customFormat="1" ht="21" customHeight="1" spans="1:11">
      <c r="A298" s="71" t="s">
        <v>280</v>
      </c>
      <c r="B298" s="71"/>
      <c r="C298" s="71"/>
      <c r="D298" s="71"/>
      <c r="E298" s="71"/>
      <c r="F298" s="71"/>
      <c r="G298" s="71"/>
      <c r="H298" s="71"/>
      <c r="I298" s="71"/>
      <c r="J298" s="71"/>
      <c r="K298" s="71"/>
    </row>
    <row r="299" s="3" customFormat="1" ht="21" customHeight="1" spans="1:11">
      <c r="A299" s="72" t="s">
        <v>247</v>
      </c>
      <c r="B299" s="72"/>
      <c r="C299" s="72"/>
      <c r="D299" s="73" t="s">
        <v>281</v>
      </c>
      <c r="E299" s="72"/>
      <c r="F299" s="72"/>
      <c r="G299" s="72"/>
      <c r="H299" s="72"/>
      <c r="I299" s="72"/>
      <c r="J299" s="72"/>
      <c r="K299" s="72"/>
    </row>
    <row r="300" s="3" customFormat="1" ht="21" customHeight="1" spans="1:11">
      <c r="A300" s="74" t="s">
        <v>200</v>
      </c>
      <c r="B300" s="74" t="s">
        <v>201</v>
      </c>
      <c r="C300" s="75" t="s">
        <v>202</v>
      </c>
      <c r="D300" s="76" t="s">
        <v>6</v>
      </c>
      <c r="E300" s="76" t="s">
        <v>6</v>
      </c>
      <c r="F300" s="74" t="s">
        <v>6</v>
      </c>
      <c r="G300" s="74" t="s">
        <v>6</v>
      </c>
      <c r="H300" s="74" t="s">
        <v>6</v>
      </c>
      <c r="I300" s="74" t="s">
        <v>6</v>
      </c>
      <c r="J300" s="74" t="s">
        <v>203</v>
      </c>
      <c r="K300" s="74" t="s">
        <v>204</v>
      </c>
    </row>
    <row r="301" s="3" customFormat="1" ht="21" customHeight="1" spans="1:11">
      <c r="A301" s="56" t="s">
        <v>205</v>
      </c>
      <c r="B301" s="56">
        <v>12</v>
      </c>
      <c r="C301" s="54" t="s">
        <v>206</v>
      </c>
      <c r="D301" s="55">
        <v>12</v>
      </c>
      <c r="E301" s="55">
        <v>20</v>
      </c>
      <c r="F301" s="100">
        <v>10</v>
      </c>
      <c r="G301" s="77"/>
      <c r="H301" s="77"/>
      <c r="I301" s="58"/>
      <c r="J301" s="47"/>
      <c r="K301" s="56">
        <f>SUM(D301:J301)</f>
        <v>42</v>
      </c>
    </row>
    <row r="302" s="3" customFormat="1" ht="21" customHeight="1" spans="1:11">
      <c r="A302" s="78" t="s">
        <v>207</v>
      </c>
      <c r="B302" s="56">
        <v>11.5</v>
      </c>
      <c r="C302" s="61" t="s">
        <v>208</v>
      </c>
      <c r="D302" s="55">
        <v>17.5</v>
      </c>
      <c r="E302" s="55">
        <v>25</v>
      </c>
      <c r="F302" s="100">
        <v>15</v>
      </c>
      <c r="G302" s="77"/>
      <c r="H302" s="77"/>
      <c r="I302" s="58"/>
      <c r="J302" s="47"/>
      <c r="K302" s="56">
        <f>SUM(D302:J302)</f>
        <v>57.5</v>
      </c>
    </row>
    <row r="303" s="3" customFormat="1" ht="21" customHeight="1" spans="1:11">
      <c r="A303" s="78"/>
      <c r="B303" s="56"/>
      <c r="C303" s="61" t="s">
        <v>210</v>
      </c>
      <c r="D303" s="55">
        <v>17.5</v>
      </c>
      <c r="E303" s="55">
        <v>15</v>
      </c>
      <c r="F303" s="100">
        <v>15</v>
      </c>
      <c r="G303" s="77"/>
      <c r="H303" s="77"/>
      <c r="I303" s="58"/>
      <c r="J303" s="47"/>
      <c r="K303" s="56">
        <f t="shared" ref="K303:K322" si="11">SUM(D303:J303)</f>
        <v>47.5</v>
      </c>
    </row>
    <row r="304" s="3" customFormat="1" ht="21" customHeight="1" spans="1:11">
      <c r="A304" s="79" t="s">
        <v>237</v>
      </c>
      <c r="B304" s="56">
        <v>11.5</v>
      </c>
      <c r="C304" s="61" t="s">
        <v>212</v>
      </c>
      <c r="D304" s="55">
        <v>20</v>
      </c>
      <c r="E304" s="55">
        <v>10</v>
      </c>
      <c r="F304" s="100">
        <v>10</v>
      </c>
      <c r="G304" s="77"/>
      <c r="H304" s="77"/>
      <c r="I304" s="58"/>
      <c r="J304" s="47"/>
      <c r="K304" s="56">
        <f t="shared" si="11"/>
        <v>40</v>
      </c>
    </row>
    <row r="305" s="3" customFormat="1" ht="21" customHeight="1" spans="1:11">
      <c r="A305" s="80"/>
      <c r="B305" s="56"/>
      <c r="C305" s="3" t="s">
        <v>215</v>
      </c>
      <c r="D305" s="55">
        <v>15</v>
      </c>
      <c r="E305" s="55">
        <v>10</v>
      </c>
      <c r="F305" s="100">
        <v>0</v>
      </c>
      <c r="G305" s="77"/>
      <c r="H305" s="77"/>
      <c r="I305" s="58"/>
      <c r="J305" s="47"/>
      <c r="K305" s="56">
        <f t="shared" si="11"/>
        <v>25</v>
      </c>
    </row>
    <row r="306" s="3" customFormat="1" ht="21" customHeight="1" spans="1:11">
      <c r="A306" s="81" t="s">
        <v>238</v>
      </c>
      <c r="B306" s="56"/>
      <c r="C306" s="61" t="s">
        <v>213</v>
      </c>
      <c r="D306" s="55">
        <v>15</v>
      </c>
      <c r="E306" s="55">
        <v>10</v>
      </c>
      <c r="F306" s="100">
        <v>0</v>
      </c>
      <c r="G306" s="77"/>
      <c r="H306" s="77"/>
      <c r="I306" s="58"/>
      <c r="J306" s="47"/>
      <c r="K306" s="56">
        <f t="shared" si="11"/>
        <v>25</v>
      </c>
    </row>
    <row r="307" s="3" customFormat="1" ht="21" customHeight="1" spans="1:11">
      <c r="A307" s="82"/>
      <c r="B307" s="56"/>
      <c r="C307" s="61" t="s">
        <v>216</v>
      </c>
      <c r="D307" s="55">
        <v>15</v>
      </c>
      <c r="E307" s="55">
        <v>10</v>
      </c>
      <c r="F307" s="100">
        <v>0</v>
      </c>
      <c r="G307" s="77"/>
      <c r="H307" s="77"/>
      <c r="I307" s="83"/>
      <c r="J307" s="47"/>
      <c r="K307" s="56">
        <f t="shared" si="11"/>
        <v>25</v>
      </c>
    </row>
    <row r="308" s="3" customFormat="1" ht="21" customHeight="1" spans="1:11">
      <c r="A308" s="84" t="s">
        <v>239</v>
      </c>
      <c r="B308" s="56"/>
      <c r="C308" s="56" t="s">
        <v>214</v>
      </c>
      <c r="D308" s="55">
        <v>20</v>
      </c>
      <c r="E308" s="55">
        <v>10</v>
      </c>
      <c r="F308" s="100">
        <v>0</v>
      </c>
      <c r="G308" s="77"/>
      <c r="H308" s="77"/>
      <c r="I308" s="83"/>
      <c r="J308" s="47"/>
      <c r="K308" s="56">
        <f t="shared" si="11"/>
        <v>30</v>
      </c>
    </row>
    <row r="309" s="3" customFormat="1" ht="21" customHeight="1" spans="1:11">
      <c r="A309" s="56" t="s">
        <v>217</v>
      </c>
      <c r="B309" s="56">
        <v>10.5</v>
      </c>
      <c r="C309" s="56" t="s">
        <v>218</v>
      </c>
      <c r="D309" s="206">
        <v>15</v>
      </c>
      <c r="E309" s="206">
        <v>10</v>
      </c>
      <c r="F309" s="205">
        <v>0</v>
      </c>
      <c r="G309" s="77"/>
      <c r="H309" s="77"/>
      <c r="I309" s="58"/>
      <c r="J309" s="47"/>
      <c r="K309" s="56">
        <f t="shared" si="11"/>
        <v>25</v>
      </c>
    </row>
    <row r="310" s="3" customFormat="1" ht="21" customHeight="1" spans="1:11">
      <c r="A310" s="56"/>
      <c r="B310" s="56"/>
      <c r="C310" s="56" t="s">
        <v>219</v>
      </c>
      <c r="D310" s="206">
        <v>15</v>
      </c>
      <c r="E310" s="206">
        <v>10</v>
      </c>
      <c r="F310" s="205">
        <v>0</v>
      </c>
      <c r="G310" s="77"/>
      <c r="H310" s="77"/>
      <c r="I310" s="58"/>
      <c r="J310" s="47"/>
      <c r="K310" s="56">
        <f t="shared" si="11"/>
        <v>25</v>
      </c>
    </row>
    <row r="311" s="3" customFormat="1" ht="21" customHeight="1" spans="1:11">
      <c r="A311" s="56" t="s">
        <v>220</v>
      </c>
      <c r="B311" s="56">
        <v>11.5</v>
      </c>
      <c r="C311" s="61" t="s">
        <v>221</v>
      </c>
      <c r="D311" s="206">
        <v>48</v>
      </c>
      <c r="E311" s="206">
        <v>10</v>
      </c>
      <c r="F311" s="205">
        <v>0</v>
      </c>
      <c r="G311" s="77"/>
      <c r="H311" s="77"/>
      <c r="I311" s="58"/>
      <c r="J311" s="47"/>
      <c r="K311" s="56">
        <f t="shared" si="11"/>
        <v>58</v>
      </c>
    </row>
    <row r="312" s="3" customFormat="1" ht="21" customHeight="1" spans="1:11">
      <c r="A312" s="56"/>
      <c r="B312" s="56"/>
      <c r="C312" s="61" t="s">
        <v>222</v>
      </c>
      <c r="D312" s="204">
        <v>26</v>
      </c>
      <c r="E312" s="206">
        <v>10</v>
      </c>
      <c r="F312" s="205">
        <v>5</v>
      </c>
      <c r="G312" s="77"/>
      <c r="H312" s="77"/>
      <c r="I312" s="58"/>
      <c r="J312" s="47"/>
      <c r="K312" s="56">
        <f t="shared" si="11"/>
        <v>41</v>
      </c>
    </row>
    <row r="313" s="3" customFormat="1" ht="21" customHeight="1" spans="1:11">
      <c r="A313" s="56"/>
      <c r="B313" s="56"/>
      <c r="C313" s="61" t="s">
        <v>223</v>
      </c>
      <c r="D313" s="204">
        <v>26</v>
      </c>
      <c r="E313" s="206">
        <v>10</v>
      </c>
      <c r="F313" s="205">
        <v>5</v>
      </c>
      <c r="G313" s="77"/>
      <c r="H313" s="77"/>
      <c r="I313" s="58"/>
      <c r="J313" s="47"/>
      <c r="K313" s="56">
        <f t="shared" si="11"/>
        <v>41</v>
      </c>
    </row>
    <row r="314" s="3" customFormat="1" ht="21" customHeight="1" spans="1:11">
      <c r="A314" s="56"/>
      <c r="B314" s="56"/>
      <c r="C314" s="61" t="s">
        <v>224</v>
      </c>
      <c r="D314" s="204">
        <v>34</v>
      </c>
      <c r="E314" s="206">
        <v>10</v>
      </c>
      <c r="F314" s="205">
        <v>0</v>
      </c>
      <c r="G314" s="77"/>
      <c r="H314" s="77"/>
      <c r="I314" s="58"/>
      <c r="J314" s="47"/>
      <c r="K314" s="56">
        <f t="shared" si="11"/>
        <v>44</v>
      </c>
    </row>
    <row r="315" s="3" customFormat="1" ht="21" customHeight="1" spans="1:11">
      <c r="A315" s="85" t="s">
        <v>225</v>
      </c>
      <c r="B315" s="85">
        <v>10.5</v>
      </c>
      <c r="C315" s="56" t="s">
        <v>226</v>
      </c>
      <c r="D315" s="206">
        <v>51</v>
      </c>
      <c r="E315" s="206">
        <v>10</v>
      </c>
      <c r="F315" s="205">
        <v>5</v>
      </c>
      <c r="G315" s="77"/>
      <c r="H315" s="77"/>
      <c r="I315" s="58"/>
      <c r="J315" s="47"/>
      <c r="K315" s="56">
        <f t="shared" si="11"/>
        <v>66</v>
      </c>
    </row>
    <row r="316" s="3" customFormat="1" ht="21" customHeight="1" spans="1:11">
      <c r="A316" s="85"/>
      <c r="B316" s="85"/>
      <c r="C316" s="56" t="s">
        <v>228</v>
      </c>
      <c r="D316" s="206">
        <v>51</v>
      </c>
      <c r="E316" s="206">
        <v>10</v>
      </c>
      <c r="F316" s="205">
        <v>10</v>
      </c>
      <c r="G316" s="77"/>
      <c r="H316" s="77"/>
      <c r="I316" s="58"/>
      <c r="J316" s="47"/>
      <c r="K316" s="56">
        <f t="shared" si="11"/>
        <v>71</v>
      </c>
    </row>
    <row r="317" s="3" customFormat="1" ht="21" customHeight="1" spans="1:11">
      <c r="A317" s="85"/>
      <c r="B317" s="85"/>
      <c r="C317" s="56" t="s">
        <v>227</v>
      </c>
      <c r="D317" s="206">
        <v>34</v>
      </c>
      <c r="E317" s="206">
        <v>10</v>
      </c>
      <c r="F317" s="205">
        <v>5</v>
      </c>
      <c r="G317" s="77"/>
      <c r="H317" s="77"/>
      <c r="I317" s="58"/>
      <c r="J317" s="47"/>
      <c r="K317" s="56">
        <f t="shared" si="11"/>
        <v>49</v>
      </c>
    </row>
    <row r="318" s="3" customFormat="1" ht="21" customHeight="1" spans="1:11">
      <c r="A318" s="85"/>
      <c r="B318" s="85"/>
      <c r="C318" s="56" t="s">
        <v>229</v>
      </c>
      <c r="D318" s="206">
        <v>34</v>
      </c>
      <c r="E318" s="206">
        <v>10</v>
      </c>
      <c r="F318" s="205">
        <v>5</v>
      </c>
      <c r="G318" s="77"/>
      <c r="H318" s="77"/>
      <c r="I318" s="58"/>
      <c r="J318" s="58"/>
      <c r="K318" s="56">
        <f t="shared" si="11"/>
        <v>49</v>
      </c>
    </row>
    <row r="319" s="3" customFormat="1" ht="21" customHeight="1" spans="1:11">
      <c r="A319" s="85"/>
      <c r="B319" s="85"/>
      <c r="C319" s="56" t="s">
        <v>240</v>
      </c>
      <c r="D319" s="206">
        <v>34</v>
      </c>
      <c r="E319" s="206">
        <v>10</v>
      </c>
      <c r="F319" s="205">
        <v>5</v>
      </c>
      <c r="G319" s="77"/>
      <c r="H319" s="77"/>
      <c r="I319" s="58"/>
      <c r="J319" s="58"/>
      <c r="K319" s="56">
        <f t="shared" si="11"/>
        <v>49</v>
      </c>
    </row>
    <row r="320" s="3" customFormat="1" ht="21" customHeight="1" spans="1:11">
      <c r="A320" s="86" t="s">
        <v>230</v>
      </c>
      <c r="B320" s="86">
        <v>10.5</v>
      </c>
      <c r="C320" s="56" t="s">
        <v>231</v>
      </c>
      <c r="D320" s="206">
        <v>10.5</v>
      </c>
      <c r="E320" s="206">
        <v>10</v>
      </c>
      <c r="F320" s="205">
        <v>0</v>
      </c>
      <c r="G320" s="77"/>
      <c r="H320" s="77"/>
      <c r="I320" s="58"/>
      <c r="J320" s="58"/>
      <c r="K320" s="56">
        <f t="shared" si="11"/>
        <v>20.5</v>
      </c>
    </row>
    <row r="321" s="3" customFormat="1" ht="21" customHeight="1" spans="1:11">
      <c r="A321" s="56" t="s">
        <v>232</v>
      </c>
      <c r="B321" s="56">
        <v>12</v>
      </c>
      <c r="C321" s="56" t="s">
        <v>233</v>
      </c>
      <c r="D321" s="204">
        <v>12</v>
      </c>
      <c r="E321" s="204">
        <v>10</v>
      </c>
      <c r="F321" s="209">
        <v>0</v>
      </c>
      <c r="G321" s="77"/>
      <c r="H321" s="77"/>
      <c r="I321" s="58"/>
      <c r="J321" s="58"/>
      <c r="K321" s="56">
        <f t="shared" si="11"/>
        <v>22</v>
      </c>
    </row>
    <row r="322" s="3" customFormat="1" ht="21" customHeight="1" spans="1:11">
      <c r="A322" s="61"/>
      <c r="B322" s="87"/>
      <c r="C322" s="87"/>
      <c r="D322" s="65">
        <f>SUM(D301:D321)</f>
        <v>522.5</v>
      </c>
      <c r="E322" s="65">
        <f>SUM(E301:E321)</f>
        <v>240</v>
      </c>
      <c r="F322" s="65">
        <f>SUM(F301:F321)</f>
        <v>90</v>
      </c>
      <c r="G322" s="65"/>
      <c r="H322" s="65"/>
      <c r="I322" s="65"/>
      <c r="J322" s="65"/>
      <c r="K322" s="47">
        <f>SUM(K301:K321)</f>
        <v>852.5</v>
      </c>
    </row>
    <row r="324" ht="15" customHeight="1"/>
    <row r="326" s="3" customFormat="1" ht="21" customHeight="1" spans="1:11">
      <c r="A326" s="133" t="s">
        <v>255</v>
      </c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</row>
    <row r="327" s="3" customFormat="1" ht="21" customHeight="1" spans="1:11">
      <c r="A327" s="134" t="s">
        <v>235</v>
      </c>
      <c r="B327" s="134"/>
      <c r="C327" s="134"/>
      <c r="D327" s="134" t="s">
        <v>282</v>
      </c>
      <c r="E327" s="134"/>
      <c r="F327" s="134"/>
      <c r="G327" s="134"/>
      <c r="H327" s="134"/>
      <c r="I327" s="134"/>
      <c r="J327" s="134"/>
      <c r="K327" s="134"/>
    </row>
    <row r="328" s="3" customFormat="1" ht="21" customHeight="1" spans="1:11">
      <c r="A328" s="135" t="s">
        <v>200</v>
      </c>
      <c r="B328" s="135" t="s">
        <v>201</v>
      </c>
      <c r="C328" s="136" t="s">
        <v>202</v>
      </c>
      <c r="D328" s="137" t="s">
        <v>6</v>
      </c>
      <c r="E328" s="137" t="s">
        <v>6</v>
      </c>
      <c r="F328" s="135" t="s">
        <v>6</v>
      </c>
      <c r="G328" s="135" t="s">
        <v>6</v>
      </c>
      <c r="H328" s="135" t="s">
        <v>6</v>
      </c>
      <c r="I328" s="135" t="s">
        <v>6</v>
      </c>
      <c r="J328" s="135" t="s">
        <v>203</v>
      </c>
      <c r="K328" s="135" t="s">
        <v>204</v>
      </c>
    </row>
    <row r="329" s="3" customFormat="1" ht="21" customHeight="1" spans="1:11">
      <c r="A329" s="68" t="s">
        <v>205</v>
      </c>
      <c r="B329" s="68">
        <v>12</v>
      </c>
      <c r="C329" s="113" t="s">
        <v>206</v>
      </c>
      <c r="D329" s="11"/>
      <c r="E329" s="11"/>
      <c r="F329" s="11"/>
      <c r="G329" s="11"/>
      <c r="H329" s="121"/>
      <c r="I329" s="68"/>
      <c r="J329" s="68"/>
      <c r="K329" s="56">
        <f>SUM(D329:J329)</f>
        <v>0</v>
      </c>
    </row>
    <row r="330" s="3" customFormat="1" ht="21" customHeight="1" spans="1:11">
      <c r="A330" s="116" t="s">
        <v>207</v>
      </c>
      <c r="B330" s="68">
        <v>11.5</v>
      </c>
      <c r="C330" s="117" t="s">
        <v>208</v>
      </c>
      <c r="D330" s="11"/>
      <c r="E330" s="11"/>
      <c r="F330" s="11"/>
      <c r="G330" s="11"/>
      <c r="H330" s="121"/>
      <c r="I330" s="68"/>
      <c r="J330" s="68"/>
      <c r="K330" s="56">
        <f>SUM(D330:J330)</f>
        <v>0</v>
      </c>
    </row>
    <row r="331" s="3" customFormat="1" ht="21" customHeight="1" spans="1:11">
      <c r="A331" s="116"/>
      <c r="B331" s="68"/>
      <c r="C331" s="117" t="s">
        <v>210</v>
      </c>
      <c r="D331" s="11"/>
      <c r="E331" s="11"/>
      <c r="F331" s="11"/>
      <c r="G331" s="11"/>
      <c r="H331" s="121"/>
      <c r="I331" s="68"/>
      <c r="J331" s="68"/>
      <c r="K331" s="56">
        <f t="shared" ref="K331:K349" si="12">SUM(D331:J331)</f>
        <v>0</v>
      </c>
    </row>
    <row r="332" s="3" customFormat="1" ht="21" customHeight="1" spans="1:11">
      <c r="A332" s="79" t="s">
        <v>237</v>
      </c>
      <c r="B332" s="56">
        <v>11.5</v>
      </c>
      <c r="C332" s="61" t="s">
        <v>212</v>
      </c>
      <c r="D332" s="11"/>
      <c r="E332" s="11"/>
      <c r="F332" s="11"/>
      <c r="G332" s="11"/>
      <c r="H332" s="121"/>
      <c r="I332" s="68"/>
      <c r="J332" s="68"/>
      <c r="K332" s="56">
        <f t="shared" si="12"/>
        <v>0</v>
      </c>
    </row>
    <row r="333" s="3" customFormat="1" ht="21" customHeight="1" spans="1:11">
      <c r="A333" s="80"/>
      <c r="B333" s="56"/>
      <c r="C333" s="3" t="s">
        <v>215</v>
      </c>
      <c r="D333" s="11"/>
      <c r="E333" s="11"/>
      <c r="F333" s="11"/>
      <c r="G333" s="11"/>
      <c r="H333" s="121"/>
      <c r="I333" s="68"/>
      <c r="J333" s="68"/>
      <c r="K333" s="56">
        <f t="shared" si="12"/>
        <v>0</v>
      </c>
    </row>
    <row r="334" s="3" customFormat="1" ht="21" customHeight="1" spans="1:11">
      <c r="A334" s="81" t="s">
        <v>238</v>
      </c>
      <c r="B334" s="56"/>
      <c r="C334" s="61" t="s">
        <v>213</v>
      </c>
      <c r="D334" s="11"/>
      <c r="E334" s="11"/>
      <c r="F334" s="11"/>
      <c r="G334" s="11"/>
      <c r="H334" s="121"/>
      <c r="I334" s="68"/>
      <c r="J334" s="68"/>
      <c r="K334" s="56">
        <f t="shared" si="12"/>
        <v>0</v>
      </c>
    </row>
    <row r="335" s="3" customFormat="1" ht="21" customHeight="1" spans="1:11">
      <c r="A335" s="82"/>
      <c r="B335" s="56"/>
      <c r="C335" s="61" t="s">
        <v>216</v>
      </c>
      <c r="D335" s="11"/>
      <c r="E335" s="11"/>
      <c r="F335" s="11"/>
      <c r="G335" s="11"/>
      <c r="H335" s="121"/>
      <c r="I335" s="121"/>
      <c r="J335" s="68"/>
      <c r="K335" s="56">
        <f t="shared" si="12"/>
        <v>0</v>
      </c>
    </row>
    <row r="336" s="3" customFormat="1" ht="21" customHeight="1" spans="1:11">
      <c r="A336" s="84" t="s">
        <v>239</v>
      </c>
      <c r="B336" s="56"/>
      <c r="C336" s="56" t="s">
        <v>214</v>
      </c>
      <c r="D336" s="11"/>
      <c r="E336" s="11"/>
      <c r="F336" s="11"/>
      <c r="G336" s="11"/>
      <c r="H336" s="121"/>
      <c r="I336" s="121"/>
      <c r="J336" s="68"/>
      <c r="K336" s="56">
        <f t="shared" si="12"/>
        <v>0</v>
      </c>
    </row>
    <row r="337" s="3" customFormat="1" ht="21" customHeight="1" spans="1:11">
      <c r="A337" s="68" t="s">
        <v>217</v>
      </c>
      <c r="B337" s="68">
        <v>10.5</v>
      </c>
      <c r="C337" s="68" t="s">
        <v>218</v>
      </c>
      <c r="D337" s="22"/>
      <c r="E337" s="22"/>
      <c r="F337" s="22"/>
      <c r="G337" s="22"/>
      <c r="H337" s="121"/>
      <c r="I337" s="68"/>
      <c r="J337" s="68"/>
      <c r="K337" s="56">
        <f t="shared" si="12"/>
        <v>0</v>
      </c>
    </row>
    <row r="338" s="3" customFormat="1" ht="21" customHeight="1" spans="1:11">
      <c r="A338" s="68"/>
      <c r="B338" s="68"/>
      <c r="C338" s="68" t="s">
        <v>219</v>
      </c>
      <c r="D338" s="11">
        <v>41</v>
      </c>
      <c r="E338" s="11"/>
      <c r="F338" s="11"/>
      <c r="G338" s="11"/>
      <c r="H338" s="121"/>
      <c r="I338" s="68"/>
      <c r="J338" s="68"/>
      <c r="K338" s="56">
        <f t="shared" si="12"/>
        <v>41</v>
      </c>
    </row>
    <row r="339" s="3" customFormat="1" ht="21" customHeight="1" spans="1:11">
      <c r="A339" s="68" t="s">
        <v>220</v>
      </c>
      <c r="B339" s="68">
        <v>11.5</v>
      </c>
      <c r="C339" s="117" t="s">
        <v>221</v>
      </c>
      <c r="D339" s="11">
        <v>41</v>
      </c>
      <c r="E339" s="11"/>
      <c r="F339" s="11"/>
      <c r="G339" s="11"/>
      <c r="H339" s="121"/>
      <c r="I339" s="68"/>
      <c r="J339" s="68"/>
      <c r="K339" s="56">
        <f t="shared" si="12"/>
        <v>41</v>
      </c>
    </row>
    <row r="340" s="3" customFormat="1" ht="21" customHeight="1" spans="1:11">
      <c r="A340" s="68"/>
      <c r="B340" s="68"/>
      <c r="C340" s="117" t="s">
        <v>222</v>
      </c>
      <c r="D340" s="11">
        <v>20.5</v>
      </c>
      <c r="E340" s="11"/>
      <c r="F340" s="11"/>
      <c r="G340" s="11"/>
      <c r="H340" s="121"/>
      <c r="I340" s="68"/>
      <c r="J340" s="68"/>
      <c r="K340" s="56">
        <f t="shared" si="12"/>
        <v>20.5</v>
      </c>
    </row>
    <row r="341" s="3" customFormat="1" ht="21" customHeight="1" spans="1:11">
      <c r="A341" s="68"/>
      <c r="B341" s="68"/>
      <c r="C341" s="117" t="s">
        <v>223</v>
      </c>
      <c r="D341" s="23">
        <v>19</v>
      </c>
      <c r="E341" s="23"/>
      <c r="F341" s="23"/>
      <c r="G341" s="23"/>
      <c r="H341" s="121"/>
      <c r="I341" s="68"/>
      <c r="J341" s="68"/>
      <c r="K341" s="56">
        <f t="shared" si="12"/>
        <v>19</v>
      </c>
    </row>
    <row r="342" s="3" customFormat="1" ht="21" customHeight="1" spans="1:11">
      <c r="A342" s="68"/>
      <c r="B342" s="68"/>
      <c r="C342" s="117" t="s">
        <v>224</v>
      </c>
      <c r="D342" s="24">
        <v>155</v>
      </c>
      <c r="E342" s="24"/>
      <c r="F342" s="24"/>
      <c r="G342" s="24"/>
      <c r="H342" s="121"/>
      <c r="I342" s="68"/>
      <c r="J342" s="68"/>
      <c r="K342" s="56">
        <f t="shared" si="12"/>
        <v>155</v>
      </c>
    </row>
    <row r="343" s="3" customFormat="1" ht="21" customHeight="1" spans="1:11">
      <c r="A343" s="119" t="s">
        <v>225</v>
      </c>
      <c r="B343" s="119">
        <v>10.5</v>
      </c>
      <c r="C343" s="68" t="s">
        <v>226</v>
      </c>
      <c r="D343" s="11">
        <v>24</v>
      </c>
      <c r="E343" s="11"/>
      <c r="F343" s="11"/>
      <c r="G343" s="11"/>
      <c r="H343" s="121"/>
      <c r="I343" s="68"/>
      <c r="J343" s="68"/>
      <c r="K343" s="56">
        <f t="shared" si="12"/>
        <v>24</v>
      </c>
    </row>
    <row r="344" s="3" customFormat="1" ht="21" customHeight="1" spans="1:11">
      <c r="A344" s="119"/>
      <c r="B344" s="119"/>
      <c r="C344" s="68" t="s">
        <v>228</v>
      </c>
      <c r="D344" s="11">
        <v>24</v>
      </c>
      <c r="E344" s="11"/>
      <c r="F344" s="11"/>
      <c r="G344" s="11"/>
      <c r="H344" s="121"/>
      <c r="I344" s="68"/>
      <c r="J344" s="68"/>
      <c r="K344" s="56">
        <f t="shared" si="12"/>
        <v>24</v>
      </c>
    </row>
    <row r="345" s="3" customFormat="1" ht="21" customHeight="1" spans="1:11">
      <c r="A345" s="119"/>
      <c r="B345" s="119"/>
      <c r="C345" s="68" t="s">
        <v>227</v>
      </c>
      <c r="D345" s="11">
        <v>24</v>
      </c>
      <c r="E345" s="11"/>
      <c r="F345" s="11"/>
      <c r="G345" s="11"/>
      <c r="H345" s="121"/>
      <c r="I345" s="68"/>
      <c r="J345" s="68"/>
      <c r="K345" s="56">
        <f t="shared" si="12"/>
        <v>24</v>
      </c>
    </row>
    <row r="346" s="3" customFormat="1" ht="21" customHeight="1" spans="1:11">
      <c r="A346" s="119"/>
      <c r="B346" s="119"/>
      <c r="C346" s="68" t="s">
        <v>229</v>
      </c>
      <c r="D346" s="11">
        <v>24</v>
      </c>
      <c r="E346" s="11"/>
      <c r="F346" s="11"/>
      <c r="G346" s="11"/>
      <c r="H346" s="121"/>
      <c r="I346" s="68"/>
      <c r="J346" s="141"/>
      <c r="K346" s="56">
        <f t="shared" si="12"/>
        <v>24</v>
      </c>
    </row>
    <row r="347" s="3" customFormat="1" ht="21" customHeight="1" spans="1:11">
      <c r="A347" s="119"/>
      <c r="B347" s="119"/>
      <c r="C347" s="68" t="s">
        <v>240</v>
      </c>
      <c r="D347" s="11">
        <v>24</v>
      </c>
      <c r="E347" s="11"/>
      <c r="F347" s="11"/>
      <c r="G347" s="11"/>
      <c r="H347" s="121"/>
      <c r="I347" s="68"/>
      <c r="J347" s="141"/>
      <c r="K347" s="56">
        <f t="shared" si="12"/>
        <v>24</v>
      </c>
    </row>
    <row r="348" s="3" customFormat="1" ht="21" customHeight="1" spans="1:11">
      <c r="A348" s="121" t="s">
        <v>230</v>
      </c>
      <c r="B348" s="121">
        <v>10.5</v>
      </c>
      <c r="C348" s="68" t="s">
        <v>231</v>
      </c>
      <c r="D348" s="11">
        <v>10</v>
      </c>
      <c r="E348" s="11"/>
      <c r="F348" s="11"/>
      <c r="G348" s="11"/>
      <c r="H348" s="68"/>
      <c r="I348" s="68"/>
      <c r="J348" s="141"/>
      <c r="K348" s="56">
        <f t="shared" si="12"/>
        <v>10</v>
      </c>
    </row>
    <row r="349" s="3" customFormat="1" ht="21" customHeight="1" spans="1:11">
      <c r="A349" s="121" t="s">
        <v>232</v>
      </c>
      <c r="B349" s="121">
        <v>12</v>
      </c>
      <c r="C349" s="121" t="s">
        <v>233</v>
      </c>
      <c r="D349" s="89">
        <v>12</v>
      </c>
      <c r="E349" s="89"/>
      <c r="F349" s="146"/>
      <c r="G349" s="146"/>
      <c r="H349" s="121"/>
      <c r="I349" s="121"/>
      <c r="J349" s="139"/>
      <c r="K349" s="86">
        <f t="shared" si="12"/>
        <v>12</v>
      </c>
    </row>
    <row r="350" s="3" customFormat="1" ht="21" customHeight="1" spans="1:11">
      <c r="A350" s="61"/>
      <c r="B350" s="87"/>
      <c r="C350" s="87"/>
      <c r="D350" s="87"/>
      <c r="E350" s="87"/>
      <c r="F350" s="87"/>
      <c r="G350" s="87"/>
      <c r="H350" s="87"/>
      <c r="I350" s="87"/>
      <c r="J350" s="87"/>
      <c r="K350" s="145">
        <f>SUM(K329:K349)</f>
        <v>418.5</v>
      </c>
    </row>
  </sheetData>
  <mergeCells count="182">
    <mergeCell ref="A1:K1"/>
    <mergeCell ref="A2:C2"/>
    <mergeCell ref="D2:K2"/>
    <mergeCell ref="A27:K27"/>
    <mergeCell ref="A28:C28"/>
    <mergeCell ref="D28:K28"/>
    <mergeCell ref="A54:K54"/>
    <mergeCell ref="A55:C55"/>
    <mergeCell ref="D55:K55"/>
    <mergeCell ref="A81:K81"/>
    <mergeCell ref="A82:C82"/>
    <mergeCell ref="D82:K82"/>
    <mergeCell ref="A108:K108"/>
    <mergeCell ref="A109:C109"/>
    <mergeCell ref="D109:K109"/>
    <mergeCell ref="A135:K135"/>
    <mergeCell ref="A136:C136"/>
    <mergeCell ref="D136:K136"/>
    <mergeCell ref="A162:K162"/>
    <mergeCell ref="A163:C163"/>
    <mergeCell ref="D163:K163"/>
    <mergeCell ref="A189:K189"/>
    <mergeCell ref="A190:C190"/>
    <mergeCell ref="D190:K190"/>
    <mergeCell ref="A216:K216"/>
    <mergeCell ref="A217:C217"/>
    <mergeCell ref="D217:K217"/>
    <mergeCell ref="A244:K244"/>
    <mergeCell ref="A245:C245"/>
    <mergeCell ref="D245:K245"/>
    <mergeCell ref="A268:J268"/>
    <mergeCell ref="A271:K271"/>
    <mergeCell ref="A272:C272"/>
    <mergeCell ref="D272:K272"/>
    <mergeCell ref="A295:J295"/>
    <mergeCell ref="A298:K298"/>
    <mergeCell ref="A299:C299"/>
    <mergeCell ref="D299:K299"/>
    <mergeCell ref="A326:K326"/>
    <mergeCell ref="A327:C327"/>
    <mergeCell ref="D327:K327"/>
    <mergeCell ref="A350:J350"/>
    <mergeCell ref="A5:A6"/>
    <mergeCell ref="A7:A8"/>
    <mergeCell ref="A9:A10"/>
    <mergeCell ref="A12:A13"/>
    <mergeCell ref="A14:A17"/>
    <mergeCell ref="A18:A22"/>
    <mergeCell ref="A31:A32"/>
    <mergeCell ref="A33:A37"/>
    <mergeCell ref="A38:A39"/>
    <mergeCell ref="A40:A43"/>
    <mergeCell ref="A44:A48"/>
    <mergeCell ref="A58:A59"/>
    <mergeCell ref="A60:A61"/>
    <mergeCell ref="A62:A63"/>
    <mergeCell ref="A65:A66"/>
    <mergeCell ref="A67:A70"/>
    <mergeCell ref="A71:A75"/>
    <mergeCell ref="A85:A86"/>
    <mergeCell ref="A87:A91"/>
    <mergeCell ref="A92:A93"/>
    <mergeCell ref="A94:A97"/>
    <mergeCell ref="A98:A102"/>
    <mergeCell ref="A112:A113"/>
    <mergeCell ref="A114:A115"/>
    <mergeCell ref="A116:A117"/>
    <mergeCell ref="A119:A120"/>
    <mergeCell ref="A121:A124"/>
    <mergeCell ref="A125:A129"/>
    <mergeCell ref="A139:A140"/>
    <mergeCell ref="A141:A142"/>
    <mergeCell ref="A143:A144"/>
    <mergeCell ref="A146:A147"/>
    <mergeCell ref="A148:A151"/>
    <mergeCell ref="A152:A156"/>
    <mergeCell ref="A166:A167"/>
    <mergeCell ref="A168:A169"/>
    <mergeCell ref="A170:A171"/>
    <mergeCell ref="A173:A174"/>
    <mergeCell ref="A175:A178"/>
    <mergeCell ref="A179:A183"/>
    <mergeCell ref="A193:A194"/>
    <mergeCell ref="A195:A199"/>
    <mergeCell ref="A200:A201"/>
    <mergeCell ref="A202:A205"/>
    <mergeCell ref="A206:A210"/>
    <mergeCell ref="A220:A222"/>
    <mergeCell ref="A223:A224"/>
    <mergeCell ref="A225:A226"/>
    <mergeCell ref="A228:A229"/>
    <mergeCell ref="A230:A233"/>
    <mergeCell ref="A234:A236"/>
    <mergeCell ref="A248:A249"/>
    <mergeCell ref="A250:A251"/>
    <mergeCell ref="A252:A253"/>
    <mergeCell ref="A255:A256"/>
    <mergeCell ref="A257:A260"/>
    <mergeCell ref="A261:A265"/>
    <mergeCell ref="A275:A276"/>
    <mergeCell ref="A277:A278"/>
    <mergeCell ref="A279:A280"/>
    <mergeCell ref="A282:A283"/>
    <mergeCell ref="A284:A287"/>
    <mergeCell ref="A288:A292"/>
    <mergeCell ref="A302:A303"/>
    <mergeCell ref="A304:A305"/>
    <mergeCell ref="A306:A307"/>
    <mergeCell ref="A309:A310"/>
    <mergeCell ref="A311:A314"/>
    <mergeCell ref="A315:A319"/>
    <mergeCell ref="A330:A331"/>
    <mergeCell ref="A332:A333"/>
    <mergeCell ref="A334:A335"/>
    <mergeCell ref="A337:A338"/>
    <mergeCell ref="A339:A342"/>
    <mergeCell ref="A343:A345"/>
    <mergeCell ref="B5:B6"/>
    <mergeCell ref="B7:B11"/>
    <mergeCell ref="B12:B13"/>
    <mergeCell ref="B14:B17"/>
    <mergeCell ref="B18:B22"/>
    <mergeCell ref="B31:B32"/>
    <mergeCell ref="B33:B37"/>
    <mergeCell ref="B38:B39"/>
    <mergeCell ref="B40:B43"/>
    <mergeCell ref="B44:B48"/>
    <mergeCell ref="B58:B59"/>
    <mergeCell ref="B60:B64"/>
    <mergeCell ref="B65:B66"/>
    <mergeCell ref="B67:B70"/>
    <mergeCell ref="B71:B75"/>
    <mergeCell ref="B85:B86"/>
    <mergeCell ref="B87:B91"/>
    <mergeCell ref="B92:B93"/>
    <mergeCell ref="B94:B97"/>
    <mergeCell ref="B98:B102"/>
    <mergeCell ref="B112:B113"/>
    <mergeCell ref="B114:B118"/>
    <mergeCell ref="B119:B120"/>
    <mergeCell ref="B121:B124"/>
    <mergeCell ref="B125:B129"/>
    <mergeCell ref="B139:B140"/>
    <mergeCell ref="B141:B145"/>
    <mergeCell ref="B146:B147"/>
    <mergeCell ref="B148:B151"/>
    <mergeCell ref="B152:B156"/>
    <mergeCell ref="B166:B167"/>
    <mergeCell ref="B168:B172"/>
    <mergeCell ref="B173:B174"/>
    <mergeCell ref="B175:B178"/>
    <mergeCell ref="B179:B183"/>
    <mergeCell ref="B193:B194"/>
    <mergeCell ref="B195:B199"/>
    <mergeCell ref="B200:B201"/>
    <mergeCell ref="B202:B205"/>
    <mergeCell ref="B206:B210"/>
    <mergeCell ref="B220:B222"/>
    <mergeCell ref="B223:B227"/>
    <mergeCell ref="B228:B229"/>
    <mergeCell ref="B230:B233"/>
    <mergeCell ref="B234:B236"/>
    <mergeCell ref="B248:B249"/>
    <mergeCell ref="B250:B254"/>
    <mergeCell ref="B255:B256"/>
    <mergeCell ref="B257:B260"/>
    <mergeCell ref="B261:B265"/>
    <mergeCell ref="B275:B276"/>
    <mergeCell ref="B277:B281"/>
    <mergeCell ref="B282:B283"/>
    <mergeCell ref="B284:B287"/>
    <mergeCell ref="B288:B292"/>
    <mergeCell ref="B302:B303"/>
    <mergeCell ref="B304:B308"/>
    <mergeCell ref="B309:B310"/>
    <mergeCell ref="B311:B314"/>
    <mergeCell ref="B315:B319"/>
    <mergeCell ref="B330:B331"/>
    <mergeCell ref="B332:B336"/>
    <mergeCell ref="B337:B338"/>
    <mergeCell ref="B339:B342"/>
    <mergeCell ref="B343:B3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0"/>
  <sheetViews>
    <sheetView topLeftCell="A278" workbookViewId="0">
      <selection activeCell="A273" sqref="$A273:$XFD299"/>
    </sheetView>
  </sheetViews>
  <sheetFormatPr defaultColWidth="9" defaultRowHeight="13.5"/>
  <sheetData>
    <row r="1" s="2" customFormat="1" ht="21.75" customHeight="1" spans="1:11">
      <c r="A1" s="42" t="s">
        <v>283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="2" customFormat="1" ht="21.75" customHeight="1" spans="1:11">
      <c r="A2" s="35" t="s">
        <v>235</v>
      </c>
      <c r="B2" s="36"/>
      <c r="C2" s="36"/>
      <c r="D2" s="37" t="s">
        <v>284</v>
      </c>
      <c r="E2" s="36"/>
      <c r="F2" s="36"/>
      <c r="G2" s="36"/>
      <c r="H2" s="36"/>
      <c r="I2" s="36"/>
      <c r="J2" s="36"/>
      <c r="K2" s="36"/>
    </row>
    <row r="3" s="2" customFormat="1" ht="21.75" customHeight="1" spans="1:11">
      <c r="A3" s="27" t="s">
        <v>200</v>
      </c>
      <c r="B3" s="27" t="s">
        <v>201</v>
      </c>
      <c r="C3" s="38" t="s">
        <v>202</v>
      </c>
      <c r="D3" s="12" t="s">
        <v>6</v>
      </c>
      <c r="E3" s="12" t="s">
        <v>6</v>
      </c>
      <c r="F3" s="27" t="s">
        <v>6</v>
      </c>
      <c r="G3" s="27" t="s">
        <v>6</v>
      </c>
      <c r="H3" s="27" t="s">
        <v>6</v>
      </c>
      <c r="I3" s="27" t="s">
        <v>6</v>
      </c>
      <c r="J3" s="27" t="s">
        <v>203</v>
      </c>
      <c r="K3" s="27" t="s">
        <v>204</v>
      </c>
    </row>
    <row r="4" s="2" customFormat="1" ht="21.75" customHeight="1" spans="1:11">
      <c r="A4" s="27" t="s">
        <v>205</v>
      </c>
      <c r="B4" s="27">
        <v>12</v>
      </c>
      <c r="C4" s="38" t="s">
        <v>206</v>
      </c>
      <c r="D4" s="11">
        <v>12</v>
      </c>
      <c r="E4" s="11">
        <v>12</v>
      </c>
      <c r="F4" s="11">
        <v>10</v>
      </c>
      <c r="G4" s="11"/>
      <c r="H4" s="12"/>
      <c r="I4" s="27"/>
      <c r="J4" s="27"/>
      <c r="K4" s="27">
        <f>SUM(D4:J4)</f>
        <v>34</v>
      </c>
    </row>
    <row r="5" s="2" customFormat="1" ht="21.75" customHeight="1" spans="1:11">
      <c r="A5" s="43" t="s">
        <v>207</v>
      </c>
      <c r="B5" s="12">
        <v>11.5</v>
      </c>
      <c r="C5" s="38" t="s">
        <v>208</v>
      </c>
      <c r="D5" s="11">
        <v>17.5</v>
      </c>
      <c r="E5" s="11">
        <v>17.5</v>
      </c>
      <c r="F5" s="11">
        <v>15</v>
      </c>
      <c r="G5" s="11"/>
      <c r="H5" s="12"/>
      <c r="I5" s="27"/>
      <c r="J5" s="27"/>
      <c r="K5" s="27">
        <f>SUM(D5:J5)</f>
        <v>50</v>
      </c>
    </row>
    <row r="6" s="2" customFormat="1" ht="21.75" customHeight="1" spans="1:11">
      <c r="A6" s="44"/>
      <c r="B6" s="39"/>
      <c r="C6" s="38" t="s">
        <v>210</v>
      </c>
      <c r="D6" s="11">
        <v>17.5</v>
      </c>
      <c r="E6" s="11">
        <v>17.5</v>
      </c>
      <c r="F6" s="11">
        <v>15</v>
      </c>
      <c r="G6" s="11"/>
      <c r="H6" s="12"/>
      <c r="I6" s="27"/>
      <c r="J6" s="27"/>
      <c r="K6" s="27">
        <f t="shared" ref="K6:K25" si="0">SUM(D6:J6)</f>
        <v>50</v>
      </c>
    </row>
    <row r="7" s="2" customFormat="1" ht="21.75" customHeight="1" spans="1:11">
      <c r="A7" s="43" t="s">
        <v>211</v>
      </c>
      <c r="B7" s="12">
        <v>11.5</v>
      </c>
      <c r="C7" s="38" t="s">
        <v>212</v>
      </c>
      <c r="D7" s="11">
        <v>11.5</v>
      </c>
      <c r="E7" s="11">
        <v>11.5</v>
      </c>
      <c r="F7" s="11">
        <v>11</v>
      </c>
      <c r="G7" s="11"/>
      <c r="H7" s="12"/>
      <c r="I7" s="27"/>
      <c r="J7" s="27"/>
      <c r="K7" s="27">
        <f t="shared" si="0"/>
        <v>34</v>
      </c>
    </row>
    <row r="8" s="2" customFormat="1" ht="21.75" customHeight="1" spans="1:11">
      <c r="A8" s="44"/>
      <c r="B8" s="39"/>
      <c r="C8" s="38" t="s">
        <v>213</v>
      </c>
      <c r="D8" s="11">
        <v>11.5</v>
      </c>
      <c r="E8" s="11">
        <v>11.5</v>
      </c>
      <c r="F8" s="11">
        <v>11</v>
      </c>
      <c r="G8" s="11"/>
      <c r="H8" s="12"/>
      <c r="I8" s="27"/>
      <c r="J8" s="27"/>
      <c r="K8" s="27">
        <f t="shared" si="0"/>
        <v>34</v>
      </c>
    </row>
    <row r="9" s="2" customFormat="1" ht="21.75" customHeight="1" spans="1:11">
      <c r="A9" s="44"/>
      <c r="B9" s="39"/>
      <c r="C9" s="27" t="s">
        <v>214</v>
      </c>
      <c r="D9" s="11">
        <v>11.5</v>
      </c>
      <c r="E9" s="11">
        <v>11.5</v>
      </c>
      <c r="F9" s="11">
        <v>11</v>
      </c>
      <c r="G9" s="11"/>
      <c r="H9" s="12"/>
      <c r="I9" s="27"/>
      <c r="J9" s="27"/>
      <c r="K9" s="27">
        <f t="shared" si="0"/>
        <v>34</v>
      </c>
    </row>
    <row r="10" s="2" customFormat="1" ht="21.75" customHeight="1" spans="1:11">
      <c r="A10" s="44"/>
      <c r="B10" s="39"/>
      <c r="C10" s="38" t="s">
        <v>216</v>
      </c>
      <c r="D10" s="11">
        <v>11.5</v>
      </c>
      <c r="E10" s="11">
        <v>11.5</v>
      </c>
      <c r="F10" s="11">
        <v>11</v>
      </c>
      <c r="G10" s="11"/>
      <c r="H10" s="12"/>
      <c r="I10" s="12"/>
      <c r="J10" s="27"/>
      <c r="K10" s="27">
        <f t="shared" si="0"/>
        <v>34</v>
      </c>
    </row>
    <row r="11" s="2" customFormat="1" ht="21.75" customHeight="1" spans="1:11">
      <c r="A11" s="45"/>
      <c r="B11" s="46"/>
      <c r="C11" s="38" t="s">
        <v>215</v>
      </c>
      <c r="D11" s="11">
        <v>11.5</v>
      </c>
      <c r="E11" s="11">
        <v>11.5</v>
      </c>
      <c r="F11" s="11">
        <v>11</v>
      </c>
      <c r="G11" s="11"/>
      <c r="H11" s="12"/>
      <c r="I11" s="12"/>
      <c r="J11" s="27"/>
      <c r="K11" s="27">
        <f t="shared" si="0"/>
        <v>34</v>
      </c>
    </row>
    <row r="12" s="2" customFormat="1" ht="21.75" customHeight="1" spans="1:11">
      <c r="A12" s="27" t="s">
        <v>217</v>
      </c>
      <c r="B12" s="27">
        <v>10.5</v>
      </c>
      <c r="C12" s="27" t="s">
        <v>218</v>
      </c>
      <c r="D12" s="11">
        <v>9</v>
      </c>
      <c r="E12" s="11">
        <v>9</v>
      </c>
      <c r="F12" s="11">
        <v>5</v>
      </c>
      <c r="G12" s="11"/>
      <c r="H12" s="12"/>
      <c r="I12" s="27"/>
      <c r="J12" s="27"/>
      <c r="K12" s="27">
        <f t="shared" si="0"/>
        <v>23</v>
      </c>
    </row>
    <row r="13" s="2" customFormat="1" ht="21.75" customHeight="1" spans="1:11">
      <c r="A13" s="27"/>
      <c r="B13" s="27"/>
      <c r="C13" s="27" t="s">
        <v>219</v>
      </c>
      <c r="D13" s="11">
        <v>40</v>
      </c>
      <c r="E13" s="11">
        <v>40</v>
      </c>
      <c r="F13" s="11">
        <v>0</v>
      </c>
      <c r="G13" s="11"/>
      <c r="H13" s="12"/>
      <c r="I13" s="27"/>
      <c r="J13" s="27"/>
      <c r="K13" s="27">
        <f t="shared" si="0"/>
        <v>80</v>
      </c>
    </row>
    <row r="14" s="2" customFormat="1" ht="21.75" customHeight="1" spans="1:11">
      <c r="A14" s="27" t="s">
        <v>220</v>
      </c>
      <c r="B14" s="27">
        <v>11.5</v>
      </c>
      <c r="C14" s="38" t="s">
        <v>221</v>
      </c>
      <c r="D14" s="11">
        <v>19.5</v>
      </c>
      <c r="E14" s="11">
        <v>9.5</v>
      </c>
      <c r="F14" s="11">
        <v>5</v>
      </c>
      <c r="G14" s="11"/>
      <c r="H14" s="12"/>
      <c r="I14" s="27"/>
      <c r="J14" s="27"/>
      <c r="K14" s="27">
        <f t="shared" si="0"/>
        <v>34</v>
      </c>
    </row>
    <row r="15" s="2" customFormat="1" ht="21.75" customHeight="1" spans="1:11">
      <c r="A15" s="27"/>
      <c r="B15" s="27"/>
      <c r="C15" s="38" t="s">
        <v>222</v>
      </c>
      <c r="D15" s="11">
        <v>9</v>
      </c>
      <c r="E15" s="11">
        <v>9</v>
      </c>
      <c r="F15" s="11">
        <v>5</v>
      </c>
      <c r="G15" s="11"/>
      <c r="H15" s="12"/>
      <c r="I15" s="27"/>
      <c r="J15" s="27"/>
      <c r="K15" s="27">
        <f t="shared" si="0"/>
        <v>23</v>
      </c>
    </row>
    <row r="16" s="2" customFormat="1" ht="21.75" customHeight="1" spans="1:11">
      <c r="A16" s="27"/>
      <c r="B16" s="27"/>
      <c r="C16" s="38" t="s">
        <v>223</v>
      </c>
      <c r="D16" s="11">
        <v>40</v>
      </c>
      <c r="E16" s="11">
        <v>40</v>
      </c>
      <c r="F16" s="23">
        <v>0</v>
      </c>
      <c r="G16" s="23"/>
      <c r="H16" s="12"/>
      <c r="I16" s="27"/>
      <c r="J16" s="27"/>
      <c r="K16" s="27">
        <f t="shared" si="0"/>
        <v>80</v>
      </c>
    </row>
    <row r="17" s="2" customFormat="1" ht="21.75" customHeight="1" spans="1:11">
      <c r="A17" s="27"/>
      <c r="B17" s="27"/>
      <c r="C17" s="38" t="s">
        <v>224</v>
      </c>
      <c r="D17" s="24">
        <v>73.5</v>
      </c>
      <c r="E17" s="24">
        <v>74</v>
      </c>
      <c r="F17" s="24">
        <v>5</v>
      </c>
      <c r="G17" s="24"/>
      <c r="H17" s="12"/>
      <c r="I17" s="27"/>
      <c r="J17" s="27"/>
      <c r="K17" s="27">
        <f t="shared" si="0"/>
        <v>152.5</v>
      </c>
    </row>
    <row r="18" s="2" customFormat="1" ht="21.75" customHeight="1" spans="1:11">
      <c r="A18" s="39" t="s">
        <v>225</v>
      </c>
      <c r="B18" s="39">
        <v>10.5</v>
      </c>
      <c r="C18" s="27" t="s">
        <v>226</v>
      </c>
      <c r="D18" s="11">
        <v>23</v>
      </c>
      <c r="E18" s="11">
        <v>23</v>
      </c>
      <c r="F18" s="11">
        <v>10</v>
      </c>
      <c r="G18" s="11"/>
      <c r="H18" s="12"/>
      <c r="I18" s="27"/>
      <c r="J18" s="27"/>
      <c r="K18" s="27">
        <f t="shared" si="0"/>
        <v>56</v>
      </c>
    </row>
    <row r="19" s="2" customFormat="1" ht="21.75" customHeight="1" spans="1:11">
      <c r="A19" s="39"/>
      <c r="B19" s="39"/>
      <c r="C19" s="27" t="s">
        <v>228</v>
      </c>
      <c r="D19" s="11">
        <v>40</v>
      </c>
      <c r="E19" s="11">
        <v>40</v>
      </c>
      <c r="F19" s="11">
        <v>0</v>
      </c>
      <c r="G19" s="11"/>
      <c r="H19" s="12"/>
      <c r="I19" s="27"/>
      <c r="J19" s="27"/>
      <c r="K19" s="27">
        <f t="shared" si="0"/>
        <v>80</v>
      </c>
    </row>
    <row r="20" s="2" customFormat="1" ht="21.75" customHeight="1" spans="1:11">
      <c r="A20" s="39"/>
      <c r="B20" s="39"/>
      <c r="C20" s="27" t="s">
        <v>227</v>
      </c>
      <c r="D20" s="11">
        <v>40</v>
      </c>
      <c r="E20" s="11">
        <v>40</v>
      </c>
      <c r="F20" s="11">
        <v>0</v>
      </c>
      <c r="G20" s="11"/>
      <c r="H20" s="12"/>
      <c r="I20" s="27"/>
      <c r="J20" s="27"/>
      <c r="K20" s="27">
        <f t="shared" si="0"/>
        <v>80</v>
      </c>
    </row>
    <row r="21" s="2" customFormat="1" ht="21.75" customHeight="1" spans="1:11">
      <c r="A21" s="39"/>
      <c r="B21" s="39"/>
      <c r="C21" s="27" t="s">
        <v>229</v>
      </c>
      <c r="D21" s="11">
        <v>11.5</v>
      </c>
      <c r="E21" s="11">
        <v>11.5</v>
      </c>
      <c r="F21" s="11">
        <v>5</v>
      </c>
      <c r="G21" s="11"/>
      <c r="H21" s="12"/>
      <c r="I21" s="27"/>
      <c r="J21" s="40"/>
      <c r="K21" s="27">
        <f t="shared" si="0"/>
        <v>28</v>
      </c>
    </row>
    <row r="22" s="2" customFormat="1" ht="21.75" customHeight="1" spans="1:11">
      <c r="A22" s="39"/>
      <c r="B22" s="39"/>
      <c r="C22" s="27" t="s">
        <v>240</v>
      </c>
      <c r="D22" s="11">
        <v>11.5</v>
      </c>
      <c r="E22" s="11">
        <v>11.5</v>
      </c>
      <c r="F22" s="11">
        <v>5</v>
      </c>
      <c r="G22" s="11"/>
      <c r="H22" s="12"/>
      <c r="I22" s="27"/>
      <c r="J22" s="40"/>
      <c r="K22" s="27">
        <f t="shared" si="0"/>
        <v>28</v>
      </c>
    </row>
    <row r="23" s="2" customFormat="1" ht="21.75" customHeight="1" spans="1:11">
      <c r="A23" s="12" t="s">
        <v>230</v>
      </c>
      <c r="B23" s="12">
        <v>10.5</v>
      </c>
      <c r="C23" s="27" t="s">
        <v>231</v>
      </c>
      <c r="D23" s="11">
        <v>10.5</v>
      </c>
      <c r="E23" s="11">
        <v>10.5</v>
      </c>
      <c r="F23" s="11">
        <v>10.5</v>
      </c>
      <c r="G23" s="11"/>
      <c r="H23" s="27"/>
      <c r="I23" s="27"/>
      <c r="J23" s="40"/>
      <c r="K23" s="27">
        <f t="shared" si="0"/>
        <v>31.5</v>
      </c>
    </row>
    <row r="24" s="2" customFormat="1" ht="21.75" customHeight="1" spans="1:11">
      <c r="A24" s="27" t="s">
        <v>232</v>
      </c>
      <c r="B24" s="27">
        <v>12</v>
      </c>
      <c r="C24" s="27" t="s">
        <v>233</v>
      </c>
      <c r="D24" s="22">
        <v>12</v>
      </c>
      <c r="E24" s="22">
        <v>12</v>
      </c>
      <c r="F24" s="22">
        <v>12</v>
      </c>
      <c r="G24" s="22"/>
      <c r="H24" s="27"/>
      <c r="I24" s="27"/>
      <c r="J24" s="40"/>
      <c r="K24" s="27">
        <f t="shared" si="0"/>
        <v>36</v>
      </c>
    </row>
    <row r="25" s="2" customFormat="1" ht="21.75" customHeight="1" spans="1:11">
      <c r="A25" s="38"/>
      <c r="B25" s="41"/>
      <c r="C25" s="41"/>
      <c r="D25" s="41"/>
      <c r="E25" s="41"/>
      <c r="F25" s="41"/>
      <c r="G25" s="41"/>
      <c r="H25" s="41"/>
      <c r="I25" s="41"/>
      <c r="J25" s="40"/>
      <c r="K25" s="47">
        <f>SUM(K4:K24)</f>
        <v>1036</v>
      </c>
    </row>
    <row r="28" s="2" customFormat="1" ht="21.75" customHeight="1" spans="1:11">
      <c r="A28" s="42" t="s">
        <v>283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s="2" customFormat="1" ht="21.75" customHeight="1" spans="1:11">
      <c r="A29" s="35" t="s">
        <v>235</v>
      </c>
      <c r="B29" s="36"/>
      <c r="C29" s="36"/>
      <c r="D29" s="37" t="s">
        <v>285</v>
      </c>
      <c r="E29" s="36"/>
      <c r="F29" s="36"/>
      <c r="G29" s="36"/>
      <c r="H29" s="36"/>
      <c r="I29" s="36"/>
      <c r="J29" s="36"/>
      <c r="K29" s="36"/>
    </row>
    <row r="30" s="2" customFormat="1" ht="21.75" customHeight="1" spans="1:11">
      <c r="A30" s="27" t="s">
        <v>200</v>
      </c>
      <c r="B30" s="27" t="s">
        <v>201</v>
      </c>
      <c r="C30" s="38" t="s">
        <v>202</v>
      </c>
      <c r="D30" s="12" t="s">
        <v>6</v>
      </c>
      <c r="E30" s="12" t="s">
        <v>6</v>
      </c>
      <c r="F30" s="27" t="s">
        <v>6</v>
      </c>
      <c r="G30" s="27" t="s">
        <v>6</v>
      </c>
      <c r="H30" s="27" t="s">
        <v>6</v>
      </c>
      <c r="I30" s="27" t="s">
        <v>6</v>
      </c>
      <c r="J30" s="27" t="s">
        <v>203</v>
      </c>
      <c r="K30" s="27" t="s">
        <v>204</v>
      </c>
    </row>
    <row r="31" s="2" customFormat="1" ht="21.75" customHeight="1" spans="1:11">
      <c r="A31" s="27" t="s">
        <v>205</v>
      </c>
      <c r="B31" s="27">
        <v>12</v>
      </c>
      <c r="C31" s="38" t="s">
        <v>206</v>
      </c>
      <c r="D31" s="11">
        <v>12</v>
      </c>
      <c r="E31" s="11"/>
      <c r="F31" s="11"/>
      <c r="G31" s="11"/>
      <c r="H31" s="12"/>
      <c r="I31" s="27"/>
      <c r="J31" s="27"/>
      <c r="K31" s="27">
        <f t="shared" ref="K31:K53" si="1">SUM(D31:J31)</f>
        <v>12</v>
      </c>
    </row>
    <row r="32" s="2" customFormat="1" ht="21.75" customHeight="1" spans="1:11">
      <c r="A32" s="43" t="s">
        <v>207</v>
      </c>
      <c r="B32" s="12">
        <v>11.5</v>
      </c>
      <c r="C32" s="38" t="s">
        <v>208</v>
      </c>
      <c r="D32" s="11">
        <v>11.5</v>
      </c>
      <c r="E32" s="11"/>
      <c r="F32" s="11"/>
      <c r="G32" s="11"/>
      <c r="H32" s="12"/>
      <c r="I32" s="27"/>
      <c r="J32" s="27"/>
      <c r="K32" s="27">
        <f t="shared" si="1"/>
        <v>11.5</v>
      </c>
    </row>
    <row r="33" s="2" customFormat="1" ht="21.75" customHeight="1" spans="1:11">
      <c r="A33" s="44"/>
      <c r="B33" s="39"/>
      <c r="C33" s="27" t="s">
        <v>209</v>
      </c>
      <c r="D33" s="11">
        <v>11.5</v>
      </c>
      <c r="E33" s="11"/>
      <c r="F33" s="11"/>
      <c r="G33" s="11"/>
      <c r="H33" s="12"/>
      <c r="I33" s="27"/>
      <c r="J33" s="27"/>
      <c r="K33" s="27">
        <f t="shared" si="1"/>
        <v>11.5</v>
      </c>
    </row>
    <row r="34" s="2" customFormat="1" ht="21.75" customHeight="1" spans="1:11">
      <c r="A34" s="44"/>
      <c r="B34" s="39"/>
      <c r="C34" s="38" t="s">
        <v>210</v>
      </c>
      <c r="D34" s="11">
        <v>11.5</v>
      </c>
      <c r="E34" s="11"/>
      <c r="F34" s="11"/>
      <c r="G34" s="11"/>
      <c r="H34" s="12"/>
      <c r="I34" s="27"/>
      <c r="J34" s="27"/>
      <c r="K34" s="27">
        <f t="shared" si="1"/>
        <v>11.5</v>
      </c>
    </row>
    <row r="35" s="2" customFormat="1" ht="21.75" customHeight="1" spans="1:11">
      <c r="A35" s="43" t="s">
        <v>211</v>
      </c>
      <c r="B35" s="12">
        <v>11.5</v>
      </c>
      <c r="C35" s="38" t="s">
        <v>212</v>
      </c>
      <c r="D35" s="11">
        <v>11.5</v>
      </c>
      <c r="E35" s="11"/>
      <c r="F35" s="11"/>
      <c r="G35" s="11"/>
      <c r="H35" s="12"/>
      <c r="I35" s="27"/>
      <c r="J35" s="27"/>
      <c r="K35" s="27">
        <f t="shared" si="1"/>
        <v>11.5</v>
      </c>
    </row>
    <row r="36" s="2" customFormat="1" ht="21.75" customHeight="1" spans="1:11">
      <c r="A36" s="44"/>
      <c r="B36" s="39"/>
      <c r="C36" s="38" t="s">
        <v>213</v>
      </c>
      <c r="D36" s="11">
        <v>0</v>
      </c>
      <c r="E36" s="11"/>
      <c r="F36" s="11"/>
      <c r="G36" s="11"/>
      <c r="H36" s="12"/>
      <c r="I36" s="27"/>
      <c r="J36" s="27"/>
      <c r="K36" s="27">
        <f t="shared" si="1"/>
        <v>0</v>
      </c>
    </row>
    <row r="37" s="2" customFormat="1" ht="21.75" customHeight="1" spans="1:11">
      <c r="A37" s="44"/>
      <c r="B37" s="39"/>
      <c r="C37" s="27" t="s">
        <v>214</v>
      </c>
      <c r="D37" s="11">
        <v>11.5</v>
      </c>
      <c r="E37" s="11"/>
      <c r="F37" s="11"/>
      <c r="G37" s="11"/>
      <c r="H37" s="12"/>
      <c r="I37" s="27"/>
      <c r="J37" s="27"/>
      <c r="K37" s="27">
        <f t="shared" si="1"/>
        <v>11.5</v>
      </c>
    </row>
    <row r="38" s="2" customFormat="1" ht="21.75" customHeight="1" spans="1:11">
      <c r="A38" s="44"/>
      <c r="B38" s="39"/>
      <c r="C38" s="38" t="s">
        <v>216</v>
      </c>
      <c r="D38" s="11">
        <v>0</v>
      </c>
      <c r="E38" s="11"/>
      <c r="F38" s="11"/>
      <c r="G38" s="11"/>
      <c r="H38" s="12"/>
      <c r="I38" s="12"/>
      <c r="J38" s="27"/>
      <c r="K38" s="27">
        <f t="shared" si="1"/>
        <v>0</v>
      </c>
    </row>
    <row r="39" s="2" customFormat="1" ht="21.75" customHeight="1" spans="1:11">
      <c r="A39" s="45"/>
      <c r="B39" s="46"/>
      <c r="C39" s="38" t="s">
        <v>215</v>
      </c>
      <c r="D39" s="11">
        <v>0</v>
      </c>
      <c r="E39" s="11"/>
      <c r="F39" s="11"/>
      <c r="G39" s="11"/>
      <c r="H39" s="12"/>
      <c r="I39" s="12"/>
      <c r="J39" s="27"/>
      <c r="K39" s="27">
        <f t="shared" si="1"/>
        <v>0</v>
      </c>
    </row>
    <row r="40" s="2" customFormat="1" ht="21.75" customHeight="1" spans="1:11">
      <c r="A40" s="27" t="s">
        <v>217</v>
      </c>
      <c r="B40" s="27">
        <v>10.5</v>
      </c>
      <c r="C40" s="27" t="s">
        <v>218</v>
      </c>
      <c r="D40" s="22">
        <v>10</v>
      </c>
      <c r="E40" s="22"/>
      <c r="F40" s="22"/>
      <c r="G40" s="22"/>
      <c r="H40" s="12"/>
      <c r="I40" s="27"/>
      <c r="J40" s="27"/>
      <c r="K40" s="27">
        <f t="shared" si="1"/>
        <v>10</v>
      </c>
    </row>
    <row r="41" s="2" customFormat="1" ht="21.75" customHeight="1" spans="1:11">
      <c r="A41" s="27"/>
      <c r="B41" s="27"/>
      <c r="C41" s="27" t="s">
        <v>219</v>
      </c>
      <c r="D41" s="11">
        <v>37.2</v>
      </c>
      <c r="E41" s="11"/>
      <c r="F41" s="11"/>
      <c r="G41" s="11"/>
      <c r="H41" s="12"/>
      <c r="I41" s="27"/>
      <c r="J41" s="27"/>
      <c r="K41" s="27">
        <f t="shared" si="1"/>
        <v>37.2</v>
      </c>
    </row>
    <row r="42" s="2" customFormat="1" ht="21.75" customHeight="1" spans="1:11">
      <c r="A42" s="27" t="s">
        <v>220</v>
      </c>
      <c r="B42" s="27">
        <v>11.5</v>
      </c>
      <c r="C42" s="38" t="s">
        <v>221</v>
      </c>
      <c r="D42" s="11">
        <v>21</v>
      </c>
      <c r="E42" s="11"/>
      <c r="F42" s="11"/>
      <c r="G42" s="11"/>
      <c r="H42" s="12"/>
      <c r="I42" s="27"/>
      <c r="J42" s="27"/>
      <c r="K42" s="27">
        <f t="shared" si="1"/>
        <v>21</v>
      </c>
    </row>
    <row r="43" s="2" customFormat="1" ht="21.75" customHeight="1" spans="1:11">
      <c r="A43" s="27"/>
      <c r="B43" s="27"/>
      <c r="C43" s="38" t="s">
        <v>222</v>
      </c>
      <c r="D43" s="11">
        <v>10</v>
      </c>
      <c r="E43" s="11"/>
      <c r="F43" s="11"/>
      <c r="G43" s="11"/>
      <c r="H43" s="12"/>
      <c r="I43" s="27"/>
      <c r="J43" s="27"/>
      <c r="K43" s="27">
        <f t="shared" si="1"/>
        <v>10</v>
      </c>
    </row>
    <row r="44" s="2" customFormat="1" ht="21.75" customHeight="1" spans="1:11">
      <c r="A44" s="27"/>
      <c r="B44" s="27"/>
      <c r="C44" s="38" t="s">
        <v>223</v>
      </c>
      <c r="D44" s="23">
        <v>37.2</v>
      </c>
      <c r="E44" s="23"/>
      <c r="F44" s="23"/>
      <c r="G44" s="23"/>
      <c r="H44" s="12"/>
      <c r="I44" s="27"/>
      <c r="J44" s="27"/>
      <c r="K44" s="27">
        <f t="shared" si="1"/>
        <v>37.2</v>
      </c>
    </row>
    <row r="45" s="2" customFormat="1" ht="21.75" customHeight="1" spans="1:11">
      <c r="A45" s="27"/>
      <c r="B45" s="27"/>
      <c r="C45" s="38" t="s">
        <v>224</v>
      </c>
      <c r="D45" s="24">
        <v>42</v>
      </c>
      <c r="E45" s="24"/>
      <c r="F45" s="24"/>
      <c r="G45" s="24"/>
      <c r="H45" s="12"/>
      <c r="I45" s="27"/>
      <c r="J45" s="27"/>
      <c r="K45" s="27">
        <f t="shared" si="1"/>
        <v>42</v>
      </c>
    </row>
    <row r="46" s="2" customFormat="1" ht="21.75" customHeight="1" spans="1:11">
      <c r="A46" s="39" t="s">
        <v>225</v>
      </c>
      <c r="B46" s="39">
        <v>10.5</v>
      </c>
      <c r="C46" s="27" t="s">
        <v>226</v>
      </c>
      <c r="D46" s="11">
        <v>13</v>
      </c>
      <c r="E46" s="11"/>
      <c r="F46" s="11"/>
      <c r="G46" s="11"/>
      <c r="H46" s="12"/>
      <c r="I46" s="27"/>
      <c r="J46" s="27"/>
      <c r="K46" s="27">
        <f t="shared" si="1"/>
        <v>13</v>
      </c>
    </row>
    <row r="47" s="2" customFormat="1" ht="21.75" customHeight="1" spans="1:11">
      <c r="A47" s="39"/>
      <c r="B47" s="39"/>
      <c r="C47" s="27" t="s">
        <v>228</v>
      </c>
      <c r="D47" s="11">
        <v>7</v>
      </c>
      <c r="E47" s="11"/>
      <c r="F47" s="11"/>
      <c r="G47" s="11"/>
      <c r="H47" s="12"/>
      <c r="I47" s="27"/>
      <c r="J47" s="27"/>
      <c r="K47" s="27">
        <f t="shared" si="1"/>
        <v>7</v>
      </c>
    </row>
    <row r="48" s="2" customFormat="1" ht="21.75" customHeight="1" spans="1:11">
      <c r="A48" s="39"/>
      <c r="B48" s="39"/>
      <c r="C48" s="27" t="s">
        <v>227</v>
      </c>
      <c r="D48" s="11">
        <v>7</v>
      </c>
      <c r="E48" s="11"/>
      <c r="F48" s="11"/>
      <c r="G48" s="11"/>
      <c r="H48" s="12"/>
      <c r="I48" s="27"/>
      <c r="J48" s="27"/>
      <c r="K48" s="27">
        <f t="shared" si="1"/>
        <v>7</v>
      </c>
    </row>
    <row r="49" s="2" customFormat="1" ht="21.75" customHeight="1" spans="1:11">
      <c r="A49" s="39"/>
      <c r="B49" s="39"/>
      <c r="C49" s="27" t="s">
        <v>229</v>
      </c>
      <c r="D49" s="11">
        <v>7</v>
      </c>
      <c r="E49" s="11"/>
      <c r="F49" s="11"/>
      <c r="G49" s="11"/>
      <c r="H49" s="12"/>
      <c r="I49" s="27"/>
      <c r="J49" s="40"/>
      <c r="K49" s="27">
        <f t="shared" si="1"/>
        <v>7</v>
      </c>
    </row>
    <row r="50" s="2" customFormat="1" ht="21.75" customHeight="1" spans="1:11">
      <c r="A50" s="39"/>
      <c r="B50" s="39"/>
      <c r="C50" s="27" t="s">
        <v>240</v>
      </c>
      <c r="D50" s="11">
        <v>7</v>
      </c>
      <c r="E50" s="11"/>
      <c r="F50" s="11"/>
      <c r="G50" s="11"/>
      <c r="H50" s="12"/>
      <c r="I50" s="27"/>
      <c r="J50" s="40"/>
      <c r="K50" s="27">
        <f t="shared" si="1"/>
        <v>7</v>
      </c>
    </row>
    <row r="51" s="2" customFormat="1" ht="21.75" customHeight="1" spans="1:11">
      <c r="A51" s="12" t="s">
        <v>230</v>
      </c>
      <c r="B51" s="12">
        <v>10.5</v>
      </c>
      <c r="C51" s="27" t="s">
        <v>231</v>
      </c>
      <c r="D51" s="11">
        <v>10.5</v>
      </c>
      <c r="E51" s="11"/>
      <c r="F51" s="11"/>
      <c r="G51" s="11"/>
      <c r="H51" s="27"/>
      <c r="I51" s="27"/>
      <c r="J51" s="40"/>
      <c r="K51" s="27">
        <f t="shared" si="1"/>
        <v>10.5</v>
      </c>
    </row>
    <row r="52" s="2" customFormat="1" ht="21.75" customHeight="1" spans="1:11">
      <c r="A52" s="27" t="s">
        <v>232</v>
      </c>
      <c r="B52" s="27">
        <v>12</v>
      </c>
      <c r="C52" s="27" t="s">
        <v>233</v>
      </c>
      <c r="D52" s="22">
        <v>12</v>
      </c>
      <c r="E52" s="22"/>
      <c r="F52" s="11"/>
      <c r="G52" s="22"/>
      <c r="H52" s="27"/>
      <c r="I52" s="27"/>
      <c r="J52" s="40"/>
      <c r="K52" s="27">
        <f t="shared" si="1"/>
        <v>12</v>
      </c>
    </row>
    <row r="53" s="2" customFormat="1" ht="21.75" customHeight="1" spans="1:11">
      <c r="A53" s="38"/>
      <c r="B53" s="41"/>
      <c r="C53" s="41"/>
      <c r="D53" s="41"/>
      <c r="E53" s="41"/>
      <c r="F53" s="41"/>
      <c r="G53" s="41"/>
      <c r="H53" s="41"/>
      <c r="I53" s="41"/>
      <c r="J53" s="40"/>
      <c r="K53" s="47">
        <f>SUM(K31:K52)</f>
        <v>290.4</v>
      </c>
    </row>
    <row r="54" s="2" customFormat="1" ht="21.75" customHeight="1" spans="1:11">
      <c r="A54" s="42" t="s">
        <v>283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="2" customFormat="1" ht="21.75" customHeight="1" spans="1:11">
      <c r="A55" s="35" t="s">
        <v>235</v>
      </c>
      <c r="B55" s="36"/>
      <c r="C55" s="36"/>
      <c r="D55" s="37" t="s">
        <v>286</v>
      </c>
      <c r="E55" s="36"/>
      <c r="F55" s="36"/>
      <c r="G55" s="36"/>
      <c r="H55" s="36"/>
      <c r="I55" s="36"/>
      <c r="J55" s="36"/>
      <c r="K55" s="36"/>
    </row>
    <row r="56" s="2" customFormat="1" ht="21.75" customHeight="1" spans="1:11">
      <c r="A56" s="27" t="s">
        <v>200</v>
      </c>
      <c r="B56" s="27" t="s">
        <v>201</v>
      </c>
      <c r="C56" s="38" t="s">
        <v>202</v>
      </c>
      <c r="D56" s="12" t="s">
        <v>6</v>
      </c>
      <c r="E56" s="12" t="s">
        <v>6</v>
      </c>
      <c r="F56" s="27" t="s">
        <v>6</v>
      </c>
      <c r="G56" s="27" t="s">
        <v>6</v>
      </c>
      <c r="H56" s="27" t="s">
        <v>6</v>
      </c>
      <c r="I56" s="27" t="s">
        <v>6</v>
      </c>
      <c r="J56" s="27" t="s">
        <v>203</v>
      </c>
      <c r="K56" s="27" t="s">
        <v>204</v>
      </c>
    </row>
    <row r="57" s="2" customFormat="1" ht="21.75" customHeight="1" spans="1:11">
      <c r="A57" s="27" t="s">
        <v>205</v>
      </c>
      <c r="B57" s="27">
        <v>12</v>
      </c>
      <c r="C57" s="38" t="s">
        <v>206</v>
      </c>
      <c r="D57" s="11">
        <v>0</v>
      </c>
      <c r="E57" s="11"/>
      <c r="F57" s="11"/>
      <c r="G57" s="11"/>
      <c r="H57" s="12"/>
      <c r="I57" s="27"/>
      <c r="J57" s="27"/>
      <c r="K57" s="27">
        <f>SUM(D57:J57)</f>
        <v>0</v>
      </c>
    </row>
    <row r="58" s="2" customFormat="1" ht="21.75" customHeight="1" spans="1:11">
      <c r="A58" s="43" t="s">
        <v>207</v>
      </c>
      <c r="B58" s="12">
        <v>11.5</v>
      </c>
      <c r="C58" s="38" t="s">
        <v>208</v>
      </c>
      <c r="D58" s="11">
        <v>0</v>
      </c>
      <c r="E58" s="11"/>
      <c r="F58" s="11"/>
      <c r="G58" s="11"/>
      <c r="H58" s="12"/>
      <c r="I58" s="27"/>
      <c r="J58" s="27"/>
      <c r="K58" s="27">
        <f>SUM(D58:J58)</f>
        <v>0</v>
      </c>
    </row>
    <row r="59" s="2" customFormat="1" ht="21.75" customHeight="1" spans="1:11">
      <c r="A59" s="44"/>
      <c r="B59" s="39"/>
      <c r="C59" s="38" t="s">
        <v>210</v>
      </c>
      <c r="D59" s="11">
        <v>0</v>
      </c>
      <c r="E59" s="11"/>
      <c r="F59" s="11"/>
      <c r="G59" s="11"/>
      <c r="H59" s="12"/>
      <c r="I59" s="27"/>
      <c r="J59" s="27"/>
      <c r="K59" s="27">
        <f t="shared" ref="K59:K78" si="2">SUM(D59:J59)</f>
        <v>0</v>
      </c>
    </row>
    <row r="60" s="2" customFormat="1" ht="21.75" customHeight="1" spans="1:11">
      <c r="A60" s="43" t="s">
        <v>211</v>
      </c>
      <c r="B60" s="12">
        <v>11.5</v>
      </c>
      <c r="C60" s="38" t="s">
        <v>212</v>
      </c>
      <c r="D60" s="11">
        <v>0</v>
      </c>
      <c r="E60" s="11"/>
      <c r="F60" s="11"/>
      <c r="G60" s="11"/>
      <c r="H60" s="12"/>
      <c r="I60" s="27"/>
      <c r="J60" s="27"/>
      <c r="K60" s="27">
        <f t="shared" si="2"/>
        <v>0</v>
      </c>
    </row>
    <row r="61" s="2" customFormat="1" ht="21.75" customHeight="1" spans="1:11">
      <c r="A61" s="44"/>
      <c r="B61" s="39"/>
      <c r="C61" s="38" t="s">
        <v>213</v>
      </c>
      <c r="D61" s="11">
        <v>11.5</v>
      </c>
      <c r="E61" s="11"/>
      <c r="F61" s="11"/>
      <c r="G61" s="11"/>
      <c r="H61" s="12"/>
      <c r="I61" s="27"/>
      <c r="J61" s="27"/>
      <c r="K61" s="27">
        <f t="shared" si="2"/>
        <v>11.5</v>
      </c>
    </row>
    <row r="62" s="2" customFormat="1" ht="21.75" customHeight="1" spans="1:11">
      <c r="A62" s="44"/>
      <c r="B62" s="39"/>
      <c r="C62" s="27" t="s">
        <v>214</v>
      </c>
      <c r="D62" s="11">
        <v>16</v>
      </c>
      <c r="E62" s="11"/>
      <c r="F62" s="11"/>
      <c r="G62" s="11"/>
      <c r="H62" s="12"/>
      <c r="I62" s="27"/>
      <c r="J62" s="27"/>
      <c r="K62" s="27">
        <f t="shared" si="2"/>
        <v>16</v>
      </c>
    </row>
    <row r="63" s="2" customFormat="1" ht="21.75" customHeight="1" spans="1:11">
      <c r="A63" s="44"/>
      <c r="B63" s="39"/>
      <c r="C63" s="38" t="s">
        <v>216</v>
      </c>
      <c r="D63" s="11">
        <v>11.5</v>
      </c>
      <c r="E63" s="11"/>
      <c r="F63" s="11"/>
      <c r="G63" s="11"/>
      <c r="H63" s="12"/>
      <c r="I63" s="12"/>
      <c r="J63" s="27"/>
      <c r="K63" s="27">
        <f t="shared" si="2"/>
        <v>11.5</v>
      </c>
    </row>
    <row r="64" s="2" customFormat="1" ht="21.75" customHeight="1" spans="1:11">
      <c r="A64" s="45"/>
      <c r="B64" s="46"/>
      <c r="C64" s="38" t="s">
        <v>215</v>
      </c>
      <c r="D64" s="11">
        <v>11.5</v>
      </c>
      <c r="E64" s="11"/>
      <c r="F64" s="11"/>
      <c r="G64" s="11"/>
      <c r="H64" s="12"/>
      <c r="I64" s="12"/>
      <c r="J64" s="27"/>
      <c r="K64" s="27">
        <f t="shared" si="2"/>
        <v>11.5</v>
      </c>
    </row>
    <row r="65" s="2" customFormat="1" ht="21.75" customHeight="1" spans="1:11">
      <c r="A65" s="27" t="s">
        <v>217</v>
      </c>
      <c r="B65" s="27">
        <v>10.5</v>
      </c>
      <c r="C65" s="27" t="s">
        <v>218</v>
      </c>
      <c r="D65" s="22">
        <v>5</v>
      </c>
      <c r="E65" s="22"/>
      <c r="F65" s="22"/>
      <c r="G65" s="22"/>
      <c r="H65" s="12"/>
      <c r="I65" s="27"/>
      <c r="J65" s="27"/>
      <c r="K65" s="27">
        <f t="shared" si="2"/>
        <v>5</v>
      </c>
    </row>
    <row r="66" s="2" customFormat="1" ht="21.75" customHeight="1" spans="1:11">
      <c r="A66" s="27"/>
      <c r="B66" s="27"/>
      <c r="C66" s="27" t="s">
        <v>219</v>
      </c>
      <c r="D66" s="11">
        <v>16</v>
      </c>
      <c r="E66" s="11"/>
      <c r="F66" s="11"/>
      <c r="G66" s="11"/>
      <c r="H66" s="12"/>
      <c r="I66" s="27"/>
      <c r="J66" s="27"/>
      <c r="K66" s="27">
        <f t="shared" si="2"/>
        <v>16</v>
      </c>
    </row>
    <row r="67" s="2" customFormat="1" ht="21.75" customHeight="1" spans="1:11">
      <c r="A67" s="27" t="s">
        <v>220</v>
      </c>
      <c r="B67" s="27">
        <v>11.5</v>
      </c>
      <c r="C67" s="38" t="s">
        <v>221</v>
      </c>
      <c r="D67" s="11">
        <v>28</v>
      </c>
      <c r="E67" s="11"/>
      <c r="F67" s="11"/>
      <c r="G67" s="11"/>
      <c r="H67" s="12"/>
      <c r="I67" s="27"/>
      <c r="J67" s="27"/>
      <c r="K67" s="27">
        <f t="shared" si="2"/>
        <v>28</v>
      </c>
    </row>
    <row r="68" s="2" customFormat="1" ht="21.75" customHeight="1" spans="1:11">
      <c r="A68" s="27"/>
      <c r="B68" s="27"/>
      <c r="C68" s="38" t="s">
        <v>222</v>
      </c>
      <c r="D68" s="11">
        <v>8</v>
      </c>
      <c r="E68" s="11"/>
      <c r="F68" s="11"/>
      <c r="G68" s="11"/>
      <c r="H68" s="12"/>
      <c r="I68" s="27"/>
      <c r="J68" s="27"/>
      <c r="K68" s="27">
        <f t="shared" si="2"/>
        <v>8</v>
      </c>
    </row>
    <row r="69" s="2" customFormat="1" ht="21.75" customHeight="1" spans="1:11">
      <c r="A69" s="27"/>
      <c r="B69" s="27"/>
      <c r="C69" s="38" t="s">
        <v>223</v>
      </c>
      <c r="D69" s="23">
        <v>0</v>
      </c>
      <c r="E69" s="23"/>
      <c r="F69" s="23"/>
      <c r="G69" s="23"/>
      <c r="H69" s="12"/>
      <c r="I69" s="27"/>
      <c r="J69" s="27"/>
      <c r="K69" s="27">
        <f t="shared" si="2"/>
        <v>0</v>
      </c>
    </row>
    <row r="70" s="2" customFormat="1" ht="21.75" customHeight="1" spans="1:11">
      <c r="A70" s="27"/>
      <c r="B70" s="27"/>
      <c r="C70" s="38" t="s">
        <v>224</v>
      </c>
      <c r="D70" s="24">
        <v>65</v>
      </c>
      <c r="E70" s="24"/>
      <c r="F70" s="24"/>
      <c r="G70" s="24"/>
      <c r="H70" s="12"/>
      <c r="I70" s="27"/>
      <c r="J70" s="27"/>
      <c r="K70" s="27">
        <f t="shared" si="2"/>
        <v>65</v>
      </c>
    </row>
    <row r="71" s="2" customFormat="1" ht="21.75" customHeight="1" spans="1:11">
      <c r="A71" s="39" t="s">
        <v>225</v>
      </c>
      <c r="B71" s="39">
        <v>10.5</v>
      </c>
      <c r="C71" s="27" t="s">
        <v>226</v>
      </c>
      <c r="D71" s="11">
        <v>20</v>
      </c>
      <c r="E71" s="11"/>
      <c r="F71" s="11"/>
      <c r="G71" s="11"/>
      <c r="H71" s="12"/>
      <c r="I71" s="27"/>
      <c r="J71" s="27"/>
      <c r="K71" s="27">
        <f t="shared" si="2"/>
        <v>20</v>
      </c>
    </row>
    <row r="72" s="2" customFormat="1" ht="21.75" customHeight="1" spans="1:11">
      <c r="A72" s="39"/>
      <c r="B72" s="39"/>
      <c r="C72" s="27" t="s">
        <v>228</v>
      </c>
      <c r="D72" s="11">
        <v>11</v>
      </c>
      <c r="E72" s="11"/>
      <c r="F72" s="11"/>
      <c r="G72" s="11"/>
      <c r="H72" s="12"/>
      <c r="I72" s="27"/>
      <c r="J72" s="27"/>
      <c r="K72" s="27">
        <f t="shared" si="2"/>
        <v>11</v>
      </c>
    </row>
    <row r="73" s="2" customFormat="1" ht="21.75" customHeight="1" spans="1:11">
      <c r="A73" s="39"/>
      <c r="B73" s="39"/>
      <c r="C73" s="27" t="s">
        <v>227</v>
      </c>
      <c r="D73" s="11">
        <v>11</v>
      </c>
      <c r="E73" s="11"/>
      <c r="F73" s="11"/>
      <c r="G73" s="11"/>
      <c r="H73" s="12"/>
      <c r="I73" s="27"/>
      <c r="J73" s="27"/>
      <c r="K73" s="27">
        <f t="shared" si="2"/>
        <v>11</v>
      </c>
    </row>
    <row r="74" s="2" customFormat="1" ht="21.75" customHeight="1" spans="1:11">
      <c r="A74" s="39"/>
      <c r="B74" s="39"/>
      <c r="C74" s="27" t="s">
        <v>229</v>
      </c>
      <c r="D74" s="11">
        <v>11</v>
      </c>
      <c r="E74" s="11"/>
      <c r="F74" s="11"/>
      <c r="G74" s="11"/>
      <c r="H74" s="12"/>
      <c r="I74" s="27"/>
      <c r="J74" s="40"/>
      <c r="K74" s="27">
        <f t="shared" si="2"/>
        <v>11</v>
      </c>
    </row>
    <row r="75" s="2" customFormat="1" ht="21.75" customHeight="1" spans="1:11">
      <c r="A75" s="39"/>
      <c r="B75" s="39"/>
      <c r="C75" s="27" t="s">
        <v>240</v>
      </c>
      <c r="D75" s="11">
        <v>11</v>
      </c>
      <c r="E75" s="11"/>
      <c r="F75" s="11"/>
      <c r="G75" s="11"/>
      <c r="H75" s="12"/>
      <c r="I75" s="27"/>
      <c r="J75" s="40"/>
      <c r="K75" s="27">
        <f t="shared" si="2"/>
        <v>11</v>
      </c>
    </row>
    <row r="76" s="2" customFormat="1" ht="21.75" customHeight="1" spans="1:11">
      <c r="A76" s="12" t="s">
        <v>230</v>
      </c>
      <c r="B76" s="12">
        <v>10.5</v>
      </c>
      <c r="C76" s="27" t="s">
        <v>231</v>
      </c>
      <c r="D76" s="11">
        <v>0</v>
      </c>
      <c r="E76" s="11"/>
      <c r="F76" s="11"/>
      <c r="G76" s="11"/>
      <c r="H76" s="27"/>
      <c r="I76" s="27"/>
      <c r="J76" s="40"/>
      <c r="K76" s="27">
        <f t="shared" si="2"/>
        <v>0</v>
      </c>
    </row>
    <row r="77" s="2" customFormat="1" ht="21.75" customHeight="1" spans="1:11">
      <c r="A77" s="27" t="s">
        <v>232</v>
      </c>
      <c r="B77" s="27">
        <v>12</v>
      </c>
      <c r="C77" s="27" t="s">
        <v>233</v>
      </c>
      <c r="D77" s="22">
        <v>0</v>
      </c>
      <c r="E77" s="22"/>
      <c r="F77" s="11"/>
      <c r="G77" s="22"/>
      <c r="H77" s="27"/>
      <c r="I77" s="27"/>
      <c r="J77" s="40"/>
      <c r="K77" s="27">
        <f t="shared" si="2"/>
        <v>0</v>
      </c>
    </row>
    <row r="78" s="2" customFormat="1" ht="21.75" customHeight="1" spans="1:11">
      <c r="A78" s="38"/>
      <c r="B78" s="41"/>
      <c r="C78" s="41"/>
      <c r="D78" s="41"/>
      <c r="E78" s="41"/>
      <c r="F78" s="41"/>
      <c r="G78" s="41"/>
      <c r="H78" s="41"/>
      <c r="I78" s="41"/>
      <c r="J78" s="40"/>
      <c r="K78" s="47">
        <f>SUM(K57:K77)</f>
        <v>236.5</v>
      </c>
    </row>
    <row r="80" s="1" customFormat="1" ht="21" customHeight="1" spans="1:11">
      <c r="A80" s="4" t="s">
        <v>283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="1" customFormat="1" ht="21" customHeight="1" spans="1:11">
      <c r="A81" s="5" t="s">
        <v>235</v>
      </c>
      <c r="B81" s="5"/>
      <c r="C81" s="5"/>
      <c r="D81" s="5" t="s">
        <v>287</v>
      </c>
      <c r="E81" s="5"/>
      <c r="F81" s="5"/>
      <c r="G81" s="5"/>
      <c r="H81" s="5"/>
      <c r="I81" s="5"/>
      <c r="J81" s="5"/>
      <c r="K81" s="5"/>
    </row>
    <row r="82" s="1" customFormat="1" ht="21" customHeight="1" spans="1:11">
      <c r="A82" s="6" t="s">
        <v>200</v>
      </c>
      <c r="B82" s="6" t="s">
        <v>201</v>
      </c>
      <c r="C82" s="7" t="s">
        <v>202</v>
      </c>
      <c r="D82" s="8" t="s">
        <v>6</v>
      </c>
      <c r="E82" s="8" t="s">
        <v>6</v>
      </c>
      <c r="F82" s="6" t="s">
        <v>6</v>
      </c>
      <c r="G82" s="6" t="s">
        <v>6</v>
      </c>
      <c r="H82" s="6" t="s">
        <v>6</v>
      </c>
      <c r="I82" s="6" t="s">
        <v>6</v>
      </c>
      <c r="J82" s="6" t="s">
        <v>203</v>
      </c>
      <c r="K82" s="6" t="s">
        <v>204</v>
      </c>
    </row>
    <row r="83" s="1" customFormat="1" ht="21" customHeight="1" spans="1:11">
      <c r="A83" s="9" t="s">
        <v>205</v>
      </c>
      <c r="B83" s="9">
        <v>12</v>
      </c>
      <c r="C83" s="10" t="s">
        <v>206</v>
      </c>
      <c r="D83" s="11">
        <v>12</v>
      </c>
      <c r="E83" s="11">
        <v>12</v>
      </c>
      <c r="F83" s="11"/>
      <c r="G83" s="11"/>
      <c r="H83" s="26"/>
      <c r="I83" s="9"/>
      <c r="J83" s="9"/>
      <c r="K83" s="13">
        <f>SUM(D83:J83)</f>
        <v>24</v>
      </c>
    </row>
    <row r="84" s="1" customFormat="1" ht="21" customHeight="1" spans="1:11">
      <c r="A84" s="14" t="s">
        <v>207</v>
      </c>
      <c r="B84" s="9">
        <v>11.5</v>
      </c>
      <c r="C84" s="15" t="s">
        <v>208</v>
      </c>
      <c r="D84" s="11">
        <v>30</v>
      </c>
      <c r="E84" s="11">
        <v>30</v>
      </c>
      <c r="F84" s="11"/>
      <c r="G84" s="11"/>
      <c r="H84" s="26"/>
      <c r="I84" s="9"/>
      <c r="J84" s="9"/>
      <c r="K84" s="13">
        <f>SUM(D84:J84)</f>
        <v>60</v>
      </c>
    </row>
    <row r="85" s="1" customFormat="1" ht="21" customHeight="1" spans="1:11">
      <c r="A85" s="14"/>
      <c r="B85" s="9"/>
      <c r="C85" s="15" t="s">
        <v>210</v>
      </c>
      <c r="D85" s="11">
        <v>26.5</v>
      </c>
      <c r="E85" s="11">
        <v>26.5</v>
      </c>
      <c r="F85" s="11"/>
      <c r="G85" s="11"/>
      <c r="H85" s="26"/>
      <c r="I85" s="9"/>
      <c r="J85" s="9"/>
      <c r="K85" s="13">
        <f t="shared" ref="K85:K104" si="3">SUM(D85:J85)</f>
        <v>53</v>
      </c>
    </row>
    <row r="86" s="1" customFormat="1" ht="21" customHeight="1" spans="1:11">
      <c r="A86" s="16" t="s">
        <v>237</v>
      </c>
      <c r="B86" s="13">
        <v>11.5</v>
      </c>
      <c r="C86" s="17" t="s">
        <v>212</v>
      </c>
      <c r="D86" s="11">
        <v>23</v>
      </c>
      <c r="E86" s="11">
        <v>11.5</v>
      </c>
      <c r="F86" s="11"/>
      <c r="G86" s="11"/>
      <c r="H86" s="26"/>
      <c r="I86" s="9"/>
      <c r="J86" s="9"/>
      <c r="K86" s="13">
        <f t="shared" si="3"/>
        <v>34.5</v>
      </c>
    </row>
    <row r="87" s="1" customFormat="1" ht="21" customHeight="1" spans="1:11">
      <c r="A87" s="18"/>
      <c r="B87" s="13"/>
      <c r="C87" s="1" t="s">
        <v>215</v>
      </c>
      <c r="D87" s="11">
        <v>23</v>
      </c>
      <c r="E87" s="11">
        <v>23</v>
      </c>
      <c r="F87" s="11"/>
      <c r="G87" s="11"/>
      <c r="H87" s="26"/>
      <c r="I87" s="9"/>
      <c r="J87" s="9"/>
      <c r="K87" s="13">
        <f t="shared" si="3"/>
        <v>46</v>
      </c>
    </row>
    <row r="88" s="1" customFormat="1" ht="21" customHeight="1" spans="1:11">
      <c r="A88" s="19" t="s">
        <v>238</v>
      </c>
      <c r="B88" s="13"/>
      <c r="C88" s="17" t="s">
        <v>213</v>
      </c>
      <c r="D88" s="11">
        <v>23</v>
      </c>
      <c r="E88" s="11">
        <v>23</v>
      </c>
      <c r="F88" s="11"/>
      <c r="G88" s="11"/>
      <c r="H88" s="26"/>
      <c r="I88" s="9"/>
      <c r="J88" s="9"/>
      <c r="K88" s="13">
        <f t="shared" si="3"/>
        <v>46</v>
      </c>
    </row>
    <row r="89" s="1" customFormat="1" ht="21" customHeight="1" spans="1:11">
      <c r="A89" s="20"/>
      <c r="B89" s="13"/>
      <c r="C89" s="17" t="s">
        <v>216</v>
      </c>
      <c r="D89" s="11">
        <v>23</v>
      </c>
      <c r="E89" s="11">
        <v>23</v>
      </c>
      <c r="F89" s="11"/>
      <c r="G89" s="11"/>
      <c r="H89" s="26"/>
      <c r="I89" s="26"/>
      <c r="J89" s="9"/>
      <c r="K89" s="13">
        <f t="shared" si="3"/>
        <v>46</v>
      </c>
    </row>
    <row r="90" s="1" customFormat="1" ht="21" customHeight="1" spans="1:11">
      <c r="A90" s="21" t="s">
        <v>239</v>
      </c>
      <c r="B90" s="13"/>
      <c r="C90" s="13" t="s">
        <v>214</v>
      </c>
      <c r="D90" s="11">
        <v>21.5</v>
      </c>
      <c r="E90" s="11">
        <v>11.5</v>
      </c>
      <c r="F90" s="11"/>
      <c r="G90" s="11"/>
      <c r="H90" s="26"/>
      <c r="I90" s="26"/>
      <c r="J90" s="9"/>
      <c r="K90" s="13">
        <f t="shared" si="3"/>
        <v>33</v>
      </c>
    </row>
    <row r="91" s="1" customFormat="1" ht="21" customHeight="1" spans="1:11">
      <c r="A91" s="9" t="s">
        <v>217</v>
      </c>
      <c r="B91" s="9">
        <v>10.5</v>
      </c>
      <c r="C91" s="9" t="s">
        <v>218</v>
      </c>
      <c r="D91" s="22">
        <v>21</v>
      </c>
      <c r="E91" s="22">
        <v>20</v>
      </c>
      <c r="F91" s="22"/>
      <c r="G91" s="22"/>
      <c r="H91" s="26"/>
      <c r="I91" s="9"/>
      <c r="J91" s="9"/>
      <c r="K91" s="13">
        <f t="shared" si="3"/>
        <v>41</v>
      </c>
    </row>
    <row r="92" s="1" customFormat="1" ht="21" customHeight="1" spans="1:11">
      <c r="A92" s="9"/>
      <c r="B92" s="9"/>
      <c r="C92" s="9" t="s">
        <v>219</v>
      </c>
      <c r="D92" s="11">
        <v>21</v>
      </c>
      <c r="E92" s="11">
        <v>20</v>
      </c>
      <c r="F92" s="11"/>
      <c r="G92" s="11"/>
      <c r="H92" s="26"/>
      <c r="I92" s="9"/>
      <c r="J92" s="9"/>
      <c r="K92" s="13">
        <f t="shared" si="3"/>
        <v>41</v>
      </c>
    </row>
    <row r="93" s="1" customFormat="1" ht="21" customHeight="1" spans="1:11">
      <c r="A93" s="9" t="s">
        <v>220</v>
      </c>
      <c r="B93" s="9">
        <v>11.5</v>
      </c>
      <c r="C93" s="15" t="s">
        <v>221</v>
      </c>
      <c r="D93" s="11">
        <v>28</v>
      </c>
      <c r="E93" s="11">
        <v>28</v>
      </c>
      <c r="F93" s="11"/>
      <c r="G93" s="11"/>
      <c r="H93" s="26"/>
      <c r="I93" s="9"/>
      <c r="J93" s="9"/>
      <c r="K93" s="13">
        <f t="shared" si="3"/>
        <v>56</v>
      </c>
    </row>
    <row r="94" s="1" customFormat="1" ht="21" customHeight="1" spans="1:11">
      <c r="A94" s="9"/>
      <c r="B94" s="9"/>
      <c r="C94" s="15" t="s">
        <v>222</v>
      </c>
      <c r="D94" s="11">
        <v>18</v>
      </c>
      <c r="E94" s="11">
        <v>18</v>
      </c>
      <c r="F94" s="11"/>
      <c r="G94" s="11"/>
      <c r="H94" s="26"/>
      <c r="I94" s="9"/>
      <c r="J94" s="9"/>
      <c r="K94" s="13">
        <f t="shared" si="3"/>
        <v>36</v>
      </c>
    </row>
    <row r="95" s="1" customFormat="1" ht="21" customHeight="1" spans="1:11">
      <c r="A95" s="9"/>
      <c r="B95" s="9"/>
      <c r="C95" s="15" t="s">
        <v>223</v>
      </c>
      <c r="D95" s="23">
        <v>41</v>
      </c>
      <c r="E95" s="23">
        <v>41</v>
      </c>
      <c r="F95" s="23"/>
      <c r="G95" s="23"/>
      <c r="H95" s="26"/>
      <c r="I95" s="9"/>
      <c r="J95" s="9"/>
      <c r="K95" s="13">
        <f t="shared" si="3"/>
        <v>82</v>
      </c>
    </row>
    <row r="96" s="1" customFormat="1" ht="21" customHeight="1" spans="1:11">
      <c r="A96" s="9"/>
      <c r="B96" s="9"/>
      <c r="C96" s="15" t="s">
        <v>224</v>
      </c>
      <c r="D96" s="24">
        <v>155.7</v>
      </c>
      <c r="E96" s="24">
        <v>157</v>
      </c>
      <c r="F96" s="24"/>
      <c r="G96" s="24"/>
      <c r="H96" s="26"/>
      <c r="I96" s="9"/>
      <c r="J96" s="9"/>
      <c r="K96" s="13">
        <f t="shared" si="3"/>
        <v>312.7</v>
      </c>
    </row>
    <row r="97" s="1" customFormat="1" ht="21" customHeight="1" spans="1:11">
      <c r="A97" s="25" t="s">
        <v>225</v>
      </c>
      <c r="B97" s="25">
        <v>10.5</v>
      </c>
      <c r="C97" s="9" t="s">
        <v>226</v>
      </c>
      <c r="D97" s="11">
        <v>25</v>
      </c>
      <c r="E97" s="11">
        <v>25</v>
      </c>
      <c r="F97" s="11"/>
      <c r="G97" s="11"/>
      <c r="H97" s="26"/>
      <c r="I97" s="9"/>
      <c r="J97" s="9"/>
      <c r="K97" s="13">
        <f t="shared" si="3"/>
        <v>50</v>
      </c>
    </row>
    <row r="98" s="1" customFormat="1" ht="21" customHeight="1" spans="1:11">
      <c r="A98" s="25"/>
      <c r="B98" s="25"/>
      <c r="C98" s="9" t="s">
        <v>228</v>
      </c>
      <c r="D98" s="11">
        <v>50</v>
      </c>
      <c r="E98" s="11">
        <v>50</v>
      </c>
      <c r="F98" s="11"/>
      <c r="G98" s="11"/>
      <c r="H98" s="26"/>
      <c r="I98" s="9"/>
      <c r="J98" s="9"/>
      <c r="K98" s="13">
        <f t="shared" si="3"/>
        <v>100</v>
      </c>
    </row>
    <row r="99" s="1" customFormat="1" ht="21" customHeight="1" spans="1:11">
      <c r="A99" s="25"/>
      <c r="B99" s="25"/>
      <c r="C99" s="9" t="s">
        <v>227</v>
      </c>
      <c r="D99" s="11">
        <v>24.6</v>
      </c>
      <c r="E99" s="11">
        <v>24.5</v>
      </c>
      <c r="F99" s="11"/>
      <c r="G99" s="11"/>
      <c r="H99" s="26"/>
      <c r="I99" s="9"/>
      <c r="J99" s="9"/>
      <c r="K99" s="13">
        <f t="shared" si="3"/>
        <v>49.1</v>
      </c>
    </row>
    <row r="100" s="1" customFormat="1" ht="21" customHeight="1" spans="1:11">
      <c r="A100" s="25"/>
      <c r="B100" s="25"/>
      <c r="C100" s="9" t="s">
        <v>229</v>
      </c>
      <c r="D100" s="11">
        <v>24.6</v>
      </c>
      <c r="E100" s="11">
        <v>24.5</v>
      </c>
      <c r="F100" s="11"/>
      <c r="G100" s="11"/>
      <c r="H100" s="26"/>
      <c r="I100" s="9"/>
      <c r="J100" s="106"/>
      <c r="K100" s="13">
        <f t="shared" si="3"/>
        <v>49.1</v>
      </c>
    </row>
    <row r="101" s="1" customFormat="1" ht="21" customHeight="1" spans="1:11">
      <c r="A101" s="25"/>
      <c r="B101" s="25"/>
      <c r="C101" s="9" t="s">
        <v>240</v>
      </c>
      <c r="D101" s="11">
        <v>24.6</v>
      </c>
      <c r="E101" s="11">
        <v>24.5</v>
      </c>
      <c r="F101" s="11"/>
      <c r="G101" s="11"/>
      <c r="H101" s="26"/>
      <c r="I101" s="9"/>
      <c r="J101" s="106"/>
      <c r="K101" s="13">
        <f t="shared" si="3"/>
        <v>49.1</v>
      </c>
    </row>
    <row r="102" s="1" customFormat="1" ht="21" customHeight="1" spans="1:11">
      <c r="A102" s="26" t="s">
        <v>230</v>
      </c>
      <c r="B102" s="26">
        <v>10.5</v>
      </c>
      <c r="C102" s="9" t="s">
        <v>231</v>
      </c>
      <c r="D102" s="11">
        <v>10.5</v>
      </c>
      <c r="E102" s="11">
        <v>10.5</v>
      </c>
      <c r="F102" s="11"/>
      <c r="G102" s="11"/>
      <c r="H102" s="9"/>
      <c r="I102" s="9"/>
      <c r="J102" s="106"/>
      <c r="K102" s="13">
        <f t="shared" si="3"/>
        <v>21</v>
      </c>
    </row>
    <row r="103" s="1" customFormat="1" ht="21" customHeight="1" spans="1:11">
      <c r="A103" s="26" t="s">
        <v>232</v>
      </c>
      <c r="B103" s="26">
        <v>12</v>
      </c>
      <c r="C103" s="26" t="s">
        <v>233</v>
      </c>
      <c r="D103" s="22">
        <v>12</v>
      </c>
      <c r="E103" s="22">
        <v>12</v>
      </c>
      <c r="F103" s="89"/>
      <c r="G103" s="146"/>
      <c r="H103" s="26"/>
      <c r="I103" s="26"/>
      <c r="J103" s="107"/>
      <c r="K103" s="28">
        <f t="shared" si="3"/>
        <v>24</v>
      </c>
    </row>
    <row r="104" s="1" customFormat="1" ht="21" customHeight="1" spans="1:11">
      <c r="A104" s="17"/>
      <c r="B104" s="29"/>
      <c r="C104" s="29"/>
      <c r="D104" s="30"/>
      <c r="E104" s="30"/>
      <c r="F104" s="30"/>
      <c r="G104" s="29"/>
      <c r="H104" s="29"/>
      <c r="I104" s="29"/>
      <c r="J104" s="29"/>
      <c r="K104" s="31">
        <f>SUM(K83:K103)</f>
        <v>1253.5</v>
      </c>
    </row>
    <row r="107" ht="26" customHeight="1" spans="1:11">
      <c r="A107" s="42" t="s">
        <v>283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</row>
    <row r="108" ht="26" customHeight="1" spans="1:11">
      <c r="A108" s="70" t="s">
        <v>257</v>
      </c>
      <c r="B108" s="27"/>
      <c r="C108" s="27"/>
      <c r="D108" s="37" t="s">
        <v>288</v>
      </c>
      <c r="E108" s="36"/>
      <c r="F108" s="36"/>
      <c r="G108" s="36"/>
      <c r="H108" s="36"/>
      <c r="I108" s="36"/>
      <c r="J108" s="36"/>
      <c r="K108" s="36"/>
    </row>
    <row r="109" ht="26" customHeight="1" spans="1:11">
      <c r="A109" s="27" t="s">
        <v>200</v>
      </c>
      <c r="B109" s="27" t="s">
        <v>201</v>
      </c>
      <c r="C109" s="38" t="s">
        <v>202</v>
      </c>
      <c r="D109" s="12" t="s">
        <v>6</v>
      </c>
      <c r="E109" s="12" t="s">
        <v>6</v>
      </c>
      <c r="F109" s="27" t="s">
        <v>6</v>
      </c>
      <c r="G109" s="27" t="s">
        <v>6</v>
      </c>
      <c r="H109" s="27" t="s">
        <v>6</v>
      </c>
      <c r="I109" s="27" t="s">
        <v>6</v>
      </c>
      <c r="J109" s="27" t="s">
        <v>203</v>
      </c>
      <c r="K109" s="27" t="s">
        <v>204</v>
      </c>
    </row>
    <row r="110" ht="26" customHeight="1" spans="1:11">
      <c r="A110" s="27" t="s">
        <v>205</v>
      </c>
      <c r="B110" s="27">
        <v>12</v>
      </c>
      <c r="C110" s="38" t="s">
        <v>206</v>
      </c>
      <c r="D110" s="12">
        <v>12</v>
      </c>
      <c r="E110" s="12">
        <v>12</v>
      </c>
      <c r="F110" s="12">
        <v>20</v>
      </c>
      <c r="G110" s="12"/>
      <c r="H110" s="12"/>
      <c r="I110" s="12"/>
      <c r="J110" s="12"/>
      <c r="K110" s="27">
        <f>SUM(D110:J110)</f>
        <v>44</v>
      </c>
    </row>
    <row r="111" ht="26" customHeight="1" spans="1:11">
      <c r="A111" s="21" t="s">
        <v>207</v>
      </c>
      <c r="B111" s="27">
        <v>11.5</v>
      </c>
      <c r="C111" s="38" t="s">
        <v>208</v>
      </c>
      <c r="D111" s="12">
        <v>17.5</v>
      </c>
      <c r="E111" s="12">
        <v>17.5</v>
      </c>
      <c r="F111" s="12">
        <v>30</v>
      </c>
      <c r="G111" s="12"/>
      <c r="H111" s="12"/>
      <c r="I111" s="12"/>
      <c r="J111" s="12"/>
      <c r="K111" s="27">
        <f>SUM(D111:J111)</f>
        <v>65</v>
      </c>
    </row>
    <row r="112" ht="26" customHeight="1" spans="1:11">
      <c r="A112" s="21"/>
      <c r="B112" s="27"/>
      <c r="C112" s="38" t="s">
        <v>210</v>
      </c>
      <c r="D112" s="12">
        <v>17.5</v>
      </c>
      <c r="E112" s="12">
        <v>17.5</v>
      </c>
      <c r="F112" s="12">
        <v>30</v>
      </c>
      <c r="G112" s="12"/>
      <c r="H112" s="12"/>
      <c r="I112" s="12"/>
      <c r="J112" s="12"/>
      <c r="K112" s="27">
        <f t="shared" ref="K112:K131" si="4">SUM(D112:J112)</f>
        <v>65</v>
      </c>
    </row>
    <row r="113" ht="26" customHeight="1" spans="1:11">
      <c r="A113" s="16" t="s">
        <v>237</v>
      </c>
      <c r="B113" s="13">
        <v>11.5</v>
      </c>
      <c r="C113" s="17" t="s">
        <v>212</v>
      </c>
      <c r="D113" s="27">
        <v>10</v>
      </c>
      <c r="E113" s="27">
        <v>10</v>
      </c>
      <c r="F113" s="12">
        <v>22</v>
      </c>
      <c r="G113" s="27"/>
      <c r="H113" s="27"/>
      <c r="I113" s="27"/>
      <c r="J113" s="12"/>
      <c r="K113" s="27">
        <f t="shared" si="4"/>
        <v>42</v>
      </c>
    </row>
    <row r="114" ht="26" customHeight="1" spans="1:11">
      <c r="A114" s="18"/>
      <c r="B114" s="13"/>
      <c r="C114" s="1" t="s">
        <v>215</v>
      </c>
      <c r="D114" s="27">
        <v>11.5</v>
      </c>
      <c r="E114" s="27">
        <v>11.5</v>
      </c>
      <c r="F114" s="12">
        <v>0</v>
      </c>
      <c r="G114" s="12"/>
      <c r="H114" s="12"/>
      <c r="I114" s="12"/>
      <c r="J114" s="12"/>
      <c r="K114" s="27">
        <f t="shared" si="4"/>
        <v>23</v>
      </c>
    </row>
    <row r="115" ht="26" customHeight="1" spans="1:11">
      <c r="A115" s="19" t="s">
        <v>238</v>
      </c>
      <c r="B115" s="13"/>
      <c r="C115" s="17" t="s">
        <v>213</v>
      </c>
      <c r="D115" s="27">
        <v>10</v>
      </c>
      <c r="E115" s="27">
        <v>10</v>
      </c>
      <c r="F115" s="12">
        <v>22</v>
      </c>
      <c r="G115" s="27"/>
      <c r="H115" s="27"/>
      <c r="I115" s="27"/>
      <c r="J115" s="12"/>
      <c r="K115" s="27">
        <f t="shared" si="4"/>
        <v>42</v>
      </c>
    </row>
    <row r="116" ht="26" customHeight="1" spans="1:11">
      <c r="A116" s="20"/>
      <c r="B116" s="13"/>
      <c r="C116" s="17" t="s">
        <v>216</v>
      </c>
      <c r="D116" s="27">
        <v>10</v>
      </c>
      <c r="E116" s="27">
        <v>10</v>
      </c>
      <c r="F116" s="12">
        <v>0</v>
      </c>
      <c r="G116" s="27"/>
      <c r="H116" s="27"/>
      <c r="I116" s="27"/>
      <c r="J116" s="12"/>
      <c r="K116" s="27">
        <f t="shared" si="4"/>
        <v>20</v>
      </c>
    </row>
    <row r="117" ht="26" customHeight="1" spans="1:11">
      <c r="A117" s="21" t="s">
        <v>239</v>
      </c>
      <c r="B117" s="13"/>
      <c r="C117" s="13" t="s">
        <v>214</v>
      </c>
      <c r="D117" s="27">
        <v>11.5</v>
      </c>
      <c r="E117" s="27">
        <v>11.5</v>
      </c>
      <c r="F117" s="12">
        <v>0</v>
      </c>
      <c r="G117" s="12"/>
      <c r="H117" s="12"/>
      <c r="I117" s="12"/>
      <c r="J117" s="12"/>
      <c r="K117" s="27">
        <f t="shared" si="4"/>
        <v>23</v>
      </c>
    </row>
    <row r="118" ht="26" customHeight="1" spans="1:11">
      <c r="A118" s="27" t="s">
        <v>217</v>
      </c>
      <c r="B118" s="27">
        <v>10.5</v>
      </c>
      <c r="C118" s="27" t="s">
        <v>218</v>
      </c>
      <c r="D118" s="27">
        <v>10</v>
      </c>
      <c r="E118" s="27">
        <v>10</v>
      </c>
      <c r="F118" s="12">
        <v>0</v>
      </c>
      <c r="G118" s="27"/>
      <c r="H118" s="27"/>
      <c r="I118" s="27"/>
      <c r="J118" s="12"/>
      <c r="K118" s="27">
        <f t="shared" si="4"/>
        <v>20</v>
      </c>
    </row>
    <row r="119" ht="26" customHeight="1" spans="1:11">
      <c r="A119" s="27"/>
      <c r="B119" s="27"/>
      <c r="C119" s="27" t="s">
        <v>219</v>
      </c>
      <c r="D119" s="27">
        <v>10</v>
      </c>
      <c r="E119" s="27">
        <v>10</v>
      </c>
      <c r="F119" s="12">
        <v>0</v>
      </c>
      <c r="G119" s="27"/>
      <c r="H119" s="27"/>
      <c r="I119" s="27"/>
      <c r="J119" s="12"/>
      <c r="K119" s="27">
        <f t="shared" si="4"/>
        <v>20</v>
      </c>
    </row>
    <row r="120" ht="26" customHeight="1" spans="1:11">
      <c r="A120" s="27" t="s">
        <v>220</v>
      </c>
      <c r="B120" s="27">
        <v>11.5</v>
      </c>
      <c r="C120" s="38" t="s">
        <v>221</v>
      </c>
      <c r="D120" s="12">
        <v>20</v>
      </c>
      <c r="E120" s="12">
        <v>10</v>
      </c>
      <c r="F120" s="12">
        <v>10</v>
      </c>
      <c r="G120" s="12"/>
      <c r="H120" s="12"/>
      <c r="I120" s="12"/>
      <c r="J120" s="12"/>
      <c r="K120" s="27">
        <f t="shared" si="4"/>
        <v>40</v>
      </c>
    </row>
    <row r="121" ht="26" customHeight="1" spans="1:11">
      <c r="A121" s="27"/>
      <c r="B121" s="27"/>
      <c r="C121" s="38" t="s">
        <v>222</v>
      </c>
      <c r="D121" s="12">
        <v>10</v>
      </c>
      <c r="E121" s="12">
        <v>10</v>
      </c>
      <c r="F121" s="12">
        <v>10</v>
      </c>
      <c r="G121" s="12"/>
      <c r="H121" s="12"/>
      <c r="I121" s="12"/>
      <c r="J121" s="12"/>
      <c r="K121" s="27">
        <f t="shared" si="4"/>
        <v>30</v>
      </c>
    </row>
    <row r="122" ht="26" customHeight="1" spans="1:11">
      <c r="A122" s="27"/>
      <c r="B122" s="27"/>
      <c r="C122" s="38" t="s">
        <v>223</v>
      </c>
      <c r="D122" s="12">
        <v>0</v>
      </c>
      <c r="E122" s="12">
        <v>0</v>
      </c>
      <c r="F122" s="12">
        <v>0</v>
      </c>
      <c r="G122" s="12"/>
      <c r="H122" s="12"/>
      <c r="I122" s="12"/>
      <c r="J122" s="12"/>
      <c r="K122" s="27">
        <f t="shared" si="4"/>
        <v>0</v>
      </c>
    </row>
    <row r="123" ht="26" customHeight="1" spans="1:11">
      <c r="A123" s="27"/>
      <c r="B123" s="27"/>
      <c r="C123" s="38" t="s">
        <v>224</v>
      </c>
      <c r="D123" s="12">
        <v>10</v>
      </c>
      <c r="E123" s="12">
        <v>10</v>
      </c>
      <c r="F123" s="12">
        <v>0</v>
      </c>
      <c r="G123" s="12"/>
      <c r="H123" s="12"/>
      <c r="I123" s="12"/>
      <c r="J123" s="12"/>
      <c r="K123" s="27">
        <f t="shared" si="4"/>
        <v>20</v>
      </c>
    </row>
    <row r="124" ht="26" customHeight="1" spans="1:11">
      <c r="A124" s="39" t="s">
        <v>225</v>
      </c>
      <c r="B124" s="39">
        <v>10.5</v>
      </c>
      <c r="C124" s="27" t="s">
        <v>226</v>
      </c>
      <c r="D124" s="12">
        <v>12</v>
      </c>
      <c r="E124" s="12">
        <v>12</v>
      </c>
      <c r="F124" s="12">
        <v>20</v>
      </c>
      <c r="G124" s="12"/>
      <c r="H124" s="12"/>
      <c r="I124" s="12"/>
      <c r="J124" s="12"/>
      <c r="K124" s="27">
        <f t="shared" si="4"/>
        <v>44</v>
      </c>
    </row>
    <row r="125" ht="26" customHeight="1" spans="1:11">
      <c r="A125" s="39"/>
      <c r="B125" s="39"/>
      <c r="C125" s="27" t="s">
        <v>228</v>
      </c>
      <c r="D125" s="12">
        <v>10</v>
      </c>
      <c r="E125" s="12">
        <v>10</v>
      </c>
      <c r="F125" s="12">
        <v>0</v>
      </c>
      <c r="G125" s="12"/>
      <c r="H125" s="12"/>
      <c r="I125" s="12"/>
      <c r="J125" s="12"/>
      <c r="K125" s="27">
        <f t="shared" si="4"/>
        <v>20</v>
      </c>
    </row>
    <row r="126" ht="26" customHeight="1" spans="1:11">
      <c r="A126" s="39"/>
      <c r="B126" s="39"/>
      <c r="C126" s="27" t="s">
        <v>289</v>
      </c>
      <c r="D126" s="12">
        <v>5</v>
      </c>
      <c r="E126" s="12">
        <v>5</v>
      </c>
      <c r="F126" s="12">
        <v>0</v>
      </c>
      <c r="G126" s="12"/>
      <c r="H126" s="12"/>
      <c r="I126" s="12"/>
      <c r="J126" s="12"/>
      <c r="K126" s="27">
        <f t="shared" si="4"/>
        <v>10</v>
      </c>
    </row>
    <row r="127" ht="26" customHeight="1" spans="1:11">
      <c r="A127" s="39"/>
      <c r="B127" s="39"/>
      <c r="C127" s="27" t="s">
        <v>229</v>
      </c>
      <c r="D127" s="12">
        <v>6</v>
      </c>
      <c r="E127" s="12">
        <v>6</v>
      </c>
      <c r="F127" s="12">
        <v>10</v>
      </c>
      <c r="G127" s="12"/>
      <c r="H127" s="12"/>
      <c r="I127" s="12"/>
      <c r="J127" s="12"/>
      <c r="K127" s="27">
        <f t="shared" si="4"/>
        <v>22</v>
      </c>
    </row>
    <row r="128" ht="26" customHeight="1" spans="1:11">
      <c r="A128" s="39"/>
      <c r="B128" s="39"/>
      <c r="C128" s="27" t="s">
        <v>240</v>
      </c>
      <c r="D128" s="12">
        <v>6</v>
      </c>
      <c r="E128" s="12">
        <v>6</v>
      </c>
      <c r="F128" s="12">
        <v>10</v>
      </c>
      <c r="G128" s="12"/>
      <c r="H128" s="12"/>
      <c r="I128" s="12"/>
      <c r="J128" s="12"/>
      <c r="K128" s="27">
        <f t="shared" si="4"/>
        <v>22</v>
      </c>
    </row>
    <row r="129" ht="26" customHeight="1" spans="1:11">
      <c r="A129" s="12" t="s">
        <v>230</v>
      </c>
      <c r="B129" s="12">
        <v>10.5</v>
      </c>
      <c r="C129" s="27" t="s">
        <v>231</v>
      </c>
      <c r="D129" s="27">
        <v>10.5</v>
      </c>
      <c r="E129" s="27">
        <v>10.5</v>
      </c>
      <c r="F129" s="27">
        <v>20</v>
      </c>
      <c r="G129" s="12"/>
      <c r="H129" s="12"/>
      <c r="I129" s="12"/>
      <c r="J129" s="27"/>
      <c r="K129" s="27">
        <f t="shared" si="4"/>
        <v>41</v>
      </c>
    </row>
    <row r="130" ht="26" customHeight="1" spans="1:11">
      <c r="A130" s="27" t="s">
        <v>232</v>
      </c>
      <c r="B130" s="27">
        <v>12</v>
      </c>
      <c r="C130" s="27" t="s">
        <v>233</v>
      </c>
      <c r="D130" s="27">
        <v>12</v>
      </c>
      <c r="E130" s="27">
        <v>12</v>
      </c>
      <c r="F130" s="27">
        <v>20</v>
      </c>
      <c r="G130" s="27"/>
      <c r="H130" s="27"/>
      <c r="I130" s="27"/>
      <c r="J130" s="27"/>
      <c r="K130" s="27">
        <f t="shared" si="4"/>
        <v>44</v>
      </c>
    </row>
    <row r="131" ht="26" customHeight="1" spans="1:11">
      <c r="A131" s="38"/>
      <c r="B131" s="41"/>
      <c r="C131" s="41"/>
      <c r="D131" s="41"/>
      <c r="E131" s="41"/>
      <c r="F131" s="41"/>
      <c r="G131" s="41"/>
      <c r="H131" s="41"/>
      <c r="I131" s="41"/>
      <c r="J131" s="40"/>
      <c r="K131" s="27">
        <f>SUM(K110:K130)</f>
        <v>657</v>
      </c>
    </row>
    <row r="134" s="3" customFormat="1" ht="21" customHeight="1" spans="1:11">
      <c r="A134" s="71" t="s">
        <v>290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s="3" customFormat="1" ht="21" customHeight="1" spans="1:11">
      <c r="A135" s="72" t="s">
        <v>198</v>
      </c>
      <c r="B135" s="72"/>
      <c r="C135" s="72"/>
      <c r="D135" s="73" t="s">
        <v>291</v>
      </c>
      <c r="E135" s="72"/>
      <c r="F135" s="72"/>
      <c r="G135" s="72"/>
      <c r="H135" s="72"/>
      <c r="I135" s="72"/>
      <c r="J135" s="72"/>
      <c r="K135" s="72"/>
    </row>
    <row r="136" s="3" customFormat="1" ht="21" customHeight="1" spans="1:11">
      <c r="A136" s="74" t="s">
        <v>200</v>
      </c>
      <c r="B136" s="74" t="s">
        <v>201</v>
      </c>
      <c r="C136" s="75" t="s">
        <v>202</v>
      </c>
      <c r="D136" s="76" t="s">
        <v>6</v>
      </c>
      <c r="E136" s="76" t="s">
        <v>6</v>
      </c>
      <c r="F136" s="74" t="s">
        <v>6</v>
      </c>
      <c r="G136" s="74" t="s">
        <v>6</v>
      </c>
      <c r="H136" s="74" t="s">
        <v>6</v>
      </c>
      <c r="I136" s="74" t="s">
        <v>6</v>
      </c>
      <c r="J136" s="74" t="s">
        <v>203</v>
      </c>
      <c r="K136" s="74" t="s">
        <v>204</v>
      </c>
    </row>
    <row r="137" s="3" customFormat="1" ht="21" customHeight="1" spans="1:11">
      <c r="A137" s="56" t="s">
        <v>205</v>
      </c>
      <c r="B137" s="56">
        <v>12</v>
      </c>
      <c r="C137" s="54" t="s">
        <v>206</v>
      </c>
      <c r="D137" s="55">
        <v>12</v>
      </c>
      <c r="E137" s="100">
        <v>10</v>
      </c>
      <c r="F137" s="100"/>
      <c r="G137" s="77"/>
      <c r="H137" s="77"/>
      <c r="I137" s="58"/>
      <c r="J137" s="47"/>
      <c r="K137" s="56">
        <f>SUM(D137:J137)</f>
        <v>22</v>
      </c>
    </row>
    <row r="138" s="3" customFormat="1" ht="21" customHeight="1" spans="1:11">
      <c r="A138" s="78" t="s">
        <v>207</v>
      </c>
      <c r="B138" s="56">
        <v>11.5</v>
      </c>
      <c r="C138" s="61" t="s">
        <v>208</v>
      </c>
      <c r="D138" s="55">
        <v>17.5</v>
      </c>
      <c r="E138" s="100">
        <v>15</v>
      </c>
      <c r="F138" s="100"/>
      <c r="G138" s="77"/>
      <c r="H138" s="77"/>
      <c r="I138" s="58"/>
      <c r="J138" s="47"/>
      <c r="K138" s="56">
        <f>SUM(D138:J138)</f>
        <v>32.5</v>
      </c>
    </row>
    <row r="139" s="3" customFormat="1" ht="21" customHeight="1" spans="1:11">
      <c r="A139" s="78"/>
      <c r="B139" s="56"/>
      <c r="C139" s="61" t="s">
        <v>210</v>
      </c>
      <c r="D139" s="55">
        <v>17.5</v>
      </c>
      <c r="E139" s="100">
        <v>15</v>
      </c>
      <c r="F139" s="100"/>
      <c r="G139" s="77"/>
      <c r="H139" s="77"/>
      <c r="I139" s="58"/>
      <c r="J139" s="47"/>
      <c r="K139" s="56">
        <f t="shared" ref="K139:K158" si="5">SUM(D139:J139)</f>
        <v>32.5</v>
      </c>
    </row>
    <row r="140" s="3" customFormat="1" ht="21" customHeight="1" spans="1:11">
      <c r="A140" s="79" t="s">
        <v>237</v>
      </c>
      <c r="B140" s="56">
        <v>11.5</v>
      </c>
      <c r="C140" s="61" t="s">
        <v>212</v>
      </c>
      <c r="D140" s="55">
        <v>19</v>
      </c>
      <c r="E140" s="100">
        <v>11</v>
      </c>
      <c r="F140" s="100"/>
      <c r="G140" s="77"/>
      <c r="H140" s="77"/>
      <c r="I140" s="58"/>
      <c r="J140" s="47"/>
      <c r="K140" s="56">
        <f t="shared" si="5"/>
        <v>30</v>
      </c>
    </row>
    <row r="141" s="3" customFormat="1" ht="21" customHeight="1" spans="1:11">
      <c r="A141" s="80"/>
      <c r="B141" s="56"/>
      <c r="C141" s="3" t="s">
        <v>215</v>
      </c>
      <c r="D141" s="55">
        <v>45.5</v>
      </c>
      <c r="E141" s="100">
        <v>0</v>
      </c>
      <c r="F141" s="100"/>
      <c r="G141" s="77"/>
      <c r="H141" s="77"/>
      <c r="I141" s="58"/>
      <c r="J141" s="47"/>
      <c r="K141" s="56">
        <f t="shared" si="5"/>
        <v>45.5</v>
      </c>
    </row>
    <row r="142" s="3" customFormat="1" ht="21" customHeight="1" spans="1:11">
      <c r="A142" s="81" t="s">
        <v>238</v>
      </c>
      <c r="B142" s="56"/>
      <c r="C142" s="61" t="s">
        <v>213</v>
      </c>
      <c r="D142" s="55">
        <v>45.5</v>
      </c>
      <c r="E142" s="100">
        <v>0</v>
      </c>
      <c r="F142" s="100"/>
      <c r="G142" s="77"/>
      <c r="H142" s="77"/>
      <c r="I142" s="58"/>
      <c r="J142" s="47"/>
      <c r="K142" s="56">
        <f t="shared" si="5"/>
        <v>45.5</v>
      </c>
    </row>
    <row r="143" s="3" customFormat="1" ht="21" customHeight="1" spans="1:11">
      <c r="A143" s="82"/>
      <c r="B143" s="56"/>
      <c r="C143" s="61" t="s">
        <v>216</v>
      </c>
      <c r="D143" s="55">
        <v>45.5</v>
      </c>
      <c r="E143" s="100">
        <v>0</v>
      </c>
      <c r="F143" s="100"/>
      <c r="G143" s="77"/>
      <c r="H143" s="77"/>
      <c r="I143" s="83"/>
      <c r="J143" s="47"/>
      <c r="K143" s="56">
        <f t="shared" si="5"/>
        <v>45.5</v>
      </c>
    </row>
    <row r="144" s="3" customFormat="1" ht="21" customHeight="1" spans="1:11">
      <c r="A144" s="84" t="s">
        <v>239</v>
      </c>
      <c r="B144" s="56"/>
      <c r="C144" s="56" t="s">
        <v>214</v>
      </c>
      <c r="D144" s="55">
        <v>19</v>
      </c>
      <c r="E144" s="100">
        <v>11</v>
      </c>
      <c r="F144" s="100"/>
      <c r="G144" s="77"/>
      <c r="H144" s="77"/>
      <c r="I144" s="83"/>
      <c r="J144" s="47"/>
      <c r="K144" s="56">
        <f t="shared" si="5"/>
        <v>30</v>
      </c>
    </row>
    <row r="145" s="3" customFormat="1" ht="21" customHeight="1" spans="1:11">
      <c r="A145" s="56" t="s">
        <v>217</v>
      </c>
      <c r="B145" s="56">
        <v>10.5</v>
      </c>
      <c r="C145" s="56" t="s">
        <v>218</v>
      </c>
      <c r="D145" s="47">
        <v>24.5</v>
      </c>
      <c r="E145" s="100">
        <v>5</v>
      </c>
      <c r="F145" s="100"/>
      <c r="G145" s="77"/>
      <c r="H145" s="77"/>
      <c r="I145" s="58"/>
      <c r="J145" s="47"/>
      <c r="K145" s="56">
        <f t="shared" si="5"/>
        <v>29.5</v>
      </c>
    </row>
    <row r="146" s="3" customFormat="1" ht="21" customHeight="1" spans="1:11">
      <c r="A146" s="56"/>
      <c r="B146" s="56"/>
      <c r="C146" s="56" t="s">
        <v>219</v>
      </c>
      <c r="D146" s="55">
        <v>45.5</v>
      </c>
      <c r="E146" s="100">
        <v>0</v>
      </c>
      <c r="F146" s="100"/>
      <c r="G146" s="77"/>
      <c r="H146" s="77"/>
      <c r="I146" s="58"/>
      <c r="J146" s="47"/>
      <c r="K146" s="56">
        <f t="shared" si="5"/>
        <v>45.5</v>
      </c>
    </row>
    <row r="147" s="3" customFormat="1" ht="21" customHeight="1" spans="1:11">
      <c r="A147" s="56" t="s">
        <v>220</v>
      </c>
      <c r="B147" s="56">
        <v>11.5</v>
      </c>
      <c r="C147" s="61" t="s">
        <v>221</v>
      </c>
      <c r="D147" s="55">
        <v>36</v>
      </c>
      <c r="E147" s="100">
        <v>5</v>
      </c>
      <c r="F147" s="100"/>
      <c r="G147" s="77"/>
      <c r="H147" s="77"/>
      <c r="I147" s="58"/>
      <c r="J147" s="47"/>
      <c r="K147" s="56">
        <f t="shared" si="5"/>
        <v>41</v>
      </c>
    </row>
    <row r="148" s="3" customFormat="1" ht="21" customHeight="1" spans="1:11">
      <c r="A148" s="56"/>
      <c r="B148" s="56"/>
      <c r="C148" s="61" t="s">
        <v>222</v>
      </c>
      <c r="D148" s="47">
        <v>34.6</v>
      </c>
      <c r="E148" s="100">
        <v>5</v>
      </c>
      <c r="F148" s="100"/>
      <c r="G148" s="77"/>
      <c r="H148" s="77"/>
      <c r="I148" s="58"/>
      <c r="J148" s="47"/>
      <c r="K148" s="56">
        <f t="shared" si="5"/>
        <v>39.6</v>
      </c>
    </row>
    <row r="149" s="3" customFormat="1" ht="21" customHeight="1" spans="1:11">
      <c r="A149" s="56"/>
      <c r="B149" s="56"/>
      <c r="C149" s="61" t="s">
        <v>223</v>
      </c>
      <c r="D149" s="55">
        <v>34.6</v>
      </c>
      <c r="E149" s="100">
        <v>0</v>
      </c>
      <c r="F149" s="100"/>
      <c r="G149" s="77"/>
      <c r="H149" s="77"/>
      <c r="I149" s="58"/>
      <c r="J149" s="47"/>
      <c r="K149" s="56">
        <f t="shared" si="5"/>
        <v>34.6</v>
      </c>
    </row>
    <row r="150" s="3" customFormat="1" ht="21" customHeight="1" spans="1:11">
      <c r="A150" s="56"/>
      <c r="B150" s="56"/>
      <c r="C150" s="61" t="s">
        <v>224</v>
      </c>
      <c r="D150" s="47">
        <v>24.5</v>
      </c>
      <c r="E150" s="100">
        <v>5</v>
      </c>
      <c r="F150" s="100"/>
      <c r="G150" s="77"/>
      <c r="H150" s="77"/>
      <c r="I150" s="58"/>
      <c r="J150" s="47"/>
      <c r="K150" s="56">
        <f t="shared" si="5"/>
        <v>29.5</v>
      </c>
    </row>
    <row r="151" s="3" customFormat="1" ht="21" customHeight="1" spans="1:11">
      <c r="A151" s="85" t="s">
        <v>225</v>
      </c>
      <c r="B151" s="85">
        <v>10.5</v>
      </c>
      <c r="C151" s="56" t="s">
        <v>226</v>
      </c>
      <c r="D151" s="55">
        <v>56</v>
      </c>
      <c r="E151" s="100">
        <v>10</v>
      </c>
      <c r="F151" s="100"/>
      <c r="G151" s="77"/>
      <c r="H151" s="77"/>
      <c r="I151" s="58"/>
      <c r="J151" s="47"/>
      <c r="K151" s="56">
        <f t="shared" si="5"/>
        <v>66</v>
      </c>
    </row>
    <row r="152" s="3" customFormat="1" ht="21" customHeight="1" spans="1:11">
      <c r="A152" s="85"/>
      <c r="B152" s="85"/>
      <c r="C152" s="56" t="s">
        <v>228</v>
      </c>
      <c r="D152" s="55">
        <v>42.1</v>
      </c>
      <c r="E152" s="100">
        <v>0</v>
      </c>
      <c r="F152" s="100"/>
      <c r="G152" s="77"/>
      <c r="H152" s="77"/>
      <c r="I152" s="58"/>
      <c r="J152" s="47"/>
      <c r="K152" s="56">
        <f t="shared" si="5"/>
        <v>42.1</v>
      </c>
    </row>
    <row r="153" s="3" customFormat="1" ht="21" customHeight="1" spans="1:11">
      <c r="A153" s="85"/>
      <c r="B153" s="85"/>
      <c r="C153" s="61" t="s">
        <v>227</v>
      </c>
      <c r="D153" s="55">
        <v>42.1</v>
      </c>
      <c r="E153" s="100">
        <v>0</v>
      </c>
      <c r="F153" s="100"/>
      <c r="G153" s="77"/>
      <c r="H153" s="77"/>
      <c r="I153" s="58"/>
      <c r="J153" s="47"/>
      <c r="K153" s="56">
        <f t="shared" si="5"/>
        <v>42.1</v>
      </c>
    </row>
    <row r="154" s="3" customFormat="1" ht="21" customHeight="1" spans="1:11">
      <c r="A154" s="85"/>
      <c r="B154" s="85"/>
      <c r="C154" s="61" t="s">
        <v>240</v>
      </c>
      <c r="D154" s="101">
        <v>42.1</v>
      </c>
      <c r="E154" s="100">
        <v>5</v>
      </c>
      <c r="F154" s="100"/>
      <c r="G154" s="77"/>
      <c r="H154" s="77"/>
      <c r="I154" s="58"/>
      <c r="J154" s="58"/>
      <c r="K154" s="56">
        <f t="shared" si="5"/>
        <v>47.1</v>
      </c>
    </row>
    <row r="155" s="3" customFormat="1" ht="21" customHeight="1" spans="1:11">
      <c r="A155" s="85"/>
      <c r="B155" s="85"/>
      <c r="C155" s="56" t="s">
        <v>229</v>
      </c>
      <c r="D155" s="64">
        <v>42.1</v>
      </c>
      <c r="E155" s="100">
        <v>5</v>
      </c>
      <c r="F155" s="100"/>
      <c r="G155" s="77"/>
      <c r="H155" s="77"/>
      <c r="I155" s="58"/>
      <c r="J155" s="58"/>
      <c r="K155" s="56">
        <f t="shared" si="5"/>
        <v>47.1</v>
      </c>
    </row>
    <row r="156" s="3" customFormat="1" ht="21" customHeight="1" spans="1:11">
      <c r="A156" s="86" t="s">
        <v>230</v>
      </c>
      <c r="B156" s="86">
        <v>10.5</v>
      </c>
      <c r="C156" s="56" t="s">
        <v>231</v>
      </c>
      <c r="D156" s="55">
        <v>10.5</v>
      </c>
      <c r="E156" s="100">
        <v>10.5</v>
      </c>
      <c r="F156" s="100"/>
      <c r="G156" s="77"/>
      <c r="H156" s="77"/>
      <c r="I156" s="58"/>
      <c r="J156" s="58"/>
      <c r="K156" s="56">
        <f t="shared" si="5"/>
        <v>21</v>
      </c>
    </row>
    <row r="157" s="3" customFormat="1" ht="21" customHeight="1" spans="1:11">
      <c r="A157" s="56" t="s">
        <v>232</v>
      </c>
      <c r="B157" s="56">
        <v>12</v>
      </c>
      <c r="C157" s="56" t="s">
        <v>233</v>
      </c>
      <c r="D157" s="47">
        <v>12</v>
      </c>
      <c r="E157" s="54">
        <v>12</v>
      </c>
      <c r="F157" s="54"/>
      <c r="G157" s="77"/>
      <c r="H157" s="77"/>
      <c r="I157" s="58"/>
      <c r="J157" s="58"/>
      <c r="K157" s="56">
        <f t="shared" si="5"/>
        <v>24</v>
      </c>
    </row>
    <row r="158" s="3" customFormat="1" ht="21" customHeight="1" spans="1:1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47">
        <f>SUM(K137:K157)</f>
        <v>792.6</v>
      </c>
    </row>
    <row r="159" customFormat="1"/>
    <row r="161" s="1" customFormat="1" ht="21" customHeight="1" spans="1:11">
      <c r="A161" s="42" t="s">
        <v>292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</row>
    <row r="162" s="1" customFormat="1" ht="21" customHeight="1" spans="1:11">
      <c r="A162" s="91" t="s">
        <v>293</v>
      </c>
      <c r="B162" s="91"/>
      <c r="C162" s="91"/>
      <c r="D162" s="92" t="s">
        <v>294</v>
      </c>
      <c r="E162" s="91"/>
      <c r="F162" s="91"/>
      <c r="G162" s="91"/>
      <c r="H162" s="91"/>
      <c r="I162" s="91"/>
      <c r="J162" s="91"/>
      <c r="K162" s="91"/>
    </row>
    <row r="163" s="1" customFormat="1" ht="21" customHeight="1" spans="1:11">
      <c r="A163" s="93" t="s">
        <v>200</v>
      </c>
      <c r="B163" s="93" t="s">
        <v>201</v>
      </c>
      <c r="C163" s="94" t="s">
        <v>202</v>
      </c>
      <c r="D163" s="95" t="s">
        <v>6</v>
      </c>
      <c r="E163" s="95" t="s">
        <v>6</v>
      </c>
      <c r="F163" s="93" t="s">
        <v>6</v>
      </c>
      <c r="G163" s="93" t="s">
        <v>6</v>
      </c>
      <c r="H163" s="93" t="s">
        <v>6</v>
      </c>
      <c r="I163" s="93" t="s">
        <v>6</v>
      </c>
      <c r="J163" s="93" t="s">
        <v>203</v>
      </c>
      <c r="K163" s="93" t="s">
        <v>204</v>
      </c>
    </row>
    <row r="164" s="1" customFormat="1" ht="21" customHeight="1" spans="1:11">
      <c r="A164" s="13" t="s">
        <v>205</v>
      </c>
      <c r="B164" s="13">
        <v>12</v>
      </c>
      <c r="C164" s="38" t="s">
        <v>206</v>
      </c>
      <c r="D164" s="28">
        <v>12</v>
      </c>
      <c r="E164" s="28">
        <v>10</v>
      </c>
      <c r="F164" s="28"/>
      <c r="G164" s="28"/>
      <c r="H164" s="28"/>
      <c r="I164" s="13"/>
      <c r="J164" s="13"/>
      <c r="K164" s="13">
        <f>SUM(D164:J164)</f>
        <v>22</v>
      </c>
    </row>
    <row r="165" s="1" customFormat="1" ht="21" customHeight="1" spans="1:11">
      <c r="A165" s="96" t="s">
        <v>207</v>
      </c>
      <c r="B165" s="13">
        <v>11.5</v>
      </c>
      <c r="C165" s="17" t="s">
        <v>208</v>
      </c>
      <c r="D165" s="28">
        <v>17.5</v>
      </c>
      <c r="E165" s="28">
        <v>15</v>
      </c>
      <c r="F165" s="28"/>
      <c r="G165" s="28"/>
      <c r="H165" s="28"/>
      <c r="I165" s="13"/>
      <c r="J165" s="13"/>
      <c r="K165" s="13">
        <f>SUM(D165:J165)</f>
        <v>32.5</v>
      </c>
    </row>
    <row r="166" s="1" customFormat="1" ht="21" customHeight="1" spans="1:11">
      <c r="A166" s="96"/>
      <c r="B166" s="13"/>
      <c r="C166" s="17" t="s">
        <v>210</v>
      </c>
      <c r="D166" s="28">
        <v>17.5</v>
      </c>
      <c r="E166" s="28">
        <v>15</v>
      </c>
      <c r="F166" s="28"/>
      <c r="G166" s="28"/>
      <c r="H166" s="28"/>
      <c r="I166" s="13"/>
      <c r="J166" s="13"/>
      <c r="K166" s="13">
        <f t="shared" ref="K166:K185" si="6">SUM(D166:J166)</f>
        <v>32.5</v>
      </c>
    </row>
    <row r="167" s="1" customFormat="1" ht="21" customHeight="1" spans="1:11">
      <c r="A167" s="16" t="s">
        <v>237</v>
      </c>
      <c r="B167" s="13">
        <v>11.5</v>
      </c>
      <c r="C167" s="17" t="s">
        <v>212</v>
      </c>
      <c r="D167" s="13">
        <v>10</v>
      </c>
      <c r="E167" s="28">
        <v>10</v>
      </c>
      <c r="F167" s="28"/>
      <c r="G167" s="28"/>
      <c r="H167" s="28"/>
      <c r="I167" s="13"/>
      <c r="J167" s="13"/>
      <c r="K167" s="13">
        <f t="shared" si="6"/>
        <v>20</v>
      </c>
    </row>
    <row r="168" s="1" customFormat="1" ht="21" customHeight="1" spans="1:11">
      <c r="A168" s="18"/>
      <c r="B168" s="13"/>
      <c r="C168" s="1" t="s">
        <v>215</v>
      </c>
      <c r="D168" s="13">
        <v>11.5</v>
      </c>
      <c r="E168" s="28">
        <v>11</v>
      </c>
      <c r="F168" s="28"/>
      <c r="G168" s="28"/>
      <c r="H168" s="28"/>
      <c r="I168" s="13"/>
      <c r="J168" s="13"/>
      <c r="K168" s="13">
        <f t="shared" si="6"/>
        <v>22.5</v>
      </c>
    </row>
    <row r="169" s="1" customFormat="1" ht="21" customHeight="1" spans="1:11">
      <c r="A169" s="19" t="s">
        <v>238</v>
      </c>
      <c r="B169" s="13"/>
      <c r="C169" s="17" t="s">
        <v>213</v>
      </c>
      <c r="D169" s="13">
        <v>15</v>
      </c>
      <c r="E169" s="28">
        <v>15</v>
      </c>
      <c r="F169" s="28"/>
      <c r="G169" s="28"/>
      <c r="H169" s="28"/>
      <c r="I169" s="13"/>
      <c r="J169" s="13"/>
      <c r="K169" s="13">
        <f t="shared" si="6"/>
        <v>30</v>
      </c>
    </row>
    <row r="170" s="1" customFormat="1" ht="21" customHeight="1" spans="1:11">
      <c r="A170" s="20"/>
      <c r="B170" s="13"/>
      <c r="C170" s="17" t="s">
        <v>216</v>
      </c>
      <c r="D170" s="13">
        <v>15</v>
      </c>
      <c r="E170" s="28">
        <v>15</v>
      </c>
      <c r="F170" s="28"/>
      <c r="G170" s="28"/>
      <c r="H170" s="28"/>
      <c r="I170" s="13"/>
      <c r="J170" s="13"/>
      <c r="K170" s="13">
        <f t="shared" si="6"/>
        <v>30</v>
      </c>
    </row>
    <row r="171" s="1" customFormat="1" ht="21" customHeight="1" spans="1:11">
      <c r="A171" s="21" t="s">
        <v>239</v>
      </c>
      <c r="B171" s="13"/>
      <c r="C171" s="13" t="s">
        <v>214</v>
      </c>
      <c r="D171" s="13">
        <v>15</v>
      </c>
      <c r="E171" s="28">
        <v>10</v>
      </c>
      <c r="F171" s="28"/>
      <c r="G171" s="28"/>
      <c r="H171" s="28"/>
      <c r="I171" s="13"/>
      <c r="J171" s="13"/>
      <c r="K171" s="13">
        <f t="shared" si="6"/>
        <v>25</v>
      </c>
    </row>
    <row r="172" s="1" customFormat="1" ht="21" customHeight="1" spans="1:11">
      <c r="A172" s="13" t="s">
        <v>217</v>
      </c>
      <c r="B172" s="13">
        <v>10.5</v>
      </c>
      <c r="C172" s="13" t="s">
        <v>218</v>
      </c>
      <c r="D172" s="13">
        <v>15</v>
      </c>
      <c r="E172" s="28">
        <v>15</v>
      </c>
      <c r="F172" s="28"/>
      <c r="G172" s="28"/>
      <c r="H172" s="28"/>
      <c r="I172" s="13"/>
      <c r="J172" s="13"/>
      <c r="K172" s="13">
        <f t="shared" si="6"/>
        <v>30</v>
      </c>
    </row>
    <row r="173" s="1" customFormat="1" ht="21" customHeight="1" spans="1:11">
      <c r="A173" s="13"/>
      <c r="B173" s="13"/>
      <c r="C173" s="13" t="s">
        <v>219</v>
      </c>
      <c r="D173" s="13">
        <v>15</v>
      </c>
      <c r="E173" s="28">
        <v>15</v>
      </c>
      <c r="F173" s="28"/>
      <c r="G173" s="28"/>
      <c r="H173" s="28"/>
      <c r="I173" s="13"/>
      <c r="J173" s="13"/>
      <c r="K173" s="13">
        <f t="shared" si="6"/>
        <v>30</v>
      </c>
    </row>
    <row r="174" s="1" customFormat="1" ht="21" customHeight="1" spans="1:11">
      <c r="A174" s="13" t="s">
        <v>220</v>
      </c>
      <c r="B174" s="13">
        <v>11.5</v>
      </c>
      <c r="C174" s="17" t="s">
        <v>221</v>
      </c>
      <c r="D174" s="28">
        <v>10</v>
      </c>
      <c r="E174" s="28">
        <v>15</v>
      </c>
      <c r="F174" s="28"/>
      <c r="G174" s="28"/>
      <c r="H174" s="28"/>
      <c r="I174" s="13"/>
      <c r="J174" s="13"/>
      <c r="K174" s="13">
        <f t="shared" si="6"/>
        <v>25</v>
      </c>
    </row>
    <row r="175" s="1" customFormat="1" ht="21" customHeight="1" spans="1:11">
      <c r="A175" s="13"/>
      <c r="B175" s="13"/>
      <c r="C175" s="17" t="s">
        <v>222</v>
      </c>
      <c r="D175" s="28">
        <v>36</v>
      </c>
      <c r="E175" s="28">
        <v>0</v>
      </c>
      <c r="F175" s="28"/>
      <c r="G175" s="28"/>
      <c r="H175" s="28"/>
      <c r="I175" s="13"/>
      <c r="J175" s="13"/>
      <c r="K175" s="13">
        <f t="shared" si="6"/>
        <v>36</v>
      </c>
    </row>
    <row r="176" s="1" customFormat="1" ht="21" customHeight="1" spans="1:11">
      <c r="A176" s="13"/>
      <c r="B176" s="13"/>
      <c r="C176" s="17" t="s">
        <v>223</v>
      </c>
      <c r="D176" s="28">
        <v>0</v>
      </c>
      <c r="E176" s="28">
        <v>0</v>
      </c>
      <c r="F176" s="28"/>
      <c r="G176" s="28"/>
      <c r="H176" s="28"/>
      <c r="I176" s="13"/>
      <c r="J176" s="13"/>
      <c r="K176" s="13">
        <f t="shared" si="6"/>
        <v>0</v>
      </c>
    </row>
    <row r="177" s="1" customFormat="1" ht="21" customHeight="1" spans="1:11">
      <c r="A177" s="13"/>
      <c r="B177" s="13"/>
      <c r="C177" s="17" t="s">
        <v>224</v>
      </c>
      <c r="D177" s="28">
        <v>86.9</v>
      </c>
      <c r="E177" s="28">
        <v>5</v>
      </c>
      <c r="F177" s="28"/>
      <c r="G177" s="28"/>
      <c r="H177" s="28"/>
      <c r="I177" s="13"/>
      <c r="J177" s="13"/>
      <c r="K177" s="13">
        <f t="shared" si="6"/>
        <v>91.9</v>
      </c>
    </row>
    <row r="178" s="1" customFormat="1" ht="21" customHeight="1" spans="1:11">
      <c r="A178" s="97" t="s">
        <v>225</v>
      </c>
      <c r="B178" s="97">
        <v>10.5</v>
      </c>
      <c r="C178" s="13" t="s">
        <v>226</v>
      </c>
      <c r="D178" s="28">
        <v>16.5</v>
      </c>
      <c r="E178" s="28">
        <v>5</v>
      </c>
      <c r="F178" s="28"/>
      <c r="G178" s="28"/>
      <c r="H178" s="28"/>
      <c r="I178" s="13"/>
      <c r="J178" s="13"/>
      <c r="K178" s="13">
        <f t="shared" si="6"/>
        <v>21.5</v>
      </c>
    </row>
    <row r="179" s="1" customFormat="1" ht="21" customHeight="1" spans="1:11">
      <c r="A179" s="97"/>
      <c r="B179" s="97"/>
      <c r="C179" s="13" t="s">
        <v>228</v>
      </c>
      <c r="D179" s="13">
        <v>17.5</v>
      </c>
      <c r="E179" s="28">
        <v>10</v>
      </c>
      <c r="F179" s="28"/>
      <c r="G179" s="28"/>
      <c r="H179" s="28"/>
      <c r="I179" s="13"/>
      <c r="J179" s="13"/>
      <c r="K179" s="13">
        <f t="shared" si="6"/>
        <v>27.5</v>
      </c>
    </row>
    <row r="180" s="1" customFormat="1" ht="21" customHeight="1" spans="1:11">
      <c r="A180" s="97"/>
      <c r="B180" s="97"/>
      <c r="C180" s="13" t="s">
        <v>227</v>
      </c>
      <c r="D180" s="13">
        <v>25</v>
      </c>
      <c r="E180" s="28">
        <v>0</v>
      </c>
      <c r="F180" s="28"/>
      <c r="G180" s="28"/>
      <c r="H180" s="28"/>
      <c r="I180" s="13"/>
      <c r="J180" s="13"/>
      <c r="K180" s="13">
        <f t="shared" si="6"/>
        <v>25</v>
      </c>
    </row>
    <row r="181" s="1" customFormat="1" ht="21" customHeight="1" spans="1:11">
      <c r="A181" s="97"/>
      <c r="B181" s="97"/>
      <c r="C181" s="1" t="s">
        <v>295</v>
      </c>
      <c r="D181" s="28">
        <v>16.5</v>
      </c>
      <c r="E181" s="28">
        <v>5</v>
      </c>
      <c r="F181" s="28"/>
      <c r="G181" s="28"/>
      <c r="H181" s="28"/>
      <c r="I181" s="13"/>
      <c r="J181" s="98"/>
      <c r="K181" s="13">
        <f t="shared" si="6"/>
        <v>21.5</v>
      </c>
    </row>
    <row r="182" s="1" customFormat="1" ht="21" customHeight="1" spans="1:11">
      <c r="A182" s="97"/>
      <c r="B182" s="97"/>
      <c r="C182" s="13" t="s">
        <v>229</v>
      </c>
      <c r="D182" s="28">
        <v>16.5</v>
      </c>
      <c r="E182" s="28">
        <v>5</v>
      </c>
      <c r="F182" s="28"/>
      <c r="G182" s="28"/>
      <c r="H182" s="28"/>
      <c r="I182" s="13"/>
      <c r="J182" s="98"/>
      <c r="K182" s="13">
        <f t="shared" si="6"/>
        <v>21.5</v>
      </c>
    </row>
    <row r="183" s="1" customFormat="1" ht="21" customHeight="1" spans="1:11">
      <c r="A183" s="28" t="s">
        <v>230</v>
      </c>
      <c r="B183" s="28">
        <v>10.5</v>
      </c>
      <c r="C183" s="13" t="s">
        <v>231</v>
      </c>
      <c r="D183" s="13">
        <v>10.5</v>
      </c>
      <c r="E183" s="28">
        <v>5</v>
      </c>
      <c r="F183" s="28"/>
      <c r="G183" s="13"/>
      <c r="H183" s="13"/>
      <c r="I183" s="13"/>
      <c r="J183" s="98"/>
      <c r="K183" s="13">
        <f t="shared" si="6"/>
        <v>15.5</v>
      </c>
    </row>
    <row r="184" s="1" customFormat="1" ht="21" customHeight="1" spans="1:11">
      <c r="A184" s="13" t="s">
        <v>232</v>
      </c>
      <c r="B184" s="13">
        <v>12</v>
      </c>
      <c r="C184" s="13" t="s">
        <v>233</v>
      </c>
      <c r="D184" s="13">
        <v>12</v>
      </c>
      <c r="E184" s="13">
        <v>5</v>
      </c>
      <c r="F184" s="13"/>
      <c r="G184" s="13"/>
      <c r="H184" s="13"/>
      <c r="I184" s="13"/>
      <c r="J184" s="98"/>
      <c r="K184" s="13">
        <f t="shared" si="6"/>
        <v>17</v>
      </c>
    </row>
    <row r="185" s="1" customFormat="1" ht="21" customHeight="1" spans="1:11">
      <c r="A185" s="13"/>
      <c r="B185" s="13"/>
      <c r="C185" s="13"/>
      <c r="D185" s="13"/>
      <c r="E185" s="13"/>
      <c r="F185" s="13"/>
      <c r="G185" s="13"/>
      <c r="H185" s="13"/>
      <c r="I185" s="13"/>
      <c r="J185" s="105"/>
      <c r="K185" s="9">
        <f>SUM(K164:K184)</f>
        <v>576.9</v>
      </c>
    </row>
    <row r="189" s="1" customFormat="1" ht="21" customHeight="1" spans="1:11">
      <c r="A189" s="32" t="s">
        <v>283</v>
      </c>
      <c r="B189" s="33"/>
      <c r="C189" s="33"/>
      <c r="D189" s="33"/>
      <c r="E189" s="33"/>
      <c r="F189" s="33"/>
      <c r="G189" s="33"/>
      <c r="H189" s="33"/>
      <c r="I189" s="33"/>
      <c r="J189" s="33"/>
      <c r="K189" s="34"/>
    </row>
    <row r="190" s="1" customFormat="1" ht="21" customHeight="1" spans="1:11">
      <c r="A190" s="35" t="s">
        <v>259</v>
      </c>
      <c r="B190" s="36"/>
      <c r="C190" s="36"/>
      <c r="D190" s="37" t="s">
        <v>296</v>
      </c>
      <c r="E190" s="36"/>
      <c r="F190" s="36"/>
      <c r="G190" s="36"/>
      <c r="H190" s="36"/>
      <c r="I190" s="36"/>
      <c r="J190" s="36"/>
      <c r="K190" s="36"/>
    </row>
    <row r="191" s="1" customFormat="1" ht="21" customHeight="1" spans="1:11">
      <c r="A191" s="27" t="s">
        <v>200</v>
      </c>
      <c r="B191" s="27" t="s">
        <v>201</v>
      </c>
      <c r="C191" s="38" t="s">
        <v>202</v>
      </c>
      <c r="D191" s="12" t="s">
        <v>6</v>
      </c>
      <c r="E191" s="12" t="s">
        <v>6</v>
      </c>
      <c r="F191" s="12" t="s">
        <v>6</v>
      </c>
      <c r="G191" s="27" t="s">
        <v>6</v>
      </c>
      <c r="H191" s="27" t="s">
        <v>6</v>
      </c>
      <c r="I191" s="27" t="s">
        <v>6</v>
      </c>
      <c r="J191" s="27" t="s">
        <v>203</v>
      </c>
      <c r="K191" s="27" t="s">
        <v>204</v>
      </c>
    </row>
    <row r="192" s="1" customFormat="1" ht="21" customHeight="1" spans="1:11">
      <c r="A192" s="27" t="s">
        <v>205</v>
      </c>
      <c r="B192" s="27">
        <v>12</v>
      </c>
      <c r="C192" s="38" t="s">
        <v>206</v>
      </c>
      <c r="D192" s="121">
        <v>12</v>
      </c>
      <c r="E192" s="121">
        <v>10</v>
      </c>
      <c r="F192" s="149"/>
      <c r="G192" s="90"/>
      <c r="H192" s="12"/>
      <c r="I192" s="27"/>
      <c r="J192" s="27"/>
      <c r="K192" s="13">
        <f>SUM(D192:J192)</f>
        <v>22</v>
      </c>
    </row>
    <row r="193" s="1" customFormat="1" ht="21" customHeight="1" spans="1:11">
      <c r="A193" s="21" t="s">
        <v>207</v>
      </c>
      <c r="B193" s="27">
        <v>11.5</v>
      </c>
      <c r="C193" s="38" t="s">
        <v>208</v>
      </c>
      <c r="D193" s="121">
        <v>17.5</v>
      </c>
      <c r="E193" s="121">
        <v>0</v>
      </c>
      <c r="F193" s="149"/>
      <c r="G193" s="90"/>
      <c r="H193" s="12"/>
      <c r="I193" s="27"/>
      <c r="J193" s="27"/>
      <c r="K193" s="13">
        <f>SUM(D193:J193)</f>
        <v>17.5</v>
      </c>
    </row>
    <row r="194" s="1" customFormat="1" ht="21" customHeight="1" spans="1:11">
      <c r="A194" s="21"/>
      <c r="B194" s="27"/>
      <c r="C194" s="38" t="s">
        <v>210</v>
      </c>
      <c r="D194" s="121">
        <v>17.5</v>
      </c>
      <c r="E194" s="121">
        <v>10</v>
      </c>
      <c r="F194" s="149"/>
      <c r="G194" s="90"/>
      <c r="H194" s="12"/>
      <c r="I194" s="27"/>
      <c r="J194" s="27"/>
      <c r="K194" s="13">
        <f t="shared" ref="K194:K213" si="7">SUM(D194:J194)</f>
        <v>27.5</v>
      </c>
    </row>
    <row r="195" s="1" customFormat="1" ht="21" customHeight="1" spans="1:11">
      <c r="A195" s="16" t="s">
        <v>237</v>
      </c>
      <c r="B195" s="13">
        <v>11.5</v>
      </c>
      <c r="C195" s="17" t="s">
        <v>212</v>
      </c>
      <c r="D195" s="121">
        <v>15</v>
      </c>
      <c r="E195" s="121">
        <v>0</v>
      </c>
      <c r="F195" s="39"/>
      <c r="G195" s="12"/>
      <c r="H195" s="12"/>
      <c r="I195" s="27"/>
      <c r="J195" s="27"/>
      <c r="K195" s="13">
        <f t="shared" si="7"/>
        <v>15</v>
      </c>
    </row>
    <row r="196" s="1" customFormat="1" ht="21" customHeight="1" spans="1:11">
      <c r="A196" s="18"/>
      <c r="B196" s="13"/>
      <c r="C196" s="1" t="s">
        <v>215</v>
      </c>
      <c r="D196" s="138">
        <v>0</v>
      </c>
      <c r="E196" s="139">
        <v>10</v>
      </c>
      <c r="F196" s="12"/>
      <c r="G196" s="12"/>
      <c r="H196" s="12"/>
      <c r="I196" s="27"/>
      <c r="J196" s="27"/>
      <c r="K196" s="13">
        <f t="shared" si="7"/>
        <v>10</v>
      </c>
    </row>
    <row r="197" s="1" customFormat="1" ht="21" customHeight="1" spans="1:11">
      <c r="A197" s="19" t="s">
        <v>238</v>
      </c>
      <c r="B197" s="13"/>
      <c r="C197" s="17" t="s">
        <v>213</v>
      </c>
      <c r="D197" s="140">
        <v>11.5</v>
      </c>
      <c r="E197" s="121">
        <v>0</v>
      </c>
      <c r="F197" s="12"/>
      <c r="G197" s="12"/>
      <c r="H197" s="12"/>
      <c r="I197" s="27"/>
      <c r="J197" s="27"/>
      <c r="K197" s="13">
        <f t="shared" si="7"/>
        <v>11.5</v>
      </c>
    </row>
    <row r="198" s="1" customFormat="1" ht="21" customHeight="1" spans="1:11">
      <c r="A198" s="20"/>
      <c r="B198" s="13"/>
      <c r="C198" s="17" t="s">
        <v>216</v>
      </c>
      <c r="D198" s="68">
        <v>0</v>
      </c>
      <c r="E198" s="210">
        <v>20</v>
      </c>
      <c r="F198" s="12"/>
      <c r="G198" s="12"/>
      <c r="H198" s="12"/>
      <c r="I198" s="12"/>
      <c r="J198" s="27"/>
      <c r="K198" s="13">
        <f t="shared" si="7"/>
        <v>20</v>
      </c>
    </row>
    <row r="199" s="1" customFormat="1" ht="21" customHeight="1" spans="1:11">
      <c r="A199" s="21" t="s">
        <v>239</v>
      </c>
      <c r="B199" s="13"/>
      <c r="C199" s="13" t="s">
        <v>214</v>
      </c>
      <c r="D199" s="68">
        <v>11.5</v>
      </c>
      <c r="E199" s="210">
        <v>5</v>
      </c>
      <c r="F199" s="12"/>
      <c r="G199" s="12"/>
      <c r="H199" s="12"/>
      <c r="I199" s="12"/>
      <c r="J199" s="27"/>
      <c r="K199" s="13">
        <f t="shared" si="7"/>
        <v>16.5</v>
      </c>
    </row>
    <row r="200" s="1" customFormat="1" ht="21" customHeight="1" spans="1:11">
      <c r="A200" s="27" t="s">
        <v>217</v>
      </c>
      <c r="B200" s="27">
        <v>10.5</v>
      </c>
      <c r="C200" s="27" t="s">
        <v>218</v>
      </c>
      <c r="D200" s="68">
        <v>0</v>
      </c>
      <c r="E200" s="210">
        <v>10</v>
      </c>
      <c r="F200" s="12"/>
      <c r="G200" s="12"/>
      <c r="H200" s="12"/>
      <c r="I200" s="27"/>
      <c r="J200" s="27"/>
      <c r="K200" s="13">
        <f t="shared" si="7"/>
        <v>10</v>
      </c>
    </row>
    <row r="201" s="1" customFormat="1" ht="21" customHeight="1" spans="1:11">
      <c r="A201" s="27"/>
      <c r="B201" s="27"/>
      <c r="C201" s="27" t="s">
        <v>219</v>
      </c>
      <c r="D201" s="68">
        <v>0</v>
      </c>
      <c r="E201" s="210">
        <v>5</v>
      </c>
      <c r="F201" s="12"/>
      <c r="G201" s="12"/>
      <c r="H201" s="12"/>
      <c r="I201" s="27"/>
      <c r="J201" s="27"/>
      <c r="K201" s="13">
        <f t="shared" si="7"/>
        <v>5</v>
      </c>
    </row>
    <row r="202" s="1" customFormat="1" ht="21" customHeight="1" spans="1:11">
      <c r="A202" s="27" t="s">
        <v>220</v>
      </c>
      <c r="B202" s="27">
        <v>11.5</v>
      </c>
      <c r="C202" s="38" t="s">
        <v>221</v>
      </c>
      <c r="D202" s="121">
        <v>20</v>
      </c>
      <c r="E202" s="210">
        <v>10</v>
      </c>
      <c r="F202" s="12"/>
      <c r="G202" s="12"/>
      <c r="H202" s="12"/>
      <c r="I202" s="27"/>
      <c r="J202" s="27"/>
      <c r="K202" s="13">
        <f t="shared" si="7"/>
        <v>30</v>
      </c>
    </row>
    <row r="203" s="1" customFormat="1" ht="21" customHeight="1" spans="1:11">
      <c r="A203" s="27"/>
      <c r="B203" s="27"/>
      <c r="C203" s="38" t="s">
        <v>222</v>
      </c>
      <c r="D203" s="121">
        <v>10</v>
      </c>
      <c r="E203" s="210">
        <v>10</v>
      </c>
      <c r="F203" s="90"/>
      <c r="G203" s="12"/>
      <c r="H203" s="12"/>
      <c r="I203" s="27"/>
      <c r="J203" s="27"/>
      <c r="K203" s="13">
        <f t="shared" si="7"/>
        <v>20</v>
      </c>
    </row>
    <row r="204" s="1" customFormat="1" ht="21" customHeight="1" spans="1:11">
      <c r="A204" s="27"/>
      <c r="B204" s="27"/>
      <c r="C204" s="38" t="s">
        <v>223</v>
      </c>
      <c r="D204" s="121">
        <v>10</v>
      </c>
      <c r="E204" s="210">
        <v>20</v>
      </c>
      <c r="F204" s="90"/>
      <c r="G204" s="12"/>
      <c r="H204" s="12"/>
      <c r="I204" s="27"/>
      <c r="J204" s="27"/>
      <c r="K204" s="13">
        <f t="shared" si="7"/>
        <v>30</v>
      </c>
    </row>
    <row r="205" s="1" customFormat="1" ht="21" customHeight="1" spans="1:11">
      <c r="A205" s="27"/>
      <c r="B205" s="27"/>
      <c r="C205" s="38" t="s">
        <v>224</v>
      </c>
      <c r="D205" s="68">
        <v>127</v>
      </c>
      <c r="E205" s="121">
        <v>10</v>
      </c>
      <c r="F205" s="12"/>
      <c r="G205" s="12"/>
      <c r="H205" s="12"/>
      <c r="I205" s="27"/>
      <c r="J205" s="27"/>
      <c r="K205" s="13">
        <f t="shared" si="7"/>
        <v>137</v>
      </c>
    </row>
    <row r="206" s="1" customFormat="1" ht="21" customHeight="1" spans="1:11">
      <c r="A206" s="39" t="s">
        <v>225</v>
      </c>
      <c r="B206" s="39">
        <v>10.5</v>
      </c>
      <c r="C206" s="27" t="s">
        <v>226</v>
      </c>
      <c r="D206" s="121">
        <v>15</v>
      </c>
      <c r="E206" s="121">
        <v>10</v>
      </c>
      <c r="F206" s="12"/>
      <c r="G206" s="12"/>
      <c r="H206" s="12"/>
      <c r="I206" s="27"/>
      <c r="J206" s="27"/>
      <c r="K206" s="13">
        <f t="shared" si="7"/>
        <v>25</v>
      </c>
    </row>
    <row r="207" s="1" customFormat="1" ht="21" customHeight="1" spans="1:11">
      <c r="A207" s="39"/>
      <c r="B207" s="39"/>
      <c r="C207" s="27" t="s">
        <v>228</v>
      </c>
      <c r="D207" s="68">
        <v>15</v>
      </c>
      <c r="E207" s="121">
        <v>10</v>
      </c>
      <c r="F207" s="12"/>
      <c r="G207" s="12"/>
      <c r="H207" s="12"/>
      <c r="I207" s="27"/>
      <c r="J207" s="27"/>
      <c r="K207" s="13">
        <f t="shared" si="7"/>
        <v>25</v>
      </c>
    </row>
    <row r="208" s="1" customFormat="1" ht="21" customHeight="1" spans="1:11">
      <c r="A208" s="39"/>
      <c r="B208" s="39"/>
      <c r="C208" s="27" t="s">
        <v>227</v>
      </c>
      <c r="D208" s="121">
        <v>15</v>
      </c>
      <c r="E208" s="121">
        <v>0</v>
      </c>
      <c r="F208" s="12"/>
      <c r="G208" s="12"/>
      <c r="H208" s="12"/>
      <c r="I208" s="27"/>
      <c r="J208" s="27"/>
      <c r="K208" s="13">
        <f t="shared" si="7"/>
        <v>15</v>
      </c>
    </row>
    <row r="209" s="1" customFormat="1" ht="21" customHeight="1" spans="1:11">
      <c r="A209" s="39"/>
      <c r="B209" s="39"/>
      <c r="C209" s="27" t="s">
        <v>229</v>
      </c>
      <c r="D209" s="121">
        <v>15</v>
      </c>
      <c r="E209" s="121">
        <v>5</v>
      </c>
      <c r="F209" s="12"/>
      <c r="G209" s="12"/>
      <c r="H209" s="12"/>
      <c r="I209" s="27"/>
      <c r="J209" s="40"/>
      <c r="K209" s="13">
        <f t="shared" si="7"/>
        <v>20</v>
      </c>
    </row>
    <row r="210" s="1" customFormat="1" ht="21" customHeight="1" spans="1:11">
      <c r="A210" s="39"/>
      <c r="B210" s="39"/>
      <c r="C210" s="27" t="s">
        <v>240</v>
      </c>
      <c r="D210" s="121">
        <v>12</v>
      </c>
      <c r="E210" s="121">
        <v>0</v>
      </c>
      <c r="F210" s="12"/>
      <c r="G210" s="12"/>
      <c r="H210" s="12"/>
      <c r="I210" s="27"/>
      <c r="J210" s="40"/>
      <c r="K210" s="13">
        <f t="shared" si="7"/>
        <v>12</v>
      </c>
    </row>
    <row r="211" s="1" customFormat="1" ht="21" customHeight="1" spans="1:11">
      <c r="A211" s="12" t="s">
        <v>230</v>
      </c>
      <c r="B211" s="12">
        <v>10.5</v>
      </c>
      <c r="C211" s="27" t="s">
        <v>231</v>
      </c>
      <c r="D211" s="121">
        <v>10.5</v>
      </c>
      <c r="E211" s="121">
        <v>10</v>
      </c>
      <c r="F211" s="12"/>
      <c r="G211" s="27"/>
      <c r="H211" s="27"/>
      <c r="I211" s="27"/>
      <c r="J211" s="40"/>
      <c r="K211" s="13">
        <f t="shared" si="7"/>
        <v>20.5</v>
      </c>
    </row>
    <row r="212" s="1" customFormat="1" ht="21" customHeight="1" spans="1:11">
      <c r="A212" s="27" t="s">
        <v>232</v>
      </c>
      <c r="B212" s="27">
        <v>12</v>
      </c>
      <c r="C212" s="27" t="s">
        <v>233</v>
      </c>
      <c r="D212" s="56">
        <v>12</v>
      </c>
      <c r="E212" s="56">
        <v>5</v>
      </c>
      <c r="F212" s="27"/>
      <c r="G212" s="27"/>
      <c r="H212" s="27"/>
      <c r="I212" s="27"/>
      <c r="J212" s="40"/>
      <c r="K212" s="13">
        <f t="shared" si="7"/>
        <v>17</v>
      </c>
    </row>
    <row r="213" s="1" customFormat="1" ht="21" customHeight="1" spans="1:11">
      <c r="A213" s="151"/>
      <c r="B213" s="151"/>
      <c r="C213" s="151"/>
      <c r="D213" s="151"/>
      <c r="E213" s="151"/>
      <c r="F213" s="152"/>
      <c r="G213" s="151"/>
      <c r="H213" s="151"/>
      <c r="I213" s="151"/>
      <c r="J213" s="151"/>
      <c r="K213" s="9">
        <f>SUM(K192:K212)</f>
        <v>506.5</v>
      </c>
    </row>
    <row r="216" s="1" customFormat="1" ht="21" customHeight="1" spans="1:11">
      <c r="A216" s="32" t="s">
        <v>283</v>
      </c>
      <c r="B216" s="33"/>
      <c r="C216" s="33"/>
      <c r="D216" s="33"/>
      <c r="E216" s="33"/>
      <c r="F216" s="33"/>
      <c r="G216" s="33"/>
      <c r="H216" s="33"/>
      <c r="I216" s="33"/>
      <c r="J216" s="33"/>
      <c r="K216" s="34"/>
    </row>
    <row r="217" s="1" customFormat="1" ht="21" customHeight="1" spans="1:11">
      <c r="A217" s="35" t="s">
        <v>253</v>
      </c>
      <c r="B217" s="36"/>
      <c r="C217" s="36"/>
      <c r="D217" s="37" t="s">
        <v>297</v>
      </c>
      <c r="E217" s="36"/>
      <c r="F217" s="36"/>
      <c r="G217" s="36"/>
      <c r="H217" s="36"/>
      <c r="I217" s="36"/>
      <c r="J217" s="36"/>
      <c r="K217" s="36"/>
    </row>
    <row r="218" s="1" customFormat="1" ht="21" customHeight="1" spans="1:11">
      <c r="A218" s="27" t="s">
        <v>200</v>
      </c>
      <c r="B218" s="27" t="s">
        <v>201</v>
      </c>
      <c r="C218" s="38" t="s">
        <v>202</v>
      </c>
      <c r="D218" s="12" t="s">
        <v>6</v>
      </c>
      <c r="E218" s="12" t="s">
        <v>6</v>
      </c>
      <c r="F218" s="27" t="s">
        <v>6</v>
      </c>
      <c r="G218" s="27" t="s">
        <v>6</v>
      </c>
      <c r="H218" s="27" t="s">
        <v>6</v>
      </c>
      <c r="I218" s="27" t="s">
        <v>6</v>
      </c>
      <c r="J218" s="27" t="s">
        <v>203</v>
      </c>
      <c r="K218" s="27" t="s">
        <v>204</v>
      </c>
    </row>
    <row r="219" s="1" customFormat="1" ht="21" customHeight="1" spans="1:11">
      <c r="A219" s="27" t="s">
        <v>205</v>
      </c>
      <c r="B219" s="27">
        <v>12</v>
      </c>
      <c r="C219" s="38" t="s">
        <v>206</v>
      </c>
      <c r="D219" s="12">
        <v>15</v>
      </c>
      <c r="E219" s="12">
        <v>10</v>
      </c>
      <c r="F219" s="12"/>
      <c r="G219" s="12"/>
      <c r="H219" s="12"/>
      <c r="I219" s="27"/>
      <c r="J219" s="27"/>
      <c r="K219" s="13">
        <f t="shared" ref="K219:K241" si="8">SUM(D219:J219)</f>
        <v>25</v>
      </c>
    </row>
    <row r="220" s="1" customFormat="1" ht="21" customHeight="1" spans="1:11">
      <c r="A220" s="21" t="s">
        <v>207</v>
      </c>
      <c r="B220" s="27">
        <v>11.5</v>
      </c>
      <c r="C220" s="38" t="s">
        <v>208</v>
      </c>
      <c r="D220" s="12">
        <v>14.3</v>
      </c>
      <c r="E220" s="12">
        <v>10</v>
      </c>
      <c r="F220" s="12"/>
      <c r="G220" s="12"/>
      <c r="H220" s="12"/>
      <c r="I220" s="27"/>
      <c r="J220" s="27"/>
      <c r="K220" s="13">
        <f t="shared" si="8"/>
        <v>24.3</v>
      </c>
    </row>
    <row r="221" s="1" customFormat="1" ht="21" customHeight="1" spans="1:11">
      <c r="A221" s="21"/>
      <c r="B221" s="27"/>
      <c r="C221" s="27" t="s">
        <v>209</v>
      </c>
      <c r="D221" s="12">
        <v>14.3</v>
      </c>
      <c r="E221" s="12">
        <v>10</v>
      </c>
      <c r="F221" s="12"/>
      <c r="G221" s="12"/>
      <c r="H221" s="12"/>
      <c r="I221" s="27"/>
      <c r="J221" s="27"/>
      <c r="K221" s="13">
        <f t="shared" si="8"/>
        <v>24.3</v>
      </c>
    </row>
    <row r="222" s="1" customFormat="1" ht="21" customHeight="1" spans="1:11">
      <c r="A222" s="21"/>
      <c r="B222" s="27"/>
      <c r="C222" s="38" t="s">
        <v>210</v>
      </c>
      <c r="D222" s="12">
        <v>14.3</v>
      </c>
      <c r="E222" s="12">
        <v>10</v>
      </c>
      <c r="F222" s="12"/>
      <c r="G222" s="12"/>
      <c r="H222" s="12"/>
      <c r="I222" s="27"/>
      <c r="J222" s="27"/>
      <c r="K222" s="13">
        <f t="shared" si="8"/>
        <v>24.3</v>
      </c>
    </row>
    <row r="223" s="1" customFormat="1" ht="21" customHeight="1" spans="1:11">
      <c r="A223" s="16" t="s">
        <v>237</v>
      </c>
      <c r="B223" s="13">
        <v>11.5</v>
      </c>
      <c r="C223" s="17" t="s">
        <v>212</v>
      </c>
      <c r="D223" s="12">
        <v>14.3</v>
      </c>
      <c r="E223" s="12">
        <v>11</v>
      </c>
      <c r="F223" s="12"/>
      <c r="G223" s="12"/>
      <c r="H223" s="12"/>
      <c r="I223" s="27"/>
      <c r="J223" s="27"/>
      <c r="K223" s="13">
        <f t="shared" si="8"/>
        <v>25.3</v>
      </c>
    </row>
    <row r="224" s="1" customFormat="1" ht="21" customHeight="1" spans="1:11">
      <c r="A224" s="18"/>
      <c r="B224" s="13"/>
      <c r="C224" s="1" t="s">
        <v>215</v>
      </c>
      <c r="D224" s="12">
        <v>14.3</v>
      </c>
      <c r="E224" s="12">
        <v>11</v>
      </c>
      <c r="F224" s="12"/>
      <c r="G224" s="12"/>
      <c r="H224" s="12"/>
      <c r="I224" s="27"/>
      <c r="J224" s="27"/>
      <c r="K224" s="13">
        <f t="shared" si="8"/>
        <v>25.3</v>
      </c>
    </row>
    <row r="225" s="1" customFormat="1" ht="21" customHeight="1" spans="1:11">
      <c r="A225" s="19" t="s">
        <v>238</v>
      </c>
      <c r="B225" s="13"/>
      <c r="C225" s="17" t="s">
        <v>213</v>
      </c>
      <c r="D225" s="12">
        <v>14.3</v>
      </c>
      <c r="E225" s="12">
        <v>11</v>
      </c>
      <c r="F225" s="12"/>
      <c r="G225" s="12"/>
      <c r="H225" s="12"/>
      <c r="I225" s="27"/>
      <c r="J225" s="27"/>
      <c r="K225" s="13">
        <f t="shared" si="8"/>
        <v>25.3</v>
      </c>
    </row>
    <row r="226" s="1" customFormat="1" ht="21" customHeight="1" spans="1:11">
      <c r="A226" s="20"/>
      <c r="B226" s="13"/>
      <c r="C226" s="17" t="s">
        <v>216</v>
      </c>
      <c r="D226" s="12">
        <v>14.3</v>
      </c>
      <c r="E226" s="12">
        <v>11</v>
      </c>
      <c r="F226" s="12"/>
      <c r="G226" s="12"/>
      <c r="H226" s="12"/>
      <c r="I226" s="12"/>
      <c r="J226" s="27"/>
      <c r="K226" s="13">
        <f t="shared" si="8"/>
        <v>25.3</v>
      </c>
    </row>
    <row r="227" s="1" customFormat="1" ht="21" customHeight="1" spans="1:11">
      <c r="A227" s="21" t="s">
        <v>239</v>
      </c>
      <c r="B227" s="13"/>
      <c r="C227" s="13" t="s">
        <v>214</v>
      </c>
      <c r="D227" s="12">
        <v>14.3</v>
      </c>
      <c r="E227" s="12">
        <v>11</v>
      </c>
      <c r="F227" s="12"/>
      <c r="G227" s="12"/>
      <c r="H227" s="12"/>
      <c r="I227" s="12"/>
      <c r="J227" s="27"/>
      <c r="K227" s="13">
        <f t="shared" si="8"/>
        <v>25.3</v>
      </c>
    </row>
    <row r="228" s="1" customFormat="1" ht="21" customHeight="1" spans="1:11">
      <c r="A228" s="27" t="s">
        <v>217</v>
      </c>
      <c r="B228" s="27">
        <v>10.5</v>
      </c>
      <c r="C228" s="27" t="s">
        <v>218</v>
      </c>
      <c r="D228" s="12">
        <v>16.7</v>
      </c>
      <c r="E228" s="12">
        <v>10</v>
      </c>
      <c r="F228" s="12"/>
      <c r="G228" s="12"/>
      <c r="H228" s="12"/>
      <c r="I228" s="27"/>
      <c r="J228" s="27"/>
      <c r="K228" s="13">
        <f t="shared" si="8"/>
        <v>26.7</v>
      </c>
    </row>
    <row r="229" s="1" customFormat="1" ht="21" customHeight="1" spans="1:11">
      <c r="A229" s="27"/>
      <c r="B229" s="27"/>
      <c r="C229" s="27" t="s">
        <v>219</v>
      </c>
      <c r="D229" s="12">
        <v>16.7</v>
      </c>
      <c r="E229" s="12">
        <v>10</v>
      </c>
      <c r="F229" s="12"/>
      <c r="G229" s="12"/>
      <c r="H229" s="12"/>
      <c r="I229" s="27"/>
      <c r="J229" s="27"/>
      <c r="K229" s="13">
        <f t="shared" si="8"/>
        <v>26.7</v>
      </c>
    </row>
    <row r="230" s="1" customFormat="1" ht="21" customHeight="1" spans="1:11">
      <c r="A230" s="27" t="s">
        <v>220</v>
      </c>
      <c r="B230" s="27">
        <v>11.5</v>
      </c>
      <c r="C230" s="38" t="s">
        <v>221</v>
      </c>
      <c r="D230" s="12">
        <v>16.7</v>
      </c>
      <c r="E230" s="12">
        <v>10</v>
      </c>
      <c r="F230" s="12"/>
      <c r="G230" s="12"/>
      <c r="H230" s="12"/>
      <c r="I230" s="27"/>
      <c r="J230" s="27"/>
      <c r="K230" s="13">
        <f t="shared" si="8"/>
        <v>26.7</v>
      </c>
    </row>
    <row r="231" s="1" customFormat="1" ht="21" customHeight="1" spans="1:11">
      <c r="A231" s="27"/>
      <c r="B231" s="27"/>
      <c r="C231" s="38" t="s">
        <v>222</v>
      </c>
      <c r="D231" s="12">
        <v>16.7</v>
      </c>
      <c r="E231" s="12">
        <v>10</v>
      </c>
      <c r="F231" s="12"/>
      <c r="G231" s="12"/>
      <c r="H231" s="12"/>
      <c r="I231" s="27"/>
      <c r="J231" s="27"/>
      <c r="K231" s="13">
        <f t="shared" si="8"/>
        <v>26.7</v>
      </c>
    </row>
    <row r="232" s="1" customFormat="1" ht="21" customHeight="1" spans="1:11">
      <c r="A232" s="27"/>
      <c r="B232" s="27"/>
      <c r="C232" s="38" t="s">
        <v>223</v>
      </c>
      <c r="D232" s="12">
        <v>16.7</v>
      </c>
      <c r="E232" s="12">
        <v>5</v>
      </c>
      <c r="F232" s="12"/>
      <c r="G232" s="12"/>
      <c r="H232" s="12"/>
      <c r="I232" s="27"/>
      <c r="J232" s="27"/>
      <c r="K232" s="13">
        <f t="shared" si="8"/>
        <v>21.7</v>
      </c>
    </row>
    <row r="233" s="1" customFormat="1" ht="21" customHeight="1" spans="1:11">
      <c r="A233" s="27"/>
      <c r="B233" s="27"/>
      <c r="C233" s="38" t="s">
        <v>224</v>
      </c>
      <c r="D233" s="12">
        <v>0</v>
      </c>
      <c r="E233" s="12">
        <v>0</v>
      </c>
      <c r="F233" s="12"/>
      <c r="G233" s="12"/>
      <c r="H233" s="12"/>
      <c r="I233" s="27"/>
      <c r="J233" s="27"/>
      <c r="K233" s="13">
        <f t="shared" si="8"/>
        <v>0</v>
      </c>
    </row>
    <row r="234" s="1" customFormat="1" ht="21" customHeight="1" spans="1:11">
      <c r="A234" s="39" t="s">
        <v>225</v>
      </c>
      <c r="B234" s="39">
        <v>10.5</v>
      </c>
      <c r="C234" s="27" t="s">
        <v>226</v>
      </c>
      <c r="D234" s="12">
        <v>16.7</v>
      </c>
      <c r="E234" s="12">
        <v>5</v>
      </c>
      <c r="F234" s="12"/>
      <c r="G234" s="12"/>
      <c r="H234" s="12"/>
      <c r="I234" s="27"/>
      <c r="J234" s="27"/>
      <c r="K234" s="13">
        <f t="shared" si="8"/>
        <v>21.7</v>
      </c>
    </row>
    <row r="235" s="1" customFormat="1" ht="21" customHeight="1" spans="1:11">
      <c r="A235" s="39"/>
      <c r="B235" s="39"/>
      <c r="C235" s="27" t="s">
        <v>250</v>
      </c>
      <c r="D235" s="12">
        <v>16.7</v>
      </c>
      <c r="E235" s="12">
        <v>5</v>
      </c>
      <c r="F235" s="12"/>
      <c r="G235" s="12"/>
      <c r="H235" s="12"/>
      <c r="I235" s="27"/>
      <c r="J235" s="27"/>
      <c r="K235" s="13">
        <f t="shared" si="8"/>
        <v>21.7</v>
      </c>
    </row>
    <row r="236" s="1" customFormat="1" ht="21" customHeight="1" spans="1:11">
      <c r="A236" s="39"/>
      <c r="B236" s="39"/>
      <c r="C236" s="27" t="s">
        <v>228</v>
      </c>
      <c r="D236" s="12">
        <v>16.7</v>
      </c>
      <c r="E236" s="12">
        <v>5</v>
      </c>
      <c r="F236" s="12"/>
      <c r="G236" s="12"/>
      <c r="H236" s="12"/>
      <c r="I236" s="27"/>
      <c r="J236" s="27"/>
      <c r="K236" s="13">
        <f t="shared" si="8"/>
        <v>21.7</v>
      </c>
    </row>
    <row r="237" s="1" customFormat="1" ht="21" customHeight="1" spans="1:11">
      <c r="A237" s="39"/>
      <c r="B237" s="39"/>
      <c r="C237" s="27" t="s">
        <v>227</v>
      </c>
      <c r="D237" s="12">
        <v>0</v>
      </c>
      <c r="E237" s="12">
        <v>0</v>
      </c>
      <c r="F237" s="12"/>
      <c r="G237" s="12"/>
      <c r="H237" s="12"/>
      <c r="I237" s="27"/>
      <c r="J237" s="27"/>
      <c r="K237" s="13">
        <f t="shared" si="8"/>
        <v>0</v>
      </c>
    </row>
    <row r="238" s="1" customFormat="1" ht="21" customHeight="1" spans="1:11">
      <c r="A238" s="39"/>
      <c r="B238" s="39"/>
      <c r="C238" s="27" t="s">
        <v>229</v>
      </c>
      <c r="D238" s="12">
        <v>0</v>
      </c>
      <c r="E238" s="12">
        <v>0</v>
      </c>
      <c r="F238" s="12"/>
      <c r="G238" s="12"/>
      <c r="H238" s="12"/>
      <c r="I238" s="27"/>
      <c r="J238" s="40"/>
      <c r="K238" s="13">
        <f t="shared" si="8"/>
        <v>0</v>
      </c>
    </row>
    <row r="239" s="1" customFormat="1" ht="21" customHeight="1" spans="1:11">
      <c r="A239" s="39"/>
      <c r="B239" s="39"/>
      <c r="C239" s="27" t="s">
        <v>240</v>
      </c>
      <c r="D239" s="12">
        <v>16.7</v>
      </c>
      <c r="E239" s="12">
        <v>5</v>
      </c>
      <c r="F239" s="12"/>
      <c r="G239" s="12"/>
      <c r="H239" s="12"/>
      <c r="I239" s="27"/>
      <c r="J239" s="40"/>
      <c r="K239" s="13">
        <f t="shared" si="8"/>
        <v>21.7</v>
      </c>
    </row>
    <row r="240" s="1" customFormat="1" ht="21" customHeight="1" spans="1:11">
      <c r="A240" s="12" t="s">
        <v>230</v>
      </c>
      <c r="B240" s="12">
        <v>10.5</v>
      </c>
      <c r="C240" s="27" t="s">
        <v>231</v>
      </c>
      <c r="D240" s="27">
        <v>10</v>
      </c>
      <c r="E240" s="27">
        <v>10</v>
      </c>
      <c r="F240" s="27"/>
      <c r="G240" s="27"/>
      <c r="H240" s="27"/>
      <c r="I240" s="27"/>
      <c r="J240" s="40"/>
      <c r="K240" s="13">
        <f t="shared" si="8"/>
        <v>20</v>
      </c>
    </row>
    <row r="241" s="1" customFormat="1" ht="21" customHeight="1" spans="1:11">
      <c r="A241" s="27" t="s">
        <v>232</v>
      </c>
      <c r="B241" s="27">
        <v>12</v>
      </c>
      <c r="C241" s="27" t="s">
        <v>233</v>
      </c>
      <c r="D241" s="27">
        <v>12</v>
      </c>
      <c r="E241" s="27">
        <v>12</v>
      </c>
      <c r="F241" s="27"/>
      <c r="G241" s="27"/>
      <c r="H241" s="27"/>
      <c r="I241" s="27"/>
      <c r="J241" s="40"/>
      <c r="K241" s="13">
        <f t="shared" si="8"/>
        <v>24</v>
      </c>
    </row>
    <row r="242" s="1" customFormat="1" ht="21" customHeight="1" spans="1:11">
      <c r="A242" s="38"/>
      <c r="B242" s="41"/>
      <c r="C242" s="41"/>
      <c r="D242" s="41"/>
      <c r="E242" s="41"/>
      <c r="F242" s="30"/>
      <c r="G242" s="41"/>
      <c r="H242" s="41"/>
      <c r="I242" s="41"/>
      <c r="J242" s="41"/>
      <c r="K242" s="31">
        <f>SUM(K219:K241)</f>
        <v>483.7</v>
      </c>
    </row>
    <row r="245" s="2" customFormat="1" ht="21.75" customHeight="1" spans="1:11">
      <c r="A245" s="42" t="s">
        <v>283</v>
      </c>
      <c r="B245" s="42"/>
      <c r="C245" s="42"/>
      <c r="D245" s="42"/>
      <c r="E245" s="42"/>
      <c r="F245" s="42"/>
      <c r="G245" s="42"/>
      <c r="H245" s="42"/>
      <c r="I245" s="42"/>
      <c r="J245" s="42"/>
      <c r="K245" s="42"/>
    </row>
    <row r="246" s="2" customFormat="1" ht="21.75" customHeight="1" spans="1:11">
      <c r="A246" s="35" t="s">
        <v>267</v>
      </c>
      <c r="B246" s="36"/>
      <c r="C246" s="36"/>
      <c r="D246" s="37" t="s">
        <v>298</v>
      </c>
      <c r="E246" s="36"/>
      <c r="F246" s="36"/>
      <c r="G246" s="36"/>
      <c r="H246" s="36"/>
      <c r="I246" s="36"/>
      <c r="J246" s="36"/>
      <c r="K246" s="36"/>
    </row>
    <row r="247" s="2" customFormat="1" ht="21.75" customHeight="1" spans="1:11">
      <c r="A247" s="27" t="s">
        <v>200</v>
      </c>
      <c r="B247" s="27" t="s">
        <v>201</v>
      </c>
      <c r="C247" s="38" t="s">
        <v>202</v>
      </c>
      <c r="D247" s="12" t="s">
        <v>6</v>
      </c>
      <c r="E247" s="12" t="s">
        <v>6</v>
      </c>
      <c r="F247" s="27" t="s">
        <v>6</v>
      </c>
      <c r="G247" s="27" t="s">
        <v>6</v>
      </c>
      <c r="H247" s="27" t="s">
        <v>6</v>
      </c>
      <c r="I247" s="27" t="s">
        <v>6</v>
      </c>
      <c r="J247" s="27" t="s">
        <v>203</v>
      </c>
      <c r="K247" s="27" t="s">
        <v>204</v>
      </c>
    </row>
    <row r="248" s="2" customFormat="1" ht="21.75" customHeight="1" spans="1:11">
      <c r="A248" s="27" t="s">
        <v>205</v>
      </c>
      <c r="B248" s="27">
        <v>12</v>
      </c>
      <c r="C248" s="38" t="s">
        <v>206</v>
      </c>
      <c r="D248" s="12">
        <v>12</v>
      </c>
      <c r="E248" s="12">
        <v>10</v>
      </c>
      <c r="F248" s="11"/>
      <c r="G248" s="11"/>
      <c r="H248" s="12"/>
      <c r="I248" s="27"/>
      <c r="J248" s="27"/>
      <c r="K248" s="27">
        <f t="shared" ref="K248:K269" si="9">SUM(D248:J248)</f>
        <v>22</v>
      </c>
    </row>
    <row r="249" s="2" customFormat="1" ht="21.75" customHeight="1" spans="1:11">
      <c r="A249" s="43" t="s">
        <v>207</v>
      </c>
      <c r="B249" s="12">
        <v>11.5</v>
      </c>
      <c r="C249" s="38" t="s">
        <v>208</v>
      </c>
      <c r="D249" s="12">
        <v>11.5</v>
      </c>
      <c r="E249" s="12">
        <v>10</v>
      </c>
      <c r="F249" s="11"/>
      <c r="G249" s="11"/>
      <c r="H249" s="12"/>
      <c r="I249" s="27"/>
      <c r="J249" s="27"/>
      <c r="K249" s="27">
        <f t="shared" si="9"/>
        <v>21.5</v>
      </c>
    </row>
    <row r="250" s="2" customFormat="1" ht="21.75" customHeight="1" spans="1:11">
      <c r="A250" s="44"/>
      <c r="B250" s="39"/>
      <c r="C250" s="27" t="s">
        <v>209</v>
      </c>
      <c r="D250" s="12">
        <v>11.5</v>
      </c>
      <c r="E250" s="12">
        <v>10</v>
      </c>
      <c r="F250" s="11"/>
      <c r="G250" s="11"/>
      <c r="H250" s="12"/>
      <c r="I250" s="27"/>
      <c r="J250" s="27"/>
      <c r="K250" s="27">
        <f t="shared" si="9"/>
        <v>21.5</v>
      </c>
    </row>
    <row r="251" s="2" customFormat="1" ht="21.75" customHeight="1" spans="1:11">
      <c r="A251" s="44"/>
      <c r="B251" s="39"/>
      <c r="C251" s="38" t="s">
        <v>210</v>
      </c>
      <c r="D251" s="12">
        <v>11.5</v>
      </c>
      <c r="E251" s="12">
        <v>10</v>
      </c>
      <c r="F251" s="11"/>
      <c r="G251" s="11"/>
      <c r="H251" s="12"/>
      <c r="I251" s="27"/>
      <c r="J251" s="27"/>
      <c r="K251" s="27">
        <f t="shared" si="9"/>
        <v>21.5</v>
      </c>
    </row>
    <row r="252" s="2" customFormat="1" ht="21.75" customHeight="1" spans="1:11">
      <c r="A252" s="43" t="s">
        <v>211</v>
      </c>
      <c r="B252" s="12">
        <v>11.5</v>
      </c>
      <c r="C252" s="38" t="s">
        <v>212</v>
      </c>
      <c r="D252" s="27">
        <v>0</v>
      </c>
      <c r="E252" s="27">
        <v>0</v>
      </c>
      <c r="F252" s="11"/>
      <c r="G252" s="11"/>
      <c r="H252" s="12"/>
      <c r="I252" s="27"/>
      <c r="J252" s="27"/>
      <c r="K252" s="27">
        <f t="shared" si="9"/>
        <v>0</v>
      </c>
    </row>
    <row r="253" s="2" customFormat="1" ht="21.75" customHeight="1" spans="1:11">
      <c r="A253" s="44"/>
      <c r="B253" s="39"/>
      <c r="C253" s="38" t="s">
        <v>213</v>
      </c>
      <c r="D253" s="12">
        <v>11.5</v>
      </c>
      <c r="E253" s="12">
        <v>10</v>
      </c>
      <c r="F253" s="11"/>
      <c r="G253" s="11"/>
      <c r="H253" s="12"/>
      <c r="I253" s="27"/>
      <c r="J253" s="27"/>
      <c r="K253" s="27">
        <f t="shared" si="9"/>
        <v>21.5</v>
      </c>
    </row>
    <row r="254" s="2" customFormat="1" ht="21.75" customHeight="1" spans="1:11">
      <c r="A254" s="44"/>
      <c r="B254" s="39"/>
      <c r="C254" s="27" t="s">
        <v>214</v>
      </c>
      <c r="D254" s="27">
        <v>0</v>
      </c>
      <c r="E254" s="27">
        <v>0</v>
      </c>
      <c r="F254" s="11"/>
      <c r="G254" s="11"/>
      <c r="H254" s="12"/>
      <c r="I254" s="27"/>
      <c r="J254" s="27"/>
      <c r="K254" s="27">
        <f t="shared" si="9"/>
        <v>0</v>
      </c>
    </row>
    <row r="255" s="2" customFormat="1" ht="21.75" customHeight="1" spans="1:11">
      <c r="A255" s="44"/>
      <c r="B255" s="39"/>
      <c r="C255" s="38" t="s">
        <v>216</v>
      </c>
      <c r="D255" s="27">
        <v>0</v>
      </c>
      <c r="E255" s="27">
        <v>0</v>
      </c>
      <c r="F255" s="11"/>
      <c r="G255" s="11"/>
      <c r="H255" s="12"/>
      <c r="I255" s="12"/>
      <c r="J255" s="27"/>
      <c r="K255" s="27">
        <f t="shared" si="9"/>
        <v>0</v>
      </c>
    </row>
    <row r="256" s="2" customFormat="1" ht="21.75" customHeight="1" spans="1:11">
      <c r="A256" s="45"/>
      <c r="B256" s="46"/>
      <c r="C256" s="38" t="s">
        <v>215</v>
      </c>
      <c r="D256" s="12">
        <v>11.5</v>
      </c>
      <c r="E256" s="12">
        <v>10</v>
      </c>
      <c r="F256" s="11"/>
      <c r="G256" s="11"/>
      <c r="H256" s="12"/>
      <c r="I256" s="12"/>
      <c r="J256" s="27"/>
      <c r="K256" s="27">
        <f t="shared" si="9"/>
        <v>21.5</v>
      </c>
    </row>
    <row r="257" s="2" customFormat="1" ht="21.75" customHeight="1" spans="1:11">
      <c r="A257" s="27" t="s">
        <v>217</v>
      </c>
      <c r="B257" s="27">
        <v>10.5</v>
      </c>
      <c r="C257" s="27" t="s">
        <v>218</v>
      </c>
      <c r="D257" s="12">
        <v>10.5</v>
      </c>
      <c r="E257" s="12">
        <v>5</v>
      </c>
      <c r="F257" s="22"/>
      <c r="G257" s="22"/>
      <c r="H257" s="12"/>
      <c r="I257" s="27"/>
      <c r="J257" s="27"/>
      <c r="K257" s="27">
        <f t="shared" si="9"/>
        <v>15.5</v>
      </c>
    </row>
    <row r="258" s="2" customFormat="1" ht="21.75" customHeight="1" spans="1:11">
      <c r="A258" s="27"/>
      <c r="B258" s="27"/>
      <c r="C258" s="27" t="s">
        <v>219</v>
      </c>
      <c r="D258" s="27">
        <v>10.5</v>
      </c>
      <c r="E258" s="27">
        <v>5</v>
      </c>
      <c r="F258" s="11"/>
      <c r="G258" s="11"/>
      <c r="H258" s="12"/>
      <c r="I258" s="27"/>
      <c r="J258" s="27"/>
      <c r="K258" s="27">
        <f t="shared" si="9"/>
        <v>15.5</v>
      </c>
    </row>
    <row r="259" s="2" customFormat="1" ht="21.75" customHeight="1" spans="1:11">
      <c r="A259" s="27" t="s">
        <v>220</v>
      </c>
      <c r="B259" s="27">
        <v>11.5</v>
      </c>
      <c r="C259" s="38" t="s">
        <v>221</v>
      </c>
      <c r="D259" s="27">
        <v>0</v>
      </c>
      <c r="E259" s="27">
        <v>0</v>
      </c>
      <c r="F259" s="11"/>
      <c r="G259" s="11"/>
      <c r="H259" s="12"/>
      <c r="I259" s="27"/>
      <c r="J259" s="27"/>
      <c r="K259" s="27">
        <f t="shared" si="9"/>
        <v>0</v>
      </c>
    </row>
    <row r="260" s="2" customFormat="1" ht="21.75" customHeight="1" spans="1:11">
      <c r="A260" s="27"/>
      <c r="B260" s="27"/>
      <c r="C260" s="38" t="s">
        <v>222</v>
      </c>
      <c r="D260" s="12">
        <v>0</v>
      </c>
      <c r="E260" s="12">
        <v>0</v>
      </c>
      <c r="F260" s="11"/>
      <c r="G260" s="11"/>
      <c r="H260" s="12"/>
      <c r="I260" s="27"/>
      <c r="J260" s="27"/>
      <c r="K260" s="27">
        <f t="shared" si="9"/>
        <v>0</v>
      </c>
    </row>
    <row r="261" s="2" customFormat="1" ht="21.75" customHeight="1" spans="1:11">
      <c r="A261" s="27"/>
      <c r="B261" s="27"/>
      <c r="C261" s="38" t="s">
        <v>223</v>
      </c>
      <c r="D261" s="12">
        <v>10.5</v>
      </c>
      <c r="E261" s="12">
        <v>5</v>
      </c>
      <c r="F261" s="23"/>
      <c r="G261" s="23"/>
      <c r="H261" s="12"/>
      <c r="I261" s="27"/>
      <c r="J261" s="27"/>
      <c r="K261" s="27">
        <f t="shared" si="9"/>
        <v>15.5</v>
      </c>
    </row>
    <row r="262" s="2" customFormat="1" ht="21.75" customHeight="1" spans="1:11">
      <c r="A262" s="27"/>
      <c r="B262" s="27"/>
      <c r="C262" s="38" t="s">
        <v>224</v>
      </c>
      <c r="D262" s="27">
        <v>0</v>
      </c>
      <c r="E262" s="27">
        <v>0</v>
      </c>
      <c r="F262" s="24"/>
      <c r="G262" s="24"/>
      <c r="H262" s="12"/>
      <c r="I262" s="27"/>
      <c r="J262" s="27"/>
      <c r="K262" s="27">
        <f t="shared" si="9"/>
        <v>0</v>
      </c>
    </row>
    <row r="263" s="2" customFormat="1" ht="21.75" customHeight="1" spans="1:11">
      <c r="A263" s="39" t="s">
        <v>225</v>
      </c>
      <c r="B263" s="39">
        <v>10.5</v>
      </c>
      <c r="C263" s="27" t="s">
        <v>226</v>
      </c>
      <c r="D263" s="12">
        <v>10.5</v>
      </c>
      <c r="E263" s="12">
        <v>5</v>
      </c>
      <c r="F263" s="11"/>
      <c r="G263" s="11"/>
      <c r="H263" s="12"/>
      <c r="I263" s="27"/>
      <c r="J263" s="27"/>
      <c r="K263" s="27">
        <f t="shared" si="9"/>
        <v>15.5</v>
      </c>
    </row>
    <row r="264" s="2" customFormat="1" ht="21.75" customHeight="1" spans="1:11">
      <c r="A264" s="39"/>
      <c r="B264" s="39"/>
      <c r="C264" s="27" t="s">
        <v>228</v>
      </c>
      <c r="D264" s="12">
        <v>10.5</v>
      </c>
      <c r="E264" s="12">
        <v>5</v>
      </c>
      <c r="F264" s="11"/>
      <c r="G264" s="11"/>
      <c r="H264" s="12"/>
      <c r="I264" s="27"/>
      <c r="J264" s="27"/>
      <c r="K264" s="27">
        <f t="shared" si="9"/>
        <v>15.5</v>
      </c>
    </row>
    <row r="265" s="2" customFormat="1" ht="21.75" customHeight="1" spans="1:11">
      <c r="A265" s="39"/>
      <c r="B265" s="39"/>
      <c r="C265" s="27" t="s">
        <v>227</v>
      </c>
      <c r="D265" s="12">
        <v>10.5</v>
      </c>
      <c r="E265" s="12">
        <v>5</v>
      </c>
      <c r="F265" s="11"/>
      <c r="G265" s="11"/>
      <c r="H265" s="12"/>
      <c r="I265" s="27"/>
      <c r="J265" s="27"/>
      <c r="K265" s="27">
        <f t="shared" si="9"/>
        <v>15.5</v>
      </c>
    </row>
    <row r="266" s="2" customFormat="1" ht="21.75" customHeight="1" spans="1:11">
      <c r="A266" s="39"/>
      <c r="B266" s="39"/>
      <c r="C266" s="27" t="s">
        <v>229</v>
      </c>
      <c r="D266" s="27">
        <v>0</v>
      </c>
      <c r="E266" s="27">
        <v>0</v>
      </c>
      <c r="F266" s="11"/>
      <c r="G266" s="11"/>
      <c r="H266" s="12"/>
      <c r="I266" s="27"/>
      <c r="J266" s="40"/>
      <c r="K266" s="27">
        <f t="shared" si="9"/>
        <v>0</v>
      </c>
    </row>
    <row r="267" s="2" customFormat="1" ht="21.75" customHeight="1" spans="1:11">
      <c r="A267" s="39"/>
      <c r="B267" s="39"/>
      <c r="C267" s="27" t="s">
        <v>240</v>
      </c>
      <c r="D267" s="27">
        <v>0</v>
      </c>
      <c r="E267" s="27">
        <v>0</v>
      </c>
      <c r="F267" s="11"/>
      <c r="G267" s="11"/>
      <c r="H267" s="12"/>
      <c r="I267" s="27"/>
      <c r="J267" s="40"/>
      <c r="K267" s="27">
        <f t="shared" si="9"/>
        <v>0</v>
      </c>
    </row>
    <row r="268" s="2" customFormat="1" ht="21.75" customHeight="1" spans="1:11">
      <c r="A268" s="12" t="s">
        <v>230</v>
      </c>
      <c r="B268" s="12">
        <v>10.5</v>
      </c>
      <c r="C268" s="27" t="s">
        <v>231</v>
      </c>
      <c r="D268" s="27">
        <v>10</v>
      </c>
      <c r="E268" s="27">
        <v>10</v>
      </c>
      <c r="F268" s="11"/>
      <c r="G268" s="11"/>
      <c r="H268" s="27"/>
      <c r="I268" s="27"/>
      <c r="J268" s="40"/>
      <c r="K268" s="27">
        <f t="shared" si="9"/>
        <v>20</v>
      </c>
    </row>
    <row r="269" s="2" customFormat="1" ht="21.75" customHeight="1" spans="1:11">
      <c r="A269" s="12" t="s">
        <v>232</v>
      </c>
      <c r="B269" s="12">
        <v>12</v>
      </c>
      <c r="C269" s="12" t="s">
        <v>233</v>
      </c>
      <c r="D269" s="12">
        <v>12</v>
      </c>
      <c r="E269" s="12">
        <v>12</v>
      </c>
      <c r="F269" s="89"/>
      <c r="G269" s="89"/>
      <c r="H269" s="12"/>
      <c r="I269" s="12"/>
      <c r="J269" s="90"/>
      <c r="K269" s="12">
        <f t="shared" si="9"/>
        <v>24</v>
      </c>
    </row>
    <row r="270" s="2" customFormat="1" ht="21.75" customHeight="1" spans="1:11">
      <c r="A270" s="38"/>
      <c r="B270" s="41"/>
      <c r="C270" s="41"/>
      <c r="D270" s="41"/>
      <c r="E270" s="41"/>
      <c r="F270" s="41"/>
      <c r="G270" s="41"/>
      <c r="H270" s="41"/>
      <c r="I270" s="41"/>
      <c r="J270" s="41"/>
      <c r="K270" s="27">
        <f>SUM(K248:K269)</f>
        <v>266.5</v>
      </c>
    </row>
    <row r="273" s="170" customFormat="1" ht="21" customHeight="1" spans="1:11">
      <c r="A273" s="184" t="s">
        <v>283</v>
      </c>
      <c r="B273" s="185"/>
      <c r="C273" s="185"/>
      <c r="D273" s="185"/>
      <c r="E273" s="185"/>
      <c r="F273" s="185"/>
      <c r="G273" s="185"/>
      <c r="H273" s="185"/>
      <c r="I273" s="185"/>
      <c r="J273" s="185"/>
      <c r="K273" s="186"/>
    </row>
    <row r="274" s="170" customFormat="1" ht="21" customHeight="1" spans="1:11">
      <c r="A274" s="187" t="s">
        <v>299</v>
      </c>
      <c r="B274" s="188"/>
      <c r="C274" s="188"/>
      <c r="D274" s="189" t="s">
        <v>300</v>
      </c>
      <c r="E274" s="188"/>
      <c r="F274" s="188"/>
      <c r="G274" s="188"/>
      <c r="H274" s="188"/>
      <c r="I274" s="188"/>
      <c r="J274" s="188"/>
      <c r="K274" s="188"/>
    </row>
    <row r="275" s="170" customFormat="1" ht="21" customHeight="1" spans="1:11">
      <c r="A275" s="190" t="s">
        <v>200</v>
      </c>
      <c r="B275" s="190" t="s">
        <v>201</v>
      </c>
      <c r="C275" s="184" t="s">
        <v>301</v>
      </c>
      <c r="D275" s="191" t="s">
        <v>6</v>
      </c>
      <c r="E275" s="191" t="s">
        <v>6</v>
      </c>
      <c r="F275" s="190" t="s">
        <v>6</v>
      </c>
      <c r="G275" s="190" t="s">
        <v>6</v>
      </c>
      <c r="H275" s="190" t="s">
        <v>6</v>
      </c>
      <c r="I275" s="190" t="s">
        <v>6</v>
      </c>
      <c r="J275" s="190" t="s">
        <v>302</v>
      </c>
      <c r="K275" s="190" t="s">
        <v>204</v>
      </c>
    </row>
    <row r="276" s="170" customFormat="1" ht="21" customHeight="1" spans="1:11">
      <c r="A276" s="190" t="s">
        <v>303</v>
      </c>
      <c r="B276" s="190">
        <v>12</v>
      </c>
      <c r="C276" s="184" t="s">
        <v>304</v>
      </c>
      <c r="D276" s="191">
        <v>12</v>
      </c>
      <c r="E276" s="191">
        <v>10</v>
      </c>
      <c r="F276" s="191"/>
      <c r="G276" s="192"/>
      <c r="H276" s="191"/>
      <c r="I276" s="190"/>
      <c r="J276" s="190"/>
      <c r="K276" s="190">
        <f t="shared" ref="K276:K298" si="10">SUM(D276:J276)</f>
        <v>22</v>
      </c>
    </row>
    <row r="277" s="170" customFormat="1" ht="21" customHeight="1" spans="1:11">
      <c r="A277" s="193" t="s">
        <v>207</v>
      </c>
      <c r="B277" s="191">
        <v>11.5</v>
      </c>
      <c r="C277" s="184" t="s">
        <v>305</v>
      </c>
      <c r="D277" s="191">
        <v>11.5</v>
      </c>
      <c r="E277" s="191">
        <v>10</v>
      </c>
      <c r="F277" s="191"/>
      <c r="G277" s="192"/>
      <c r="H277" s="191"/>
      <c r="I277" s="190"/>
      <c r="J277" s="190"/>
      <c r="K277" s="190">
        <f t="shared" si="10"/>
        <v>21.5</v>
      </c>
    </row>
    <row r="278" s="170" customFormat="1" ht="21" customHeight="1" spans="1:11">
      <c r="A278" s="194"/>
      <c r="B278" s="195"/>
      <c r="C278" s="190" t="s">
        <v>209</v>
      </c>
      <c r="D278" s="191">
        <v>11.5</v>
      </c>
      <c r="E278" s="191">
        <v>10</v>
      </c>
      <c r="F278" s="191"/>
      <c r="G278" s="192"/>
      <c r="H278" s="191"/>
      <c r="I278" s="190"/>
      <c r="J278" s="190"/>
      <c r="K278" s="190">
        <f t="shared" si="10"/>
        <v>21.5</v>
      </c>
    </row>
    <row r="279" s="170" customFormat="1" ht="21" customHeight="1" spans="1:11">
      <c r="A279" s="194"/>
      <c r="B279" s="195"/>
      <c r="C279" s="184" t="s">
        <v>210</v>
      </c>
      <c r="D279" s="191">
        <v>11.5</v>
      </c>
      <c r="E279" s="191">
        <v>10</v>
      </c>
      <c r="F279" s="191"/>
      <c r="G279" s="192"/>
      <c r="H279" s="191"/>
      <c r="I279" s="190"/>
      <c r="J279" s="190"/>
      <c r="K279" s="190">
        <f t="shared" si="10"/>
        <v>21.5</v>
      </c>
    </row>
    <row r="280" s="170" customFormat="1" ht="21" customHeight="1" spans="1:11">
      <c r="A280" s="193" t="s">
        <v>211</v>
      </c>
      <c r="B280" s="191">
        <v>11.5</v>
      </c>
      <c r="C280" s="184" t="s">
        <v>212</v>
      </c>
      <c r="D280" s="190">
        <v>11.5</v>
      </c>
      <c r="E280" s="190">
        <v>0</v>
      </c>
      <c r="F280" s="190"/>
      <c r="G280" s="192"/>
      <c r="H280" s="191"/>
      <c r="I280" s="190"/>
      <c r="J280" s="190"/>
      <c r="K280" s="190">
        <f t="shared" si="10"/>
        <v>11.5</v>
      </c>
    </row>
    <row r="281" s="170" customFormat="1" ht="21" customHeight="1" spans="1:11">
      <c r="A281" s="194"/>
      <c r="B281" s="195"/>
      <c r="C281" s="184" t="s">
        <v>213</v>
      </c>
      <c r="D281" s="191">
        <v>11.5</v>
      </c>
      <c r="E281" s="191">
        <v>11</v>
      </c>
      <c r="F281" s="191"/>
      <c r="G281" s="192"/>
      <c r="H281" s="191"/>
      <c r="I281" s="190"/>
      <c r="J281" s="190"/>
      <c r="K281" s="190">
        <f t="shared" si="10"/>
        <v>22.5</v>
      </c>
    </row>
    <row r="282" s="170" customFormat="1" ht="21" customHeight="1" spans="1:11">
      <c r="A282" s="194"/>
      <c r="B282" s="195"/>
      <c r="C282" s="190" t="s">
        <v>214</v>
      </c>
      <c r="D282" s="190">
        <v>0</v>
      </c>
      <c r="E282" s="190">
        <v>0</v>
      </c>
      <c r="F282" s="190"/>
      <c r="G282" s="192"/>
      <c r="H282" s="191"/>
      <c r="I282" s="190"/>
      <c r="J282" s="190"/>
      <c r="K282" s="190">
        <f t="shared" si="10"/>
        <v>0</v>
      </c>
    </row>
    <row r="283" s="170" customFormat="1" ht="21" customHeight="1" spans="1:11">
      <c r="A283" s="194"/>
      <c r="B283" s="195"/>
      <c r="C283" s="184" t="s">
        <v>216</v>
      </c>
      <c r="D283" s="190">
        <v>11.5</v>
      </c>
      <c r="E283" s="190">
        <v>0</v>
      </c>
      <c r="F283" s="190"/>
      <c r="G283" s="192"/>
      <c r="H283" s="191"/>
      <c r="I283" s="191"/>
      <c r="J283" s="190"/>
      <c r="K283" s="190">
        <f t="shared" si="10"/>
        <v>11.5</v>
      </c>
    </row>
    <row r="284" s="170" customFormat="1" ht="21" customHeight="1" spans="1:11">
      <c r="A284" s="196"/>
      <c r="B284" s="197"/>
      <c r="C284" s="184" t="s">
        <v>215</v>
      </c>
      <c r="D284" s="191">
        <v>11.5</v>
      </c>
      <c r="E284" s="191">
        <v>11</v>
      </c>
      <c r="F284" s="191"/>
      <c r="G284" s="192"/>
      <c r="H284" s="191"/>
      <c r="I284" s="191"/>
      <c r="J284" s="190"/>
      <c r="K284" s="190">
        <f t="shared" si="10"/>
        <v>22.5</v>
      </c>
    </row>
    <row r="285" s="170" customFormat="1" ht="21" customHeight="1" spans="1:11">
      <c r="A285" s="190" t="s">
        <v>306</v>
      </c>
      <c r="B285" s="190">
        <v>10.5</v>
      </c>
      <c r="C285" s="190" t="s">
        <v>307</v>
      </c>
      <c r="D285" s="191">
        <v>10.5</v>
      </c>
      <c r="E285" s="191">
        <v>5</v>
      </c>
      <c r="F285" s="191"/>
      <c r="G285" s="198"/>
      <c r="H285" s="191"/>
      <c r="I285" s="190"/>
      <c r="J285" s="190"/>
      <c r="K285" s="190">
        <f t="shared" si="10"/>
        <v>15.5</v>
      </c>
    </row>
    <row r="286" s="170" customFormat="1" ht="21" customHeight="1" spans="1:11">
      <c r="A286" s="190"/>
      <c r="B286" s="190"/>
      <c r="C286" s="190" t="s">
        <v>219</v>
      </c>
      <c r="D286" s="190">
        <v>10.5</v>
      </c>
      <c r="E286" s="190">
        <v>5</v>
      </c>
      <c r="F286" s="190"/>
      <c r="G286" s="192"/>
      <c r="H286" s="191"/>
      <c r="I286" s="190"/>
      <c r="J286" s="190"/>
      <c r="K286" s="190">
        <f t="shared" si="10"/>
        <v>15.5</v>
      </c>
    </row>
    <row r="287" s="170" customFormat="1" ht="21" customHeight="1" spans="1:11">
      <c r="A287" s="190" t="s">
        <v>308</v>
      </c>
      <c r="B287" s="190">
        <v>11.5</v>
      </c>
      <c r="C287" s="184" t="s">
        <v>221</v>
      </c>
      <c r="D287" s="190">
        <v>0</v>
      </c>
      <c r="E287" s="190">
        <v>0</v>
      </c>
      <c r="F287" s="190"/>
      <c r="G287" s="192"/>
      <c r="H287" s="191"/>
      <c r="I287" s="190"/>
      <c r="J287" s="190"/>
      <c r="K287" s="190">
        <f t="shared" si="10"/>
        <v>0</v>
      </c>
    </row>
    <row r="288" s="170" customFormat="1" ht="21" customHeight="1" spans="1:11">
      <c r="A288" s="190"/>
      <c r="B288" s="190"/>
      <c r="C288" s="184" t="s">
        <v>222</v>
      </c>
      <c r="D288" s="191">
        <v>0</v>
      </c>
      <c r="E288" s="191">
        <v>0</v>
      </c>
      <c r="F288" s="191"/>
      <c r="G288" s="192"/>
      <c r="H288" s="191"/>
      <c r="I288" s="190"/>
      <c r="J288" s="190"/>
      <c r="K288" s="190">
        <f t="shared" si="10"/>
        <v>0</v>
      </c>
    </row>
    <row r="289" s="170" customFormat="1" ht="21" customHeight="1" spans="1:11">
      <c r="A289" s="190"/>
      <c r="B289" s="190"/>
      <c r="C289" s="184" t="s">
        <v>309</v>
      </c>
      <c r="D289" s="191">
        <v>10.5</v>
      </c>
      <c r="E289" s="191">
        <v>5</v>
      </c>
      <c r="F289" s="191"/>
      <c r="G289" s="199"/>
      <c r="H289" s="191"/>
      <c r="I289" s="190"/>
      <c r="J289" s="190"/>
      <c r="K289" s="190">
        <f t="shared" si="10"/>
        <v>15.5</v>
      </c>
    </row>
    <row r="290" s="170" customFormat="1" ht="21" customHeight="1" spans="1:11">
      <c r="A290" s="190"/>
      <c r="B290" s="190"/>
      <c r="C290" s="184" t="s">
        <v>224</v>
      </c>
      <c r="D290" s="190">
        <v>0</v>
      </c>
      <c r="E290" s="190">
        <v>0</v>
      </c>
      <c r="F290" s="190"/>
      <c r="G290" s="200"/>
      <c r="H290" s="191"/>
      <c r="I290" s="190"/>
      <c r="J290" s="190"/>
      <c r="K290" s="190">
        <f t="shared" si="10"/>
        <v>0</v>
      </c>
    </row>
    <row r="291" s="170" customFormat="1" ht="21" customHeight="1" spans="1:11">
      <c r="A291" s="195" t="s">
        <v>225</v>
      </c>
      <c r="B291" s="195">
        <v>10.5</v>
      </c>
      <c r="C291" s="190" t="s">
        <v>226</v>
      </c>
      <c r="D291" s="191">
        <v>10.5</v>
      </c>
      <c r="E291" s="191">
        <v>5</v>
      </c>
      <c r="F291" s="191"/>
      <c r="G291" s="192"/>
      <c r="H291" s="191"/>
      <c r="I291" s="190"/>
      <c r="J291" s="190"/>
      <c r="K291" s="190">
        <f t="shared" si="10"/>
        <v>15.5</v>
      </c>
    </row>
    <row r="292" s="170" customFormat="1" ht="21" customHeight="1" spans="1:11">
      <c r="A292" s="195"/>
      <c r="B292" s="195"/>
      <c r="C292" s="190" t="s">
        <v>250</v>
      </c>
      <c r="D292" s="190">
        <v>10.5</v>
      </c>
      <c r="E292" s="190">
        <v>0</v>
      </c>
      <c r="F292" s="190"/>
      <c r="G292" s="192"/>
      <c r="H292" s="191"/>
      <c r="I292" s="190"/>
      <c r="J292" s="190"/>
      <c r="K292" s="190">
        <f t="shared" si="10"/>
        <v>10.5</v>
      </c>
    </row>
    <row r="293" s="170" customFormat="1" ht="21" customHeight="1" spans="1:11">
      <c r="A293" s="195"/>
      <c r="B293" s="195"/>
      <c r="C293" s="190" t="s">
        <v>310</v>
      </c>
      <c r="D293" s="191">
        <v>10.5</v>
      </c>
      <c r="E293" s="191">
        <v>5</v>
      </c>
      <c r="F293" s="191"/>
      <c r="G293" s="192"/>
      <c r="H293" s="191"/>
      <c r="I293" s="190"/>
      <c r="J293" s="190"/>
      <c r="K293" s="190">
        <f t="shared" si="10"/>
        <v>15.5</v>
      </c>
    </row>
    <row r="294" s="170" customFormat="1" ht="21" customHeight="1" spans="1:11">
      <c r="A294" s="195"/>
      <c r="B294" s="195"/>
      <c r="C294" s="190" t="s">
        <v>227</v>
      </c>
      <c r="D294" s="191">
        <v>0</v>
      </c>
      <c r="E294" s="191">
        <v>5</v>
      </c>
      <c r="F294" s="191"/>
      <c r="G294" s="192"/>
      <c r="H294" s="191"/>
      <c r="I294" s="190"/>
      <c r="J294" s="190"/>
      <c r="K294" s="190">
        <f t="shared" si="10"/>
        <v>5</v>
      </c>
    </row>
    <row r="295" s="170" customFormat="1" ht="21" customHeight="1" spans="1:11">
      <c r="A295" s="195"/>
      <c r="B295" s="195"/>
      <c r="C295" s="190" t="s">
        <v>229</v>
      </c>
      <c r="D295" s="190">
        <v>10.5</v>
      </c>
      <c r="E295" s="190">
        <v>0</v>
      </c>
      <c r="F295" s="190"/>
      <c r="G295" s="192"/>
      <c r="H295" s="191"/>
      <c r="I295" s="190"/>
      <c r="J295" s="186"/>
      <c r="K295" s="190">
        <f t="shared" si="10"/>
        <v>10.5</v>
      </c>
    </row>
    <row r="296" s="170" customFormat="1" ht="21" customHeight="1" spans="1:11">
      <c r="A296" s="195"/>
      <c r="B296" s="195"/>
      <c r="C296" s="190" t="s">
        <v>240</v>
      </c>
      <c r="D296" s="190">
        <v>10.5</v>
      </c>
      <c r="E296" s="190">
        <v>0</v>
      </c>
      <c r="F296" s="190"/>
      <c r="G296" s="192"/>
      <c r="H296" s="191"/>
      <c r="I296" s="190"/>
      <c r="J296" s="186"/>
      <c r="K296" s="190">
        <f t="shared" si="10"/>
        <v>10.5</v>
      </c>
    </row>
    <row r="297" s="170" customFormat="1" ht="21" customHeight="1" spans="1:11">
      <c r="A297" s="191" t="s">
        <v>311</v>
      </c>
      <c r="B297" s="191">
        <v>10.5</v>
      </c>
      <c r="C297" s="190" t="s">
        <v>231</v>
      </c>
      <c r="D297" s="190">
        <v>10</v>
      </c>
      <c r="E297" s="190">
        <v>10</v>
      </c>
      <c r="F297" s="190"/>
      <c r="G297" s="192"/>
      <c r="H297" s="190"/>
      <c r="I297" s="190"/>
      <c r="J297" s="186"/>
      <c r="K297" s="190">
        <f t="shared" si="10"/>
        <v>20</v>
      </c>
    </row>
    <row r="298" s="170" customFormat="1" ht="21" customHeight="1" spans="1:11">
      <c r="A298" s="191" t="s">
        <v>232</v>
      </c>
      <c r="B298" s="191">
        <v>12</v>
      </c>
      <c r="C298" s="191" t="s">
        <v>312</v>
      </c>
      <c r="D298" s="191">
        <v>12</v>
      </c>
      <c r="E298" s="191">
        <v>12</v>
      </c>
      <c r="F298" s="191"/>
      <c r="G298" s="201"/>
      <c r="H298" s="191"/>
      <c r="I298" s="191"/>
      <c r="J298" s="202"/>
      <c r="K298" s="191">
        <f t="shared" si="10"/>
        <v>24</v>
      </c>
    </row>
    <row r="299" s="170" customFormat="1" ht="21" customHeight="1" spans="1:11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203">
        <f>SUM(K276:K298)</f>
        <v>312.5</v>
      </c>
    </row>
    <row r="300" ht="21" customHeight="1"/>
  </sheetData>
  <mergeCells count="154">
    <mergeCell ref="A1:K1"/>
    <mergeCell ref="A2:C2"/>
    <mergeCell ref="D2:K2"/>
    <mergeCell ref="A25:J25"/>
    <mergeCell ref="A28:K28"/>
    <mergeCell ref="A29:C29"/>
    <mergeCell ref="D29:K29"/>
    <mergeCell ref="A53:J53"/>
    <mergeCell ref="A54:K54"/>
    <mergeCell ref="A55:C55"/>
    <mergeCell ref="D55:K55"/>
    <mergeCell ref="A78:J78"/>
    <mergeCell ref="A80:K80"/>
    <mergeCell ref="A81:C81"/>
    <mergeCell ref="D81:K81"/>
    <mergeCell ref="A107:K107"/>
    <mergeCell ref="A108:C108"/>
    <mergeCell ref="D108:K108"/>
    <mergeCell ref="A134:K134"/>
    <mergeCell ref="A135:C135"/>
    <mergeCell ref="D135:K135"/>
    <mergeCell ref="A158:J158"/>
    <mergeCell ref="A161:K161"/>
    <mergeCell ref="A162:C162"/>
    <mergeCell ref="D162:K162"/>
    <mergeCell ref="A185:J185"/>
    <mergeCell ref="A189:K189"/>
    <mergeCell ref="A190:C190"/>
    <mergeCell ref="D190:K190"/>
    <mergeCell ref="A216:K216"/>
    <mergeCell ref="A217:C217"/>
    <mergeCell ref="D217:K217"/>
    <mergeCell ref="A245:K245"/>
    <mergeCell ref="A246:C246"/>
    <mergeCell ref="D246:K246"/>
    <mergeCell ref="A273:K273"/>
    <mergeCell ref="A274:C274"/>
    <mergeCell ref="D274:K274"/>
    <mergeCell ref="A5:A6"/>
    <mergeCell ref="A7:A11"/>
    <mergeCell ref="A12:A13"/>
    <mergeCell ref="A14:A17"/>
    <mergeCell ref="A18:A22"/>
    <mergeCell ref="A32:A34"/>
    <mergeCell ref="A35:A39"/>
    <mergeCell ref="A40:A41"/>
    <mergeCell ref="A42:A45"/>
    <mergeCell ref="A46:A50"/>
    <mergeCell ref="A58:A59"/>
    <mergeCell ref="A60:A64"/>
    <mergeCell ref="A65:A66"/>
    <mergeCell ref="A67:A70"/>
    <mergeCell ref="A71:A75"/>
    <mergeCell ref="A84:A85"/>
    <mergeCell ref="A86:A87"/>
    <mergeCell ref="A88:A89"/>
    <mergeCell ref="A91:A92"/>
    <mergeCell ref="A93:A96"/>
    <mergeCell ref="A97:A99"/>
    <mergeCell ref="A111:A112"/>
    <mergeCell ref="A113:A114"/>
    <mergeCell ref="A115:A116"/>
    <mergeCell ref="A118:A119"/>
    <mergeCell ref="A120:A123"/>
    <mergeCell ref="A124:A128"/>
    <mergeCell ref="A138:A139"/>
    <mergeCell ref="A140:A141"/>
    <mergeCell ref="A142:A143"/>
    <mergeCell ref="A145:A146"/>
    <mergeCell ref="A147:A150"/>
    <mergeCell ref="A151:A155"/>
    <mergeCell ref="A165:A166"/>
    <mergeCell ref="A167:A168"/>
    <mergeCell ref="A169:A170"/>
    <mergeCell ref="A172:A173"/>
    <mergeCell ref="A174:A177"/>
    <mergeCell ref="A178:A181"/>
    <mergeCell ref="A193:A194"/>
    <mergeCell ref="A195:A196"/>
    <mergeCell ref="A197:A198"/>
    <mergeCell ref="A200:A201"/>
    <mergeCell ref="A202:A205"/>
    <mergeCell ref="A206:A210"/>
    <mergeCell ref="A220:A222"/>
    <mergeCell ref="A223:A224"/>
    <mergeCell ref="A225:A226"/>
    <mergeCell ref="A228:A229"/>
    <mergeCell ref="A230:A233"/>
    <mergeCell ref="A234:A239"/>
    <mergeCell ref="A249:A251"/>
    <mergeCell ref="A252:A256"/>
    <mergeCell ref="A257:A258"/>
    <mergeCell ref="A259:A262"/>
    <mergeCell ref="A263:A267"/>
    <mergeCell ref="A277:A279"/>
    <mergeCell ref="A280:A284"/>
    <mergeCell ref="A285:A286"/>
    <mergeCell ref="A287:A290"/>
    <mergeCell ref="A291:A296"/>
    <mergeCell ref="B5:B6"/>
    <mergeCell ref="B7:B11"/>
    <mergeCell ref="B12:B13"/>
    <mergeCell ref="B14:B17"/>
    <mergeCell ref="B18:B22"/>
    <mergeCell ref="B32:B34"/>
    <mergeCell ref="B35:B39"/>
    <mergeCell ref="B40:B41"/>
    <mergeCell ref="B42:B45"/>
    <mergeCell ref="B46:B50"/>
    <mergeCell ref="B58:B59"/>
    <mergeCell ref="B60:B64"/>
    <mergeCell ref="B65:B66"/>
    <mergeCell ref="B67:B70"/>
    <mergeCell ref="B71:B75"/>
    <mergeCell ref="B84:B85"/>
    <mergeCell ref="B86:B90"/>
    <mergeCell ref="B91:B92"/>
    <mergeCell ref="B93:B96"/>
    <mergeCell ref="B97:B99"/>
    <mergeCell ref="B111:B112"/>
    <mergeCell ref="B113:B117"/>
    <mergeCell ref="B118:B119"/>
    <mergeCell ref="B120:B123"/>
    <mergeCell ref="B124:B128"/>
    <mergeCell ref="B138:B139"/>
    <mergeCell ref="B140:B144"/>
    <mergeCell ref="B145:B146"/>
    <mergeCell ref="B147:B150"/>
    <mergeCell ref="B151:B155"/>
    <mergeCell ref="B165:B166"/>
    <mergeCell ref="B167:B171"/>
    <mergeCell ref="B172:B173"/>
    <mergeCell ref="B174:B177"/>
    <mergeCell ref="B178:B181"/>
    <mergeCell ref="B193:B194"/>
    <mergeCell ref="B195:B199"/>
    <mergeCell ref="B200:B201"/>
    <mergeCell ref="B202:B205"/>
    <mergeCell ref="B206:B210"/>
    <mergeCell ref="B220:B222"/>
    <mergeCell ref="B223:B227"/>
    <mergeCell ref="B228:B229"/>
    <mergeCell ref="B230:B233"/>
    <mergeCell ref="B234:B239"/>
    <mergeCell ref="B249:B251"/>
    <mergeCell ref="B252:B256"/>
    <mergeCell ref="B257:B258"/>
    <mergeCell ref="B259:B262"/>
    <mergeCell ref="B263:B267"/>
    <mergeCell ref="B277:B279"/>
    <mergeCell ref="B280:B284"/>
    <mergeCell ref="B285:B286"/>
    <mergeCell ref="B287:B290"/>
    <mergeCell ref="B291:B29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5"/>
  <sheetViews>
    <sheetView topLeftCell="A111" workbookViewId="0">
      <selection activeCell="A108" sqref="$A108:$XFD132"/>
    </sheetView>
  </sheetViews>
  <sheetFormatPr defaultColWidth="9" defaultRowHeight="13.5"/>
  <sheetData>
    <row r="1" s="3" customFormat="1" ht="21" customHeight="1" spans="1:11">
      <c r="A1" s="133" t="s">
        <v>313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3" customFormat="1" ht="21" customHeight="1" spans="1:11">
      <c r="A2" s="134" t="s">
        <v>235</v>
      </c>
      <c r="B2" s="134"/>
      <c r="C2" s="134"/>
      <c r="D2" s="134" t="s">
        <v>314</v>
      </c>
      <c r="E2" s="134"/>
      <c r="F2" s="134"/>
      <c r="G2" s="134"/>
      <c r="H2" s="134"/>
      <c r="I2" s="134"/>
      <c r="J2" s="134"/>
      <c r="K2" s="134"/>
    </row>
    <row r="3" s="3" customFormat="1" ht="21" customHeight="1" spans="1:11">
      <c r="A3" s="135" t="s">
        <v>200</v>
      </c>
      <c r="B3" s="135" t="s">
        <v>201</v>
      </c>
      <c r="C3" s="136" t="s">
        <v>202</v>
      </c>
      <c r="D3" s="137" t="s">
        <v>6</v>
      </c>
      <c r="E3" s="137" t="s">
        <v>6</v>
      </c>
      <c r="F3" s="135" t="s">
        <v>6</v>
      </c>
      <c r="G3" s="135" t="s">
        <v>6</v>
      </c>
      <c r="H3" s="135" t="s">
        <v>6</v>
      </c>
      <c r="I3" s="135" t="s">
        <v>6</v>
      </c>
      <c r="J3" s="135" t="s">
        <v>203</v>
      </c>
      <c r="K3" s="135" t="s">
        <v>204</v>
      </c>
    </row>
    <row r="4" s="3" customFormat="1" ht="21" customHeight="1" spans="1:11">
      <c r="A4" s="68" t="s">
        <v>205</v>
      </c>
      <c r="B4" s="68">
        <v>12</v>
      </c>
      <c r="C4" s="113" t="s">
        <v>206</v>
      </c>
      <c r="D4" s="11">
        <v>12</v>
      </c>
      <c r="E4" s="11">
        <v>10</v>
      </c>
      <c r="F4" s="11"/>
      <c r="G4" s="11"/>
      <c r="H4" s="121"/>
      <c r="I4" s="68"/>
      <c r="J4" s="68"/>
      <c r="K4" s="56">
        <f>SUM(D4:J4)</f>
        <v>22</v>
      </c>
    </row>
    <row r="5" s="3" customFormat="1" ht="21" customHeight="1" spans="1:11">
      <c r="A5" s="116" t="s">
        <v>207</v>
      </c>
      <c r="B5" s="68">
        <v>11.5</v>
      </c>
      <c r="C5" s="117" t="s">
        <v>208</v>
      </c>
      <c r="D5" s="11">
        <v>32</v>
      </c>
      <c r="E5" s="11">
        <v>15</v>
      </c>
      <c r="F5" s="11"/>
      <c r="G5" s="11"/>
      <c r="H5" s="121"/>
      <c r="I5" s="68"/>
      <c r="J5" s="68"/>
      <c r="K5" s="56">
        <f>SUM(D5:J5)</f>
        <v>47</v>
      </c>
    </row>
    <row r="6" s="3" customFormat="1" ht="21" customHeight="1" spans="1:11">
      <c r="A6" s="116"/>
      <c r="B6" s="68"/>
      <c r="C6" s="117" t="s">
        <v>210</v>
      </c>
      <c r="D6" s="11">
        <v>25</v>
      </c>
      <c r="E6" s="11">
        <v>15</v>
      </c>
      <c r="F6" s="11"/>
      <c r="G6" s="11"/>
      <c r="H6" s="121"/>
      <c r="I6" s="68"/>
      <c r="J6" s="68"/>
      <c r="K6" s="56">
        <f t="shared" ref="K6:K24" si="0">SUM(D6:J6)</f>
        <v>40</v>
      </c>
    </row>
    <row r="7" s="3" customFormat="1" ht="21" customHeight="1" spans="1:11">
      <c r="A7" s="79" t="s">
        <v>237</v>
      </c>
      <c r="B7" s="56">
        <v>11.5</v>
      </c>
      <c r="C7" s="61" t="s">
        <v>212</v>
      </c>
      <c r="D7" s="11">
        <v>40</v>
      </c>
      <c r="E7" s="11">
        <v>10</v>
      </c>
      <c r="F7" s="11"/>
      <c r="G7" s="11"/>
      <c r="H7" s="121"/>
      <c r="I7" s="68"/>
      <c r="J7" s="68"/>
      <c r="K7" s="56">
        <f t="shared" si="0"/>
        <v>50</v>
      </c>
    </row>
    <row r="8" s="3" customFormat="1" ht="21" customHeight="1" spans="1:11">
      <c r="A8" s="80"/>
      <c r="B8" s="56"/>
      <c r="C8" s="3" t="s">
        <v>215</v>
      </c>
      <c r="D8" s="11">
        <v>30</v>
      </c>
      <c r="E8" s="11">
        <v>10</v>
      </c>
      <c r="F8" s="11"/>
      <c r="G8" s="11"/>
      <c r="H8" s="121"/>
      <c r="I8" s="68"/>
      <c r="J8" s="68"/>
      <c r="K8" s="56">
        <f t="shared" si="0"/>
        <v>40</v>
      </c>
    </row>
    <row r="9" s="3" customFormat="1" ht="21" customHeight="1" spans="1:11">
      <c r="A9" s="81" t="s">
        <v>238</v>
      </c>
      <c r="B9" s="56"/>
      <c r="C9" s="61" t="s">
        <v>213</v>
      </c>
      <c r="D9" s="11">
        <v>30</v>
      </c>
      <c r="E9" s="11">
        <v>0</v>
      </c>
      <c r="F9" s="11"/>
      <c r="G9" s="11"/>
      <c r="H9" s="121"/>
      <c r="I9" s="68"/>
      <c r="J9" s="68"/>
      <c r="K9" s="56">
        <f t="shared" si="0"/>
        <v>30</v>
      </c>
    </row>
    <row r="10" s="3" customFormat="1" ht="21" customHeight="1" spans="1:11">
      <c r="A10" s="82"/>
      <c r="B10" s="56"/>
      <c r="C10" s="61" t="s">
        <v>216</v>
      </c>
      <c r="D10" s="11">
        <v>30</v>
      </c>
      <c r="E10" s="11">
        <v>10</v>
      </c>
      <c r="F10" s="11"/>
      <c r="G10" s="11"/>
      <c r="H10" s="121"/>
      <c r="I10" s="121"/>
      <c r="J10" s="68"/>
      <c r="K10" s="56">
        <f t="shared" si="0"/>
        <v>40</v>
      </c>
    </row>
    <row r="11" s="3" customFormat="1" ht="21" customHeight="1" spans="1:11">
      <c r="A11" s="84" t="s">
        <v>239</v>
      </c>
      <c r="B11" s="56"/>
      <c r="C11" s="56" t="s">
        <v>214</v>
      </c>
      <c r="D11" s="11">
        <v>23</v>
      </c>
      <c r="E11" s="11">
        <v>10</v>
      </c>
      <c r="F11" s="11"/>
      <c r="G11" s="11"/>
      <c r="H11" s="121"/>
      <c r="I11" s="121"/>
      <c r="J11" s="68"/>
      <c r="K11" s="56">
        <f t="shared" si="0"/>
        <v>33</v>
      </c>
    </row>
    <row r="12" s="3" customFormat="1" ht="21" customHeight="1" spans="1:11">
      <c r="A12" s="68" t="s">
        <v>217</v>
      </c>
      <c r="B12" s="68">
        <v>10.5</v>
      </c>
      <c r="C12" s="68" t="s">
        <v>218</v>
      </c>
      <c r="D12" s="22">
        <v>30</v>
      </c>
      <c r="E12" s="22">
        <v>0</v>
      </c>
      <c r="F12" s="22"/>
      <c r="G12" s="22"/>
      <c r="H12" s="121"/>
      <c r="I12" s="68"/>
      <c r="J12" s="68"/>
      <c r="K12" s="56">
        <f t="shared" si="0"/>
        <v>30</v>
      </c>
    </row>
    <row r="13" s="3" customFormat="1" ht="21" customHeight="1" spans="1:11">
      <c r="A13" s="68"/>
      <c r="B13" s="68"/>
      <c r="C13" s="68" t="s">
        <v>219</v>
      </c>
      <c r="D13" s="11">
        <v>41</v>
      </c>
      <c r="E13" s="11">
        <v>0</v>
      </c>
      <c r="F13" s="11"/>
      <c r="G13" s="11"/>
      <c r="H13" s="121"/>
      <c r="I13" s="68"/>
      <c r="J13" s="68"/>
      <c r="K13" s="56">
        <f t="shared" si="0"/>
        <v>41</v>
      </c>
    </row>
    <row r="14" s="3" customFormat="1" ht="21" customHeight="1" spans="1:11">
      <c r="A14" s="68" t="s">
        <v>220</v>
      </c>
      <c r="B14" s="68">
        <v>11.5</v>
      </c>
      <c r="C14" s="117" t="s">
        <v>221</v>
      </c>
      <c r="D14" s="11">
        <v>41</v>
      </c>
      <c r="E14" s="11">
        <v>10</v>
      </c>
      <c r="F14" s="11"/>
      <c r="G14" s="11"/>
      <c r="H14" s="121"/>
      <c r="I14" s="68"/>
      <c r="J14" s="68"/>
      <c r="K14" s="56">
        <f t="shared" si="0"/>
        <v>51</v>
      </c>
    </row>
    <row r="15" s="3" customFormat="1" ht="21" customHeight="1" spans="1:11">
      <c r="A15" s="68"/>
      <c r="B15" s="68"/>
      <c r="C15" s="117" t="s">
        <v>222</v>
      </c>
      <c r="D15" s="11">
        <v>20.5</v>
      </c>
      <c r="E15" s="11">
        <v>10</v>
      </c>
      <c r="F15" s="11"/>
      <c r="G15" s="11"/>
      <c r="H15" s="121"/>
      <c r="I15" s="68"/>
      <c r="J15" s="68"/>
      <c r="K15" s="56">
        <f t="shared" si="0"/>
        <v>30.5</v>
      </c>
    </row>
    <row r="16" s="3" customFormat="1" ht="21" customHeight="1" spans="1:11">
      <c r="A16" s="68"/>
      <c r="B16" s="68"/>
      <c r="C16" s="117" t="s">
        <v>223</v>
      </c>
      <c r="D16" s="23">
        <v>19</v>
      </c>
      <c r="E16" s="23">
        <v>0</v>
      </c>
      <c r="F16" s="23"/>
      <c r="G16" s="23"/>
      <c r="H16" s="121"/>
      <c r="I16" s="68"/>
      <c r="J16" s="68"/>
      <c r="K16" s="56">
        <f t="shared" si="0"/>
        <v>19</v>
      </c>
    </row>
    <row r="17" s="3" customFormat="1" ht="21" customHeight="1" spans="1:11">
      <c r="A17" s="68"/>
      <c r="B17" s="68"/>
      <c r="C17" s="117" t="s">
        <v>224</v>
      </c>
      <c r="D17" s="24">
        <v>155</v>
      </c>
      <c r="E17" s="24">
        <v>0</v>
      </c>
      <c r="F17" s="24"/>
      <c r="G17" s="24"/>
      <c r="H17" s="121"/>
      <c r="I17" s="68"/>
      <c r="J17" s="68"/>
      <c r="K17" s="56">
        <f t="shared" si="0"/>
        <v>155</v>
      </c>
    </row>
    <row r="18" s="3" customFormat="1" ht="21" customHeight="1" spans="1:11">
      <c r="A18" s="119" t="s">
        <v>225</v>
      </c>
      <c r="B18" s="119">
        <v>10.5</v>
      </c>
      <c r="C18" s="68" t="s">
        <v>226</v>
      </c>
      <c r="D18" s="11">
        <v>24</v>
      </c>
      <c r="E18" s="11">
        <v>10</v>
      </c>
      <c r="F18" s="11"/>
      <c r="G18" s="11"/>
      <c r="H18" s="121"/>
      <c r="I18" s="68"/>
      <c r="J18" s="68"/>
      <c r="K18" s="56">
        <f t="shared" si="0"/>
        <v>34</v>
      </c>
    </row>
    <row r="19" s="3" customFormat="1" ht="21" customHeight="1" spans="1:11">
      <c r="A19" s="119"/>
      <c r="B19" s="119"/>
      <c r="C19" s="68" t="s">
        <v>228</v>
      </c>
      <c r="D19" s="11">
        <v>24</v>
      </c>
      <c r="E19" s="11">
        <v>0</v>
      </c>
      <c r="F19" s="11"/>
      <c r="G19" s="11"/>
      <c r="H19" s="121"/>
      <c r="I19" s="68"/>
      <c r="J19" s="68"/>
      <c r="K19" s="56">
        <f t="shared" si="0"/>
        <v>24</v>
      </c>
    </row>
    <row r="20" s="3" customFormat="1" ht="21" customHeight="1" spans="1:11">
      <c r="A20" s="119"/>
      <c r="B20" s="119"/>
      <c r="C20" s="68" t="s">
        <v>227</v>
      </c>
      <c r="D20" s="11">
        <v>24</v>
      </c>
      <c r="E20" s="11">
        <v>0</v>
      </c>
      <c r="F20" s="11"/>
      <c r="G20" s="11"/>
      <c r="H20" s="121"/>
      <c r="I20" s="68"/>
      <c r="J20" s="68"/>
      <c r="K20" s="56">
        <f t="shared" si="0"/>
        <v>24</v>
      </c>
    </row>
    <row r="21" s="3" customFormat="1" ht="21" customHeight="1" spans="1:11">
      <c r="A21" s="119"/>
      <c r="B21" s="119"/>
      <c r="C21" s="68" t="s">
        <v>229</v>
      </c>
      <c r="D21" s="11">
        <v>24</v>
      </c>
      <c r="E21" s="11">
        <v>0</v>
      </c>
      <c r="F21" s="11"/>
      <c r="G21" s="11"/>
      <c r="H21" s="121"/>
      <c r="I21" s="68"/>
      <c r="J21" s="141"/>
      <c r="K21" s="56">
        <f t="shared" si="0"/>
        <v>24</v>
      </c>
    </row>
    <row r="22" s="3" customFormat="1" ht="21" customHeight="1" spans="1:11">
      <c r="A22" s="119"/>
      <c r="B22" s="119"/>
      <c r="C22" s="68" t="s">
        <v>240</v>
      </c>
      <c r="D22" s="11">
        <v>24</v>
      </c>
      <c r="E22" s="11">
        <v>0</v>
      </c>
      <c r="F22" s="11"/>
      <c r="G22" s="11"/>
      <c r="H22" s="121"/>
      <c r="I22" s="68"/>
      <c r="J22" s="141"/>
      <c r="K22" s="56">
        <f t="shared" si="0"/>
        <v>24</v>
      </c>
    </row>
    <row r="23" s="3" customFormat="1" ht="21" customHeight="1" spans="1:11">
      <c r="A23" s="121" t="s">
        <v>230</v>
      </c>
      <c r="B23" s="121">
        <v>10.5</v>
      </c>
      <c r="C23" s="68" t="s">
        <v>231</v>
      </c>
      <c r="D23" s="11">
        <v>10</v>
      </c>
      <c r="E23" s="11">
        <v>10</v>
      </c>
      <c r="F23" s="11"/>
      <c r="G23" s="11"/>
      <c r="H23" s="68"/>
      <c r="I23" s="68"/>
      <c r="J23" s="141"/>
      <c r="K23" s="56">
        <f t="shared" si="0"/>
        <v>20</v>
      </c>
    </row>
    <row r="24" s="3" customFormat="1" ht="21" customHeight="1" spans="1:11">
      <c r="A24" s="121" t="s">
        <v>232</v>
      </c>
      <c r="B24" s="121">
        <v>12</v>
      </c>
      <c r="C24" s="121" t="s">
        <v>233</v>
      </c>
      <c r="D24" s="89">
        <v>12</v>
      </c>
      <c r="E24" s="146">
        <v>10</v>
      </c>
      <c r="F24" s="146"/>
      <c r="G24" s="146"/>
      <c r="H24" s="121"/>
      <c r="I24" s="121"/>
      <c r="J24" s="139"/>
      <c r="K24" s="86">
        <f t="shared" si="0"/>
        <v>22</v>
      </c>
    </row>
    <row r="25" s="3" customFormat="1" ht="21" customHeight="1" spans="1:11">
      <c r="A25" s="61"/>
      <c r="B25" s="87"/>
      <c r="C25" s="87"/>
      <c r="D25" s="87"/>
      <c r="E25" s="87"/>
      <c r="F25" s="87"/>
      <c r="G25" s="87"/>
      <c r="H25" s="87"/>
      <c r="I25" s="87"/>
      <c r="J25" s="87"/>
      <c r="K25" s="145">
        <f>SUM(K4:K24)</f>
        <v>800.5</v>
      </c>
    </row>
    <row r="27" s="2" customFormat="1" ht="21.75" customHeight="1" spans="1:11">
      <c r="A27" s="42" t="s">
        <v>315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s="2" customFormat="1" ht="21.75" customHeight="1" spans="1:11">
      <c r="A28" s="35" t="s">
        <v>235</v>
      </c>
      <c r="B28" s="36"/>
      <c r="C28" s="36"/>
      <c r="D28" s="37" t="s">
        <v>316</v>
      </c>
      <c r="E28" s="36"/>
      <c r="F28" s="36"/>
      <c r="G28" s="36"/>
      <c r="H28" s="36"/>
      <c r="I28" s="36"/>
      <c r="J28" s="36"/>
      <c r="K28" s="36"/>
    </row>
    <row r="29" s="2" customFormat="1" ht="21.75" customHeight="1" spans="1:11">
      <c r="A29" s="27" t="s">
        <v>200</v>
      </c>
      <c r="B29" s="27" t="s">
        <v>201</v>
      </c>
      <c r="C29" s="38" t="s">
        <v>202</v>
      </c>
      <c r="D29" s="12" t="s">
        <v>6</v>
      </c>
      <c r="E29" s="12" t="s">
        <v>6</v>
      </c>
      <c r="F29" s="27" t="s">
        <v>6</v>
      </c>
      <c r="G29" s="27" t="s">
        <v>6</v>
      </c>
      <c r="H29" s="27" t="s">
        <v>6</v>
      </c>
      <c r="I29" s="27" t="s">
        <v>6</v>
      </c>
      <c r="J29" s="27" t="s">
        <v>203</v>
      </c>
      <c r="K29" s="27" t="s">
        <v>204</v>
      </c>
    </row>
    <row r="30" s="2" customFormat="1" ht="21.75" customHeight="1" spans="1:11">
      <c r="A30" s="27" t="s">
        <v>205</v>
      </c>
      <c r="B30" s="27">
        <v>12</v>
      </c>
      <c r="C30" s="38" t="s">
        <v>206</v>
      </c>
      <c r="D30" s="12">
        <v>12</v>
      </c>
      <c r="E30" s="12">
        <v>0</v>
      </c>
      <c r="F30" s="11"/>
      <c r="G30" s="11"/>
      <c r="H30" s="12"/>
      <c r="I30" s="27"/>
      <c r="J30" s="27"/>
      <c r="K30" s="27">
        <f t="shared" ref="K30:K50" si="1">SUM(D30:J30)</f>
        <v>12</v>
      </c>
    </row>
    <row r="31" s="2" customFormat="1" ht="21.75" customHeight="1" spans="1:11">
      <c r="A31" s="43" t="s">
        <v>207</v>
      </c>
      <c r="B31" s="12">
        <v>11.5</v>
      </c>
      <c r="C31" s="38" t="s">
        <v>208</v>
      </c>
      <c r="D31" s="12">
        <v>17.5</v>
      </c>
      <c r="E31" s="12">
        <v>0</v>
      </c>
      <c r="F31" s="11"/>
      <c r="G31" s="11"/>
      <c r="H31" s="12"/>
      <c r="I31" s="27"/>
      <c r="J31" s="27"/>
      <c r="K31" s="27">
        <f t="shared" si="1"/>
        <v>17.5</v>
      </c>
    </row>
    <row r="32" s="2" customFormat="1" ht="21.75" customHeight="1" spans="1:11">
      <c r="A32" s="44"/>
      <c r="B32" s="39"/>
      <c r="C32" s="38" t="s">
        <v>210</v>
      </c>
      <c r="D32" s="12">
        <v>17.5</v>
      </c>
      <c r="E32" s="12">
        <v>0</v>
      </c>
      <c r="F32" s="11"/>
      <c r="G32" s="11"/>
      <c r="H32" s="12"/>
      <c r="I32" s="27"/>
      <c r="J32" s="27"/>
      <c r="K32" s="27">
        <f t="shared" si="1"/>
        <v>17.5</v>
      </c>
    </row>
    <row r="33" s="2" customFormat="1" ht="21.75" customHeight="1" spans="1:11">
      <c r="A33" s="79" t="s">
        <v>237</v>
      </c>
      <c r="B33" s="56">
        <v>11.5</v>
      </c>
      <c r="C33" s="61" t="s">
        <v>212</v>
      </c>
      <c r="D33" s="12">
        <v>11.5</v>
      </c>
      <c r="E33" s="12">
        <v>0</v>
      </c>
      <c r="F33" s="11"/>
      <c r="G33" s="11"/>
      <c r="H33" s="12"/>
      <c r="I33" s="27"/>
      <c r="J33" s="27"/>
      <c r="K33" s="27">
        <f t="shared" si="1"/>
        <v>11.5</v>
      </c>
    </row>
    <row r="34" s="2" customFormat="1" ht="21.75" customHeight="1" spans="1:11">
      <c r="A34" s="80"/>
      <c r="B34" s="56"/>
      <c r="C34" s="3" t="s">
        <v>215</v>
      </c>
      <c r="D34" s="12">
        <v>23</v>
      </c>
      <c r="E34" s="12">
        <v>0</v>
      </c>
      <c r="F34" s="11"/>
      <c r="G34" s="11"/>
      <c r="H34" s="12"/>
      <c r="I34" s="27"/>
      <c r="J34" s="27"/>
      <c r="K34" s="27">
        <f t="shared" si="1"/>
        <v>23</v>
      </c>
    </row>
    <row r="35" s="2" customFormat="1" ht="21.75" customHeight="1" spans="1:11">
      <c r="A35" s="81" t="s">
        <v>238</v>
      </c>
      <c r="B35" s="56"/>
      <c r="C35" s="61" t="s">
        <v>213</v>
      </c>
      <c r="D35" s="12">
        <v>23</v>
      </c>
      <c r="E35" s="12">
        <v>0</v>
      </c>
      <c r="F35" s="11"/>
      <c r="G35" s="11"/>
      <c r="H35" s="12"/>
      <c r="I35" s="27"/>
      <c r="J35" s="27"/>
      <c r="K35" s="27">
        <f t="shared" si="1"/>
        <v>23</v>
      </c>
    </row>
    <row r="36" s="2" customFormat="1" ht="21.75" customHeight="1" spans="1:11">
      <c r="A36" s="82"/>
      <c r="B36" s="56"/>
      <c r="C36" s="61" t="s">
        <v>216</v>
      </c>
      <c r="D36" s="12">
        <v>23</v>
      </c>
      <c r="E36" s="12">
        <v>0</v>
      </c>
      <c r="F36" s="11"/>
      <c r="G36" s="11"/>
      <c r="H36" s="12"/>
      <c r="I36" s="12"/>
      <c r="J36" s="27"/>
      <c r="K36" s="27">
        <f t="shared" si="1"/>
        <v>23</v>
      </c>
    </row>
    <row r="37" s="2" customFormat="1" ht="21.75" customHeight="1" spans="1:11">
      <c r="A37" s="84" t="s">
        <v>239</v>
      </c>
      <c r="B37" s="56"/>
      <c r="C37" s="56" t="s">
        <v>214</v>
      </c>
      <c r="D37" s="12">
        <v>11.5</v>
      </c>
      <c r="E37" s="12">
        <v>7.5</v>
      </c>
      <c r="F37" s="11"/>
      <c r="G37" s="11"/>
      <c r="H37" s="12"/>
      <c r="I37" s="12"/>
      <c r="J37" s="27"/>
      <c r="K37" s="27">
        <f t="shared" si="1"/>
        <v>19</v>
      </c>
    </row>
    <row r="38" s="2" customFormat="1" ht="21.75" customHeight="1" spans="1:11">
      <c r="A38" s="27" t="s">
        <v>217</v>
      </c>
      <c r="B38" s="27">
        <v>10.5</v>
      </c>
      <c r="C38" s="27" t="s">
        <v>218</v>
      </c>
      <c r="D38" s="12">
        <v>0</v>
      </c>
      <c r="E38" s="12">
        <v>15</v>
      </c>
      <c r="F38" s="22"/>
      <c r="G38" s="22"/>
      <c r="H38" s="12"/>
      <c r="I38" s="27"/>
      <c r="J38" s="27"/>
      <c r="K38" s="27">
        <f t="shared" si="1"/>
        <v>15</v>
      </c>
    </row>
    <row r="39" s="2" customFormat="1" ht="21.75" customHeight="1" spans="1:11">
      <c r="A39" s="27"/>
      <c r="B39" s="27"/>
      <c r="C39" s="27" t="s">
        <v>219</v>
      </c>
      <c r="D39" s="12">
        <v>0</v>
      </c>
      <c r="E39" s="12">
        <v>15</v>
      </c>
      <c r="F39" s="11"/>
      <c r="G39" s="11"/>
      <c r="H39" s="12"/>
      <c r="I39" s="27"/>
      <c r="J39" s="27"/>
      <c r="K39" s="27">
        <f t="shared" si="1"/>
        <v>15</v>
      </c>
    </row>
    <row r="40" s="2" customFormat="1" ht="21.75" customHeight="1" spans="1:11">
      <c r="A40" s="27" t="s">
        <v>220</v>
      </c>
      <c r="B40" s="27">
        <v>11.5</v>
      </c>
      <c r="C40" s="38" t="s">
        <v>221</v>
      </c>
      <c r="D40" s="12">
        <v>20</v>
      </c>
      <c r="E40" s="12">
        <v>0</v>
      </c>
      <c r="F40" s="11"/>
      <c r="G40" s="11"/>
      <c r="H40" s="12"/>
      <c r="I40" s="27"/>
      <c r="J40" s="27"/>
      <c r="K40" s="27">
        <f t="shared" si="1"/>
        <v>20</v>
      </c>
    </row>
    <row r="41" s="2" customFormat="1" ht="21.75" customHeight="1" spans="1:11">
      <c r="A41" s="27"/>
      <c r="B41" s="27"/>
      <c r="C41" s="38" t="s">
        <v>222</v>
      </c>
      <c r="D41" s="12">
        <v>10</v>
      </c>
      <c r="E41" s="12">
        <v>7.5</v>
      </c>
      <c r="F41" s="11"/>
      <c r="G41" s="11"/>
      <c r="H41" s="12"/>
      <c r="I41" s="27"/>
      <c r="J41" s="27"/>
      <c r="K41" s="27">
        <f t="shared" si="1"/>
        <v>17.5</v>
      </c>
    </row>
    <row r="42" s="2" customFormat="1" ht="21.75" customHeight="1" spans="1:11">
      <c r="A42" s="27"/>
      <c r="B42" s="27"/>
      <c r="C42" s="38" t="s">
        <v>223</v>
      </c>
      <c r="D42" s="12">
        <v>10</v>
      </c>
      <c r="E42" s="12">
        <v>0</v>
      </c>
      <c r="F42" s="23"/>
      <c r="G42" s="23"/>
      <c r="H42" s="12"/>
      <c r="I42" s="27"/>
      <c r="J42" s="27"/>
      <c r="K42" s="27">
        <f t="shared" si="1"/>
        <v>10</v>
      </c>
    </row>
    <row r="43" s="2" customFormat="1" ht="21.75" customHeight="1" spans="1:11">
      <c r="A43" s="27"/>
      <c r="B43" s="27"/>
      <c r="C43" s="38" t="s">
        <v>224</v>
      </c>
      <c r="D43" s="12">
        <v>44</v>
      </c>
      <c r="E43" s="12">
        <v>15</v>
      </c>
      <c r="F43" s="24"/>
      <c r="G43" s="24"/>
      <c r="H43" s="12"/>
      <c r="I43" s="27"/>
      <c r="J43" s="27"/>
      <c r="K43" s="27">
        <f t="shared" si="1"/>
        <v>59</v>
      </c>
    </row>
    <row r="44" s="2" customFormat="1" ht="21.75" customHeight="1" spans="1:11">
      <c r="A44" s="39" t="s">
        <v>225</v>
      </c>
      <c r="B44" s="39">
        <v>10.5</v>
      </c>
      <c r="C44" s="27" t="s">
        <v>226</v>
      </c>
      <c r="D44" s="12">
        <v>7.5</v>
      </c>
      <c r="E44" s="12">
        <v>0</v>
      </c>
      <c r="F44" s="11"/>
      <c r="G44" s="11"/>
      <c r="H44" s="12"/>
      <c r="I44" s="27"/>
      <c r="J44" s="27"/>
      <c r="K44" s="27">
        <f t="shared" si="1"/>
        <v>7.5</v>
      </c>
    </row>
    <row r="45" s="2" customFormat="1" ht="21.75" customHeight="1" spans="1:11">
      <c r="A45" s="39"/>
      <c r="B45" s="39"/>
      <c r="C45" s="27" t="s">
        <v>228</v>
      </c>
      <c r="D45" s="12">
        <v>7.5</v>
      </c>
      <c r="E45" s="12">
        <v>15</v>
      </c>
      <c r="F45" s="11"/>
      <c r="G45" s="11"/>
      <c r="H45" s="12"/>
      <c r="I45" s="27"/>
      <c r="J45" s="27"/>
      <c r="K45" s="27">
        <f t="shared" si="1"/>
        <v>22.5</v>
      </c>
    </row>
    <row r="46" s="2" customFormat="1" ht="21.75" customHeight="1" spans="1:11">
      <c r="A46" s="39"/>
      <c r="B46" s="39"/>
      <c r="C46" s="27" t="s">
        <v>227</v>
      </c>
      <c r="D46" s="12">
        <v>0</v>
      </c>
      <c r="E46" s="12">
        <v>15</v>
      </c>
      <c r="F46" s="11"/>
      <c r="G46" s="11"/>
      <c r="H46" s="12"/>
      <c r="I46" s="27"/>
      <c r="J46" s="27"/>
      <c r="K46" s="27">
        <f t="shared" si="1"/>
        <v>15</v>
      </c>
    </row>
    <row r="47" s="2" customFormat="1" ht="21.75" customHeight="1" spans="1:11">
      <c r="A47" s="39"/>
      <c r="B47" s="39"/>
      <c r="C47" s="27" t="s">
        <v>229</v>
      </c>
      <c r="D47" s="12">
        <v>7.5</v>
      </c>
      <c r="E47" s="12">
        <v>0</v>
      </c>
      <c r="F47" s="11"/>
      <c r="G47" s="11"/>
      <c r="H47" s="12"/>
      <c r="I47" s="27"/>
      <c r="J47" s="40"/>
      <c r="K47" s="27">
        <f t="shared" si="1"/>
        <v>7.5</v>
      </c>
    </row>
    <row r="48" s="2" customFormat="1" ht="21.75" customHeight="1" spans="1:11">
      <c r="A48" s="39"/>
      <c r="B48" s="39"/>
      <c r="C48" s="27" t="s">
        <v>240</v>
      </c>
      <c r="D48" s="12">
        <v>7.5</v>
      </c>
      <c r="E48" s="12">
        <v>15</v>
      </c>
      <c r="F48" s="11"/>
      <c r="G48" s="11"/>
      <c r="H48" s="12"/>
      <c r="I48" s="27"/>
      <c r="J48" s="40"/>
      <c r="K48" s="27">
        <f t="shared" si="1"/>
        <v>22.5</v>
      </c>
    </row>
    <row r="49" s="2" customFormat="1" ht="21.75" customHeight="1" spans="1:16">
      <c r="A49" s="12" t="s">
        <v>230</v>
      </c>
      <c r="B49" s="12">
        <v>10.5</v>
      </c>
      <c r="C49" s="27" t="s">
        <v>231</v>
      </c>
      <c r="D49" s="12">
        <v>10.5</v>
      </c>
      <c r="E49" s="12">
        <v>0</v>
      </c>
      <c r="F49" s="11"/>
      <c r="G49" s="11"/>
      <c r="H49" s="27"/>
      <c r="I49" s="27"/>
      <c r="J49" s="40"/>
      <c r="K49" s="27">
        <f t="shared" si="1"/>
        <v>10.5</v>
      </c>
    </row>
    <row r="50" s="2" customFormat="1" ht="21.75" customHeight="1" spans="1:16">
      <c r="A50" s="27" t="s">
        <v>232</v>
      </c>
      <c r="B50" s="27">
        <v>12</v>
      </c>
      <c r="C50" s="27" t="s">
        <v>233</v>
      </c>
      <c r="D50" s="12">
        <v>12</v>
      </c>
      <c r="E50" s="12">
        <v>0</v>
      </c>
      <c r="F50" s="11"/>
      <c r="G50" s="22"/>
      <c r="H50" s="27"/>
      <c r="I50" s="27"/>
      <c r="J50" s="40"/>
      <c r="K50" s="27">
        <f t="shared" si="1"/>
        <v>12</v>
      </c>
    </row>
    <row r="51" s="2" customFormat="1" ht="21.75" customHeight="1" spans="1:16">
      <c r="A51" s="38"/>
      <c r="B51" s="41"/>
      <c r="C51" s="41"/>
      <c r="D51" s="41"/>
      <c r="E51" s="41"/>
      <c r="F51" s="41"/>
      <c r="G51" s="41"/>
      <c r="H51" s="41"/>
      <c r="I51" s="41"/>
      <c r="J51" s="40"/>
      <c r="K51" s="47">
        <f>SUM(K30:K50)</f>
        <v>380.5</v>
      </c>
    </row>
    <row r="54" s="2" customFormat="1" ht="21.75" customHeight="1" spans="1:16">
      <c r="A54" s="42" t="s">
        <v>315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="2" customFormat="1" ht="21.75" customHeight="1" spans="1:16">
      <c r="A55" s="35" t="s">
        <v>235</v>
      </c>
      <c r="B55" s="36"/>
      <c r="C55" s="36"/>
      <c r="D55" s="37" t="s">
        <v>317</v>
      </c>
      <c r="E55" s="36"/>
      <c r="F55" s="36"/>
      <c r="G55" s="36"/>
      <c r="H55" s="36"/>
      <c r="I55" s="36"/>
      <c r="J55" s="36"/>
      <c r="K55" s="36"/>
    </row>
    <row r="56" s="2" customFormat="1" ht="21.75" customHeight="1" spans="1:16">
      <c r="A56" s="27" t="s">
        <v>200</v>
      </c>
      <c r="B56" s="27" t="s">
        <v>201</v>
      </c>
      <c r="C56" s="38" t="s">
        <v>202</v>
      </c>
      <c r="D56" s="12" t="s">
        <v>6</v>
      </c>
      <c r="E56" s="12" t="s">
        <v>6</v>
      </c>
      <c r="F56" s="27" t="s">
        <v>6</v>
      </c>
      <c r="G56" s="27" t="s">
        <v>6</v>
      </c>
      <c r="H56" s="27" t="s">
        <v>6</v>
      </c>
      <c r="I56" s="27" t="s">
        <v>6</v>
      </c>
      <c r="J56" s="27" t="s">
        <v>203</v>
      </c>
      <c r="K56" s="27" t="s">
        <v>204</v>
      </c>
    </row>
    <row r="57" s="2" customFormat="1" ht="21.75" customHeight="1" spans="1:16">
      <c r="A57" s="27" t="s">
        <v>205</v>
      </c>
      <c r="B57" s="27">
        <v>12</v>
      </c>
      <c r="C57" s="38" t="s">
        <v>206</v>
      </c>
      <c r="D57" s="11">
        <v>0</v>
      </c>
      <c r="E57" s="11"/>
      <c r="F57" s="11"/>
      <c r="G57" s="11"/>
      <c r="H57" s="12"/>
      <c r="I57" s="27"/>
      <c r="J57" s="27"/>
      <c r="K57" s="27">
        <f t="shared" ref="K57:K77" si="2">SUM(D57:J57)</f>
        <v>0</v>
      </c>
    </row>
    <row r="58" s="2" customFormat="1" ht="21.75" customHeight="1" spans="1:16">
      <c r="A58" s="43" t="s">
        <v>207</v>
      </c>
      <c r="B58" s="12">
        <v>11.5</v>
      </c>
      <c r="C58" s="38" t="s">
        <v>208</v>
      </c>
      <c r="D58" s="11">
        <v>0</v>
      </c>
      <c r="E58" s="11"/>
      <c r="F58" s="11"/>
      <c r="G58" s="11"/>
      <c r="H58" s="12"/>
      <c r="I58" s="27"/>
      <c r="J58" s="27"/>
      <c r="K58" s="27">
        <f t="shared" si="2"/>
        <v>0</v>
      </c>
    </row>
    <row r="59" s="2" customFormat="1" ht="21.75" customHeight="1" spans="1:16">
      <c r="A59" s="44"/>
      <c r="B59" s="39"/>
      <c r="C59" s="38" t="s">
        <v>210</v>
      </c>
      <c r="D59" s="11">
        <v>0</v>
      </c>
      <c r="E59" s="11"/>
      <c r="F59" s="11"/>
      <c r="G59" s="11"/>
      <c r="H59" s="12"/>
      <c r="I59" s="27"/>
      <c r="J59" s="27"/>
      <c r="K59" s="27">
        <f t="shared" si="2"/>
        <v>0</v>
      </c>
      <c r="P59" s="2" t="s">
        <v>318</v>
      </c>
    </row>
    <row r="60" s="2" customFormat="1" ht="21.75" customHeight="1" spans="1:16">
      <c r="A60" s="79" t="s">
        <v>237</v>
      </c>
      <c r="B60" s="56">
        <v>11.5</v>
      </c>
      <c r="C60" s="61" t="s">
        <v>212</v>
      </c>
      <c r="D60" s="11">
        <v>0</v>
      </c>
      <c r="E60" s="11"/>
      <c r="F60" s="11"/>
      <c r="G60" s="11"/>
      <c r="H60" s="12"/>
      <c r="I60" s="27"/>
      <c r="J60" s="27"/>
      <c r="K60" s="27">
        <f t="shared" si="2"/>
        <v>0</v>
      </c>
    </row>
    <row r="61" s="2" customFormat="1" ht="21.75" customHeight="1" spans="1:16">
      <c r="A61" s="80"/>
      <c r="B61" s="56"/>
      <c r="C61" s="3" t="s">
        <v>215</v>
      </c>
      <c r="D61" s="11">
        <v>0</v>
      </c>
      <c r="E61" s="11"/>
      <c r="F61" s="11"/>
      <c r="G61" s="11"/>
      <c r="H61" s="12"/>
      <c r="I61" s="27"/>
      <c r="J61" s="27"/>
      <c r="K61" s="27">
        <f t="shared" si="2"/>
        <v>0</v>
      </c>
    </row>
    <row r="62" s="2" customFormat="1" ht="21.75" customHeight="1" spans="1:16">
      <c r="A62" s="81" t="s">
        <v>238</v>
      </c>
      <c r="B62" s="56"/>
      <c r="C62" s="61" t="s">
        <v>213</v>
      </c>
      <c r="D62" s="11">
        <v>0</v>
      </c>
      <c r="E62" s="11"/>
      <c r="F62" s="11"/>
      <c r="G62" s="11"/>
      <c r="H62" s="12"/>
      <c r="I62" s="27"/>
      <c r="J62" s="27"/>
      <c r="K62" s="27">
        <f t="shared" si="2"/>
        <v>0</v>
      </c>
    </row>
    <row r="63" s="2" customFormat="1" ht="21.75" customHeight="1" spans="1:16">
      <c r="A63" s="82"/>
      <c r="B63" s="56"/>
      <c r="C63" s="61" t="s">
        <v>216</v>
      </c>
      <c r="D63" s="11">
        <v>0</v>
      </c>
      <c r="E63" s="11"/>
      <c r="F63" s="11"/>
      <c r="G63" s="11"/>
      <c r="H63" s="12"/>
      <c r="I63" s="12"/>
      <c r="J63" s="27"/>
      <c r="K63" s="27">
        <f t="shared" si="2"/>
        <v>0</v>
      </c>
    </row>
    <row r="64" s="2" customFormat="1" ht="21.75" customHeight="1" spans="1:16">
      <c r="A64" s="84" t="s">
        <v>239</v>
      </c>
      <c r="B64" s="56"/>
      <c r="C64" s="56" t="s">
        <v>214</v>
      </c>
      <c r="D64" s="11">
        <v>0</v>
      </c>
      <c r="E64" s="11"/>
      <c r="F64" s="11"/>
      <c r="G64" s="11"/>
      <c r="H64" s="12"/>
      <c r="I64" s="12"/>
      <c r="J64" s="27"/>
      <c r="K64" s="27">
        <f t="shared" si="2"/>
        <v>0</v>
      </c>
    </row>
    <row r="65" s="2" customFormat="1" ht="21.75" customHeight="1" spans="1:11">
      <c r="A65" s="27" t="s">
        <v>217</v>
      </c>
      <c r="B65" s="27">
        <v>10.5</v>
      </c>
      <c r="C65" s="27" t="s">
        <v>218</v>
      </c>
      <c r="D65" s="22">
        <v>10</v>
      </c>
      <c r="E65" s="22"/>
      <c r="F65" s="22"/>
      <c r="G65" s="22"/>
      <c r="H65" s="12"/>
      <c r="I65" s="27"/>
      <c r="J65" s="27"/>
      <c r="K65" s="27">
        <f t="shared" si="2"/>
        <v>10</v>
      </c>
    </row>
    <row r="66" s="2" customFormat="1" ht="21.75" customHeight="1" spans="1:11">
      <c r="A66" s="27"/>
      <c r="B66" s="27"/>
      <c r="C66" s="27" t="s">
        <v>219</v>
      </c>
      <c r="D66" s="11">
        <v>37.2</v>
      </c>
      <c r="E66" s="11"/>
      <c r="F66" s="11"/>
      <c r="G66" s="11"/>
      <c r="H66" s="12"/>
      <c r="I66" s="27"/>
      <c r="J66" s="27"/>
      <c r="K66" s="27">
        <f t="shared" si="2"/>
        <v>37.2</v>
      </c>
    </row>
    <row r="67" s="2" customFormat="1" ht="21.75" customHeight="1" spans="1:11">
      <c r="A67" s="27" t="s">
        <v>220</v>
      </c>
      <c r="B67" s="27">
        <v>11.5</v>
      </c>
      <c r="C67" s="38" t="s">
        <v>221</v>
      </c>
      <c r="D67" s="11">
        <v>19</v>
      </c>
      <c r="E67" s="11"/>
      <c r="F67" s="11"/>
      <c r="G67" s="11"/>
      <c r="H67" s="12"/>
      <c r="I67" s="27"/>
      <c r="J67" s="27"/>
      <c r="K67" s="27">
        <f t="shared" si="2"/>
        <v>19</v>
      </c>
    </row>
    <row r="68" s="2" customFormat="1" ht="21.75" customHeight="1" spans="1:11">
      <c r="A68" s="27"/>
      <c r="B68" s="27"/>
      <c r="C68" s="38" t="s">
        <v>222</v>
      </c>
      <c r="D68" s="11">
        <v>9</v>
      </c>
      <c r="E68" s="11"/>
      <c r="F68" s="11"/>
      <c r="G68" s="11"/>
      <c r="H68" s="12"/>
      <c r="I68" s="27"/>
      <c r="J68" s="27"/>
      <c r="K68" s="27">
        <f t="shared" si="2"/>
        <v>9</v>
      </c>
    </row>
    <row r="69" s="2" customFormat="1" ht="21.75" customHeight="1" spans="1:11">
      <c r="A69" s="27"/>
      <c r="B69" s="27"/>
      <c r="C69" s="38" t="s">
        <v>223</v>
      </c>
      <c r="D69" s="23">
        <v>11.6</v>
      </c>
      <c r="E69" s="23"/>
      <c r="F69" s="23"/>
      <c r="G69" s="23"/>
      <c r="H69" s="12"/>
      <c r="I69" s="27"/>
      <c r="J69" s="27"/>
      <c r="K69" s="27">
        <f t="shared" si="2"/>
        <v>11.6</v>
      </c>
    </row>
    <row r="70" s="2" customFormat="1" ht="21.75" customHeight="1" spans="1:11">
      <c r="A70" s="27"/>
      <c r="B70" s="27"/>
      <c r="C70" s="38" t="s">
        <v>224</v>
      </c>
      <c r="D70" s="24">
        <v>77</v>
      </c>
      <c r="E70" s="24"/>
      <c r="F70" s="24"/>
      <c r="G70" s="24"/>
      <c r="H70" s="12"/>
      <c r="I70" s="27"/>
      <c r="J70" s="27"/>
      <c r="K70" s="27">
        <f t="shared" si="2"/>
        <v>77</v>
      </c>
    </row>
    <row r="71" s="2" customFormat="1" ht="21.75" customHeight="1" spans="1:11">
      <c r="A71" s="39" t="s">
        <v>225</v>
      </c>
      <c r="B71" s="39">
        <v>10.5</v>
      </c>
      <c r="C71" s="27" t="s">
        <v>226</v>
      </c>
      <c r="D71" s="11">
        <v>11.6</v>
      </c>
      <c r="E71" s="11"/>
      <c r="F71" s="11"/>
      <c r="G71" s="11"/>
      <c r="H71" s="12"/>
      <c r="I71" s="27"/>
      <c r="J71" s="27"/>
      <c r="K71" s="27">
        <f t="shared" si="2"/>
        <v>11.6</v>
      </c>
    </row>
    <row r="72" s="2" customFormat="1" ht="21.75" customHeight="1" spans="1:11">
      <c r="A72" s="39"/>
      <c r="B72" s="39"/>
      <c r="C72" s="27" t="s">
        <v>228</v>
      </c>
      <c r="D72" s="11">
        <v>11.6</v>
      </c>
      <c r="E72" s="11"/>
      <c r="F72" s="11"/>
      <c r="G72" s="11"/>
      <c r="H72" s="12"/>
      <c r="I72" s="27"/>
      <c r="J72" s="27"/>
      <c r="K72" s="27">
        <f t="shared" si="2"/>
        <v>11.6</v>
      </c>
    </row>
    <row r="73" s="2" customFormat="1" ht="21.75" customHeight="1" spans="1:11">
      <c r="A73" s="39"/>
      <c r="B73" s="39"/>
      <c r="C73" s="27" t="s">
        <v>227</v>
      </c>
      <c r="D73" s="11">
        <v>10</v>
      </c>
      <c r="E73" s="11"/>
      <c r="F73" s="11"/>
      <c r="G73" s="11"/>
      <c r="H73" s="12"/>
      <c r="I73" s="27"/>
      <c r="J73" s="27"/>
      <c r="K73" s="27">
        <f t="shared" si="2"/>
        <v>10</v>
      </c>
    </row>
    <row r="74" s="2" customFormat="1" ht="21.75" customHeight="1" spans="1:11">
      <c r="A74" s="39"/>
      <c r="B74" s="39"/>
      <c r="C74" s="27" t="s">
        <v>229</v>
      </c>
      <c r="D74" s="11">
        <v>11.6</v>
      </c>
      <c r="E74" s="11"/>
      <c r="F74" s="11"/>
      <c r="G74" s="11"/>
      <c r="H74" s="12"/>
      <c r="I74" s="27"/>
      <c r="J74" s="40"/>
      <c r="K74" s="27">
        <f t="shared" si="2"/>
        <v>11.6</v>
      </c>
    </row>
    <row r="75" s="2" customFormat="1" ht="21.75" customHeight="1" spans="1:11">
      <c r="A75" s="39"/>
      <c r="B75" s="39"/>
      <c r="C75" s="27" t="s">
        <v>240</v>
      </c>
      <c r="D75" s="11">
        <v>11.6</v>
      </c>
      <c r="E75" s="11"/>
      <c r="F75" s="11"/>
      <c r="G75" s="11"/>
      <c r="H75" s="12"/>
      <c r="I75" s="27"/>
      <c r="J75" s="40"/>
      <c r="K75" s="27">
        <f t="shared" si="2"/>
        <v>11.6</v>
      </c>
    </row>
    <row r="76" s="2" customFormat="1" ht="21.75" customHeight="1" spans="1:11">
      <c r="A76" s="12" t="s">
        <v>230</v>
      </c>
      <c r="B76" s="12">
        <v>10.5</v>
      </c>
      <c r="C76" s="27" t="s">
        <v>231</v>
      </c>
      <c r="D76" s="11">
        <v>10</v>
      </c>
      <c r="E76" s="11"/>
      <c r="F76" s="11"/>
      <c r="G76" s="11"/>
      <c r="H76" s="27"/>
      <c r="I76" s="27"/>
      <c r="J76" s="40"/>
      <c r="K76" s="27">
        <f t="shared" si="2"/>
        <v>10</v>
      </c>
    </row>
    <row r="77" s="2" customFormat="1" ht="21.75" customHeight="1" spans="1:11">
      <c r="A77" s="27" t="s">
        <v>232</v>
      </c>
      <c r="B77" s="27">
        <v>12</v>
      </c>
      <c r="C77" s="27" t="s">
        <v>233</v>
      </c>
      <c r="D77" s="22">
        <v>0</v>
      </c>
      <c r="E77" s="22"/>
      <c r="F77" s="11"/>
      <c r="G77" s="22"/>
      <c r="H77" s="27"/>
      <c r="I77" s="27"/>
      <c r="J77" s="40"/>
      <c r="K77" s="27">
        <f t="shared" si="2"/>
        <v>0</v>
      </c>
    </row>
    <row r="78" s="2" customFormat="1" ht="21.75" customHeight="1" spans="1:11">
      <c r="A78" s="38"/>
      <c r="B78" s="41"/>
      <c r="C78" s="41"/>
      <c r="D78" s="41"/>
      <c r="E78" s="41"/>
      <c r="F78" s="41"/>
      <c r="G78" s="41"/>
      <c r="H78" s="41"/>
      <c r="I78" s="41"/>
      <c r="J78" s="40"/>
      <c r="K78" s="47">
        <f>SUM(K57:K77)</f>
        <v>230.2</v>
      </c>
    </row>
    <row r="81" s="2" customFormat="1" ht="21.75" customHeight="1" spans="1:11">
      <c r="A81" s="42" t="s">
        <v>315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</row>
    <row r="82" s="2" customFormat="1" ht="21.75" customHeight="1" spans="1:11">
      <c r="A82" s="35" t="s">
        <v>235</v>
      </c>
      <c r="B82" s="36"/>
      <c r="C82" s="36"/>
      <c r="D82" s="37" t="s">
        <v>319</v>
      </c>
      <c r="E82" s="36"/>
      <c r="F82" s="36"/>
      <c r="G82" s="36"/>
      <c r="H82" s="36"/>
      <c r="I82" s="36"/>
      <c r="J82" s="36"/>
      <c r="K82" s="36"/>
    </row>
    <row r="83" s="2" customFormat="1" ht="21.75" customHeight="1" spans="1:11">
      <c r="A83" s="27" t="s">
        <v>200</v>
      </c>
      <c r="B83" s="27" t="s">
        <v>201</v>
      </c>
      <c r="C83" s="38" t="s">
        <v>202</v>
      </c>
      <c r="D83" s="12" t="s">
        <v>6</v>
      </c>
      <c r="E83" s="12" t="s">
        <v>6</v>
      </c>
      <c r="F83" s="27" t="s">
        <v>6</v>
      </c>
      <c r="G83" s="27" t="s">
        <v>6</v>
      </c>
      <c r="H83" s="27" t="s">
        <v>6</v>
      </c>
      <c r="I83" s="27" t="s">
        <v>6</v>
      </c>
      <c r="J83" s="27" t="s">
        <v>203</v>
      </c>
      <c r="K83" s="27" t="s">
        <v>204</v>
      </c>
    </row>
    <row r="84" s="2" customFormat="1" ht="21.75" customHeight="1" spans="1:11">
      <c r="A84" s="27" t="s">
        <v>205</v>
      </c>
      <c r="B84" s="27">
        <v>12</v>
      </c>
      <c r="C84" s="38" t="s">
        <v>206</v>
      </c>
      <c r="D84" s="11">
        <v>12</v>
      </c>
      <c r="E84" s="11">
        <v>10</v>
      </c>
      <c r="F84" s="11"/>
      <c r="G84" s="11"/>
      <c r="H84" s="12"/>
      <c r="I84" s="27"/>
      <c r="J84" s="27"/>
      <c r="K84" s="27">
        <f t="shared" ref="K84:K104" si="3">SUM(D84:J84)</f>
        <v>22</v>
      </c>
    </row>
    <row r="85" s="2" customFormat="1" ht="21.75" customHeight="1" spans="1:11">
      <c r="A85" s="43" t="s">
        <v>207</v>
      </c>
      <c r="B85" s="12">
        <v>11.5</v>
      </c>
      <c r="C85" s="38" t="s">
        <v>208</v>
      </c>
      <c r="D85" s="11">
        <v>17.5</v>
      </c>
      <c r="E85" s="11">
        <v>15</v>
      </c>
      <c r="F85" s="11"/>
      <c r="G85" s="11"/>
      <c r="H85" s="12"/>
      <c r="I85" s="27"/>
      <c r="J85" s="27"/>
      <c r="K85" s="27">
        <f t="shared" si="3"/>
        <v>32.5</v>
      </c>
    </row>
    <row r="86" s="2" customFormat="1" ht="21.75" customHeight="1" spans="1:11">
      <c r="A86" s="44"/>
      <c r="B86" s="39"/>
      <c r="C86" s="38" t="s">
        <v>210</v>
      </c>
      <c r="D86" s="11">
        <v>17.5</v>
      </c>
      <c r="E86" s="11">
        <v>15</v>
      </c>
      <c r="F86" s="11"/>
      <c r="G86" s="11"/>
      <c r="H86" s="12"/>
      <c r="I86" s="27"/>
      <c r="J86" s="27"/>
      <c r="K86" s="27">
        <f t="shared" si="3"/>
        <v>32.5</v>
      </c>
    </row>
    <row r="87" s="2" customFormat="1" ht="21.75" customHeight="1" spans="1:11">
      <c r="A87" s="43" t="s">
        <v>211</v>
      </c>
      <c r="B87" s="12">
        <v>11.5</v>
      </c>
      <c r="C87" s="38" t="s">
        <v>212</v>
      </c>
      <c r="D87" s="11">
        <v>11.5</v>
      </c>
      <c r="E87" s="11">
        <v>11</v>
      </c>
      <c r="F87" s="11"/>
      <c r="G87" s="11"/>
      <c r="H87" s="12"/>
      <c r="I87" s="27"/>
      <c r="J87" s="27"/>
      <c r="K87" s="27">
        <f t="shared" si="3"/>
        <v>22.5</v>
      </c>
    </row>
    <row r="88" s="2" customFormat="1" ht="21.75" customHeight="1" spans="1:11">
      <c r="A88" s="44"/>
      <c r="B88" s="39"/>
      <c r="C88" s="38" t="s">
        <v>213</v>
      </c>
      <c r="D88" s="11">
        <v>11.5</v>
      </c>
      <c r="E88" s="11">
        <v>11</v>
      </c>
      <c r="F88" s="11"/>
      <c r="G88" s="11"/>
      <c r="H88" s="12"/>
      <c r="I88" s="27"/>
      <c r="J88" s="27"/>
      <c r="K88" s="27">
        <f t="shared" si="3"/>
        <v>22.5</v>
      </c>
    </row>
    <row r="89" s="2" customFormat="1" ht="21.75" customHeight="1" spans="1:11">
      <c r="A89" s="44"/>
      <c r="B89" s="39"/>
      <c r="C89" s="27" t="s">
        <v>214</v>
      </c>
      <c r="D89" s="11">
        <v>11.5</v>
      </c>
      <c r="E89" s="11">
        <v>11</v>
      </c>
      <c r="F89" s="11"/>
      <c r="G89" s="11"/>
      <c r="H89" s="12"/>
      <c r="I89" s="27"/>
      <c r="J89" s="27"/>
      <c r="K89" s="27">
        <f t="shared" si="3"/>
        <v>22.5</v>
      </c>
    </row>
    <row r="90" s="2" customFormat="1" ht="21.75" customHeight="1" spans="1:11">
      <c r="A90" s="44"/>
      <c r="B90" s="39"/>
      <c r="C90" s="38" t="s">
        <v>216</v>
      </c>
      <c r="D90" s="11">
        <v>11.5</v>
      </c>
      <c r="E90" s="11">
        <v>11</v>
      </c>
      <c r="F90" s="11"/>
      <c r="G90" s="11"/>
      <c r="H90" s="12"/>
      <c r="I90" s="12"/>
      <c r="J90" s="27"/>
      <c r="K90" s="27">
        <f t="shared" si="3"/>
        <v>22.5</v>
      </c>
    </row>
    <row r="91" s="2" customFormat="1" ht="21.75" customHeight="1" spans="1:11">
      <c r="A91" s="45"/>
      <c r="B91" s="46"/>
      <c r="C91" s="38" t="s">
        <v>215</v>
      </c>
      <c r="D91" s="11">
        <v>11.5</v>
      </c>
      <c r="E91" s="11">
        <v>11</v>
      </c>
      <c r="F91" s="11"/>
      <c r="G91" s="11"/>
      <c r="H91" s="12"/>
      <c r="I91" s="12"/>
      <c r="J91" s="27"/>
      <c r="K91" s="27">
        <f t="shared" si="3"/>
        <v>22.5</v>
      </c>
    </row>
    <row r="92" s="2" customFormat="1" ht="21.75" customHeight="1" spans="1:11">
      <c r="A92" s="27" t="s">
        <v>217</v>
      </c>
      <c r="B92" s="27">
        <v>10.5</v>
      </c>
      <c r="C92" s="27" t="s">
        <v>218</v>
      </c>
      <c r="D92" s="11">
        <v>9</v>
      </c>
      <c r="E92" s="11">
        <v>5</v>
      </c>
      <c r="F92" s="11"/>
      <c r="G92" s="11"/>
      <c r="H92" s="12"/>
      <c r="I92" s="27"/>
      <c r="J92" s="27"/>
      <c r="K92" s="27">
        <f t="shared" si="3"/>
        <v>14</v>
      </c>
    </row>
    <row r="93" s="2" customFormat="1" ht="21.75" customHeight="1" spans="1:11">
      <c r="A93" s="27"/>
      <c r="B93" s="27"/>
      <c r="C93" s="27" t="s">
        <v>219</v>
      </c>
      <c r="D93" s="11">
        <v>40</v>
      </c>
      <c r="E93" s="11">
        <v>0</v>
      </c>
      <c r="F93" s="11"/>
      <c r="G93" s="11"/>
      <c r="H93" s="12"/>
      <c r="I93" s="27"/>
      <c r="J93" s="27"/>
      <c r="K93" s="27">
        <f t="shared" si="3"/>
        <v>40</v>
      </c>
    </row>
    <row r="94" s="2" customFormat="1" ht="21.75" customHeight="1" spans="1:11">
      <c r="A94" s="27" t="s">
        <v>220</v>
      </c>
      <c r="B94" s="27">
        <v>11.5</v>
      </c>
      <c r="C94" s="38" t="s">
        <v>221</v>
      </c>
      <c r="D94" s="11">
        <v>19.5</v>
      </c>
      <c r="E94" s="11">
        <v>5</v>
      </c>
      <c r="F94" s="11"/>
      <c r="G94" s="11"/>
      <c r="H94" s="12"/>
      <c r="I94" s="27"/>
      <c r="J94" s="27"/>
      <c r="K94" s="27">
        <f t="shared" si="3"/>
        <v>24.5</v>
      </c>
    </row>
    <row r="95" s="2" customFormat="1" ht="21.75" customHeight="1" spans="1:11">
      <c r="A95" s="27"/>
      <c r="B95" s="27"/>
      <c r="C95" s="38" t="s">
        <v>222</v>
      </c>
      <c r="D95" s="11">
        <v>9</v>
      </c>
      <c r="E95" s="11">
        <v>5</v>
      </c>
      <c r="F95" s="11"/>
      <c r="G95" s="11"/>
      <c r="H95" s="12"/>
      <c r="I95" s="27"/>
      <c r="J95" s="27"/>
      <c r="K95" s="27">
        <f t="shared" si="3"/>
        <v>14</v>
      </c>
    </row>
    <row r="96" s="2" customFormat="1" ht="21.75" customHeight="1" spans="1:11">
      <c r="A96" s="27"/>
      <c r="B96" s="27"/>
      <c r="C96" s="38" t="s">
        <v>223</v>
      </c>
      <c r="D96" s="11">
        <v>40</v>
      </c>
      <c r="E96" s="23">
        <v>0</v>
      </c>
      <c r="F96" s="23"/>
      <c r="G96" s="23"/>
      <c r="H96" s="12"/>
      <c r="I96" s="27"/>
      <c r="J96" s="27"/>
      <c r="K96" s="27">
        <f t="shared" si="3"/>
        <v>40</v>
      </c>
    </row>
    <row r="97" s="2" customFormat="1" ht="21.75" customHeight="1" spans="1:11">
      <c r="A97" s="27"/>
      <c r="B97" s="27"/>
      <c r="C97" s="38" t="s">
        <v>224</v>
      </c>
      <c r="D97" s="24">
        <v>73.5</v>
      </c>
      <c r="E97" s="24">
        <v>5</v>
      </c>
      <c r="F97" s="24"/>
      <c r="G97" s="24"/>
      <c r="H97" s="12"/>
      <c r="I97" s="27"/>
      <c r="J97" s="27"/>
      <c r="K97" s="27">
        <f t="shared" si="3"/>
        <v>78.5</v>
      </c>
    </row>
    <row r="98" s="2" customFormat="1" ht="21.75" customHeight="1" spans="1:11">
      <c r="A98" s="39" t="s">
        <v>225</v>
      </c>
      <c r="B98" s="39">
        <v>10.5</v>
      </c>
      <c r="C98" s="27" t="s">
        <v>226</v>
      </c>
      <c r="D98" s="11">
        <v>23</v>
      </c>
      <c r="E98" s="11">
        <v>10</v>
      </c>
      <c r="F98" s="11"/>
      <c r="G98" s="11"/>
      <c r="H98" s="12"/>
      <c r="I98" s="27"/>
      <c r="J98" s="27"/>
      <c r="K98" s="27">
        <f t="shared" si="3"/>
        <v>33</v>
      </c>
    </row>
    <row r="99" s="2" customFormat="1" ht="21.75" customHeight="1" spans="1:11">
      <c r="A99" s="39"/>
      <c r="B99" s="39"/>
      <c r="C99" s="27" t="s">
        <v>228</v>
      </c>
      <c r="D99" s="11">
        <v>40</v>
      </c>
      <c r="E99" s="11">
        <v>0</v>
      </c>
      <c r="F99" s="11"/>
      <c r="G99" s="11"/>
      <c r="H99" s="12"/>
      <c r="I99" s="27"/>
      <c r="J99" s="27"/>
      <c r="K99" s="27">
        <f t="shared" si="3"/>
        <v>40</v>
      </c>
    </row>
    <row r="100" s="2" customFormat="1" ht="21.75" customHeight="1" spans="1:11">
      <c r="A100" s="39"/>
      <c r="B100" s="39"/>
      <c r="C100" s="27" t="s">
        <v>227</v>
      </c>
      <c r="D100" s="11">
        <v>40</v>
      </c>
      <c r="E100" s="11">
        <v>0</v>
      </c>
      <c r="F100" s="11"/>
      <c r="G100" s="11"/>
      <c r="H100" s="12"/>
      <c r="I100" s="27"/>
      <c r="J100" s="27"/>
      <c r="K100" s="27">
        <f t="shared" si="3"/>
        <v>40</v>
      </c>
    </row>
    <row r="101" s="2" customFormat="1" ht="21.75" customHeight="1" spans="1:11">
      <c r="A101" s="39"/>
      <c r="B101" s="39"/>
      <c r="C101" s="27" t="s">
        <v>229</v>
      </c>
      <c r="D101" s="11">
        <v>11.5</v>
      </c>
      <c r="E101" s="11">
        <v>5</v>
      </c>
      <c r="F101" s="11"/>
      <c r="G101" s="11"/>
      <c r="H101" s="12"/>
      <c r="I101" s="27"/>
      <c r="J101" s="40"/>
      <c r="K101" s="27">
        <f t="shared" si="3"/>
        <v>16.5</v>
      </c>
    </row>
    <row r="102" s="2" customFormat="1" ht="21.75" customHeight="1" spans="1:11">
      <c r="A102" s="39"/>
      <c r="B102" s="39"/>
      <c r="C102" s="27" t="s">
        <v>240</v>
      </c>
      <c r="D102" s="11">
        <v>11.5</v>
      </c>
      <c r="E102" s="11">
        <v>5</v>
      </c>
      <c r="F102" s="11"/>
      <c r="G102" s="11"/>
      <c r="H102" s="12"/>
      <c r="I102" s="27"/>
      <c r="J102" s="40"/>
      <c r="K102" s="27">
        <f t="shared" si="3"/>
        <v>16.5</v>
      </c>
    </row>
    <row r="103" s="2" customFormat="1" ht="21.75" customHeight="1" spans="1:11">
      <c r="A103" s="12" t="s">
        <v>230</v>
      </c>
      <c r="B103" s="12">
        <v>10.5</v>
      </c>
      <c r="C103" s="27" t="s">
        <v>231</v>
      </c>
      <c r="D103" s="11">
        <v>10.5</v>
      </c>
      <c r="E103" s="11">
        <v>10.5</v>
      </c>
      <c r="F103" s="11"/>
      <c r="G103" s="11"/>
      <c r="H103" s="27"/>
      <c r="I103" s="27"/>
      <c r="J103" s="40"/>
      <c r="K103" s="27">
        <f t="shared" si="3"/>
        <v>21</v>
      </c>
    </row>
    <row r="104" s="2" customFormat="1" ht="21.75" customHeight="1" spans="1:11">
      <c r="A104" s="27" t="s">
        <v>232</v>
      </c>
      <c r="B104" s="27">
        <v>12</v>
      </c>
      <c r="C104" s="27" t="s">
        <v>233</v>
      </c>
      <c r="D104" s="22">
        <v>12</v>
      </c>
      <c r="E104" s="22">
        <v>12</v>
      </c>
      <c r="F104" s="22"/>
      <c r="G104" s="22"/>
      <c r="H104" s="27"/>
      <c r="I104" s="27"/>
      <c r="J104" s="40"/>
      <c r="K104" s="27">
        <f t="shared" si="3"/>
        <v>24</v>
      </c>
    </row>
    <row r="105" s="2" customFormat="1" ht="21.75" customHeight="1" spans="1:11">
      <c r="A105" s="38"/>
      <c r="B105" s="41"/>
      <c r="C105" s="41"/>
      <c r="D105" s="41"/>
      <c r="E105" s="41"/>
      <c r="F105" s="41"/>
      <c r="G105" s="41"/>
      <c r="H105" s="41"/>
      <c r="I105" s="41"/>
      <c r="J105" s="40"/>
      <c r="K105" s="47">
        <f>SUM(K84:K104)</f>
        <v>601.5</v>
      </c>
    </row>
    <row r="108" s="2" customFormat="1" ht="21.75" customHeight="1" spans="1:11">
      <c r="A108" s="88" t="s">
        <v>315</v>
      </c>
      <c r="B108" s="88"/>
      <c r="C108" s="88"/>
      <c r="D108" s="88"/>
      <c r="E108" s="88"/>
      <c r="F108" s="88"/>
      <c r="G108" s="88"/>
      <c r="H108" s="88"/>
      <c r="I108" s="88"/>
      <c r="J108" s="88"/>
      <c r="K108" s="88"/>
    </row>
    <row r="109" s="2" customFormat="1" ht="21.75" customHeight="1" spans="1:11">
      <c r="A109" s="35" t="s">
        <v>320</v>
      </c>
      <c r="B109" s="36"/>
      <c r="C109" s="36"/>
      <c r="D109" s="37" t="s">
        <v>321</v>
      </c>
      <c r="E109" s="36"/>
      <c r="F109" s="36"/>
      <c r="G109" s="36"/>
      <c r="H109" s="36"/>
      <c r="I109" s="36"/>
      <c r="J109" s="36"/>
      <c r="K109" s="36"/>
    </row>
    <row r="110" s="2" customFormat="1" ht="21.75" customHeight="1" spans="1:11">
      <c r="A110" s="27" t="s">
        <v>200</v>
      </c>
      <c r="B110" s="27" t="s">
        <v>201</v>
      </c>
      <c r="C110" s="38" t="s">
        <v>202</v>
      </c>
      <c r="D110" s="12" t="s">
        <v>6</v>
      </c>
      <c r="E110" s="12" t="s">
        <v>6</v>
      </c>
      <c r="F110" s="27" t="s">
        <v>6</v>
      </c>
      <c r="G110" s="27" t="s">
        <v>6</v>
      </c>
      <c r="H110" s="27" t="s">
        <v>6</v>
      </c>
      <c r="I110" s="27" t="s">
        <v>6</v>
      </c>
      <c r="J110" s="27" t="s">
        <v>203</v>
      </c>
      <c r="K110" s="27" t="s">
        <v>204</v>
      </c>
    </row>
    <row r="111" s="2" customFormat="1" ht="21.75" customHeight="1" spans="1:11">
      <c r="A111" s="27" t="s">
        <v>205</v>
      </c>
      <c r="B111" s="27">
        <v>12</v>
      </c>
      <c r="C111" s="38" t="s">
        <v>206</v>
      </c>
      <c r="D111" s="12">
        <v>12</v>
      </c>
      <c r="E111" s="12">
        <v>10</v>
      </c>
      <c r="F111" s="11"/>
      <c r="G111" s="11"/>
      <c r="H111" s="12"/>
      <c r="I111" s="27"/>
      <c r="J111" s="27"/>
      <c r="K111" s="27">
        <f t="shared" ref="K111:K131" si="4">SUM(D111:J111)</f>
        <v>22</v>
      </c>
    </row>
    <row r="112" s="2" customFormat="1" ht="21.75" customHeight="1" spans="1:11">
      <c r="A112" s="43" t="s">
        <v>207</v>
      </c>
      <c r="B112" s="12">
        <v>11.5</v>
      </c>
      <c r="C112" s="38" t="s">
        <v>208</v>
      </c>
      <c r="D112" s="12">
        <v>17.5</v>
      </c>
      <c r="E112" s="12">
        <v>15</v>
      </c>
      <c r="F112" s="11"/>
      <c r="G112" s="11"/>
      <c r="H112" s="12"/>
      <c r="I112" s="27"/>
      <c r="J112" s="27"/>
      <c r="K112" s="27">
        <f t="shared" si="4"/>
        <v>32.5</v>
      </c>
    </row>
    <row r="113" s="2" customFormat="1" ht="21.75" customHeight="1" spans="1:11">
      <c r="A113" s="44"/>
      <c r="B113" s="39"/>
      <c r="C113" s="38" t="s">
        <v>210</v>
      </c>
      <c r="D113" s="12">
        <v>17.5</v>
      </c>
      <c r="E113" s="12">
        <v>15</v>
      </c>
      <c r="F113" s="11"/>
      <c r="G113" s="11"/>
      <c r="H113" s="12"/>
      <c r="I113" s="27"/>
      <c r="J113" s="27"/>
      <c r="K113" s="27">
        <f t="shared" si="4"/>
        <v>32.5</v>
      </c>
    </row>
    <row r="114" s="2" customFormat="1" ht="21.75" customHeight="1" spans="1:11">
      <c r="A114" s="43" t="s">
        <v>211</v>
      </c>
      <c r="B114" s="12">
        <v>11.5</v>
      </c>
      <c r="C114" s="38" t="s">
        <v>212</v>
      </c>
      <c r="D114" s="27">
        <v>11.5</v>
      </c>
      <c r="E114" s="27">
        <v>11</v>
      </c>
      <c r="F114" s="11"/>
      <c r="G114" s="11"/>
      <c r="H114" s="12"/>
      <c r="I114" s="27"/>
      <c r="J114" s="27"/>
      <c r="K114" s="27">
        <f t="shared" si="4"/>
        <v>22.5</v>
      </c>
    </row>
    <row r="115" s="2" customFormat="1" ht="21.75" customHeight="1" spans="1:11">
      <c r="A115" s="44"/>
      <c r="B115" s="39"/>
      <c r="C115" s="38" t="s">
        <v>213</v>
      </c>
      <c r="D115" s="12">
        <v>11.5</v>
      </c>
      <c r="E115" s="12">
        <v>11.5</v>
      </c>
      <c r="F115" s="11"/>
      <c r="G115" s="11"/>
      <c r="H115" s="12"/>
      <c r="I115" s="27"/>
      <c r="J115" s="27"/>
      <c r="K115" s="27">
        <f t="shared" si="4"/>
        <v>23</v>
      </c>
    </row>
    <row r="116" s="2" customFormat="1" ht="21.75" customHeight="1" spans="1:11">
      <c r="A116" s="44"/>
      <c r="B116" s="39"/>
      <c r="C116" s="27" t="s">
        <v>214</v>
      </c>
      <c r="D116" s="27">
        <v>0</v>
      </c>
      <c r="E116" s="27">
        <v>0</v>
      </c>
      <c r="F116" s="11"/>
      <c r="G116" s="11"/>
      <c r="H116" s="12"/>
      <c r="I116" s="27"/>
      <c r="J116" s="27"/>
      <c r="K116" s="27">
        <f t="shared" si="4"/>
        <v>0</v>
      </c>
    </row>
    <row r="117" s="2" customFormat="1" ht="21.75" customHeight="1" spans="1:11">
      <c r="A117" s="44"/>
      <c r="B117" s="39"/>
      <c r="C117" s="38" t="s">
        <v>216</v>
      </c>
      <c r="D117" s="27">
        <v>0</v>
      </c>
      <c r="E117" s="27">
        <v>0</v>
      </c>
      <c r="F117" s="11"/>
      <c r="G117" s="11"/>
      <c r="H117" s="12"/>
      <c r="I117" s="12"/>
      <c r="J117" s="27"/>
      <c r="K117" s="27">
        <f t="shared" si="4"/>
        <v>0</v>
      </c>
    </row>
    <row r="118" s="2" customFormat="1" ht="21.75" customHeight="1" spans="1:11">
      <c r="A118" s="45"/>
      <c r="B118" s="46"/>
      <c r="C118" s="38" t="s">
        <v>215</v>
      </c>
      <c r="D118" s="12">
        <v>0</v>
      </c>
      <c r="E118" s="12">
        <v>0</v>
      </c>
      <c r="F118" s="11"/>
      <c r="G118" s="11"/>
      <c r="H118" s="12"/>
      <c r="I118" s="12"/>
      <c r="J118" s="27"/>
      <c r="K118" s="27">
        <f t="shared" si="4"/>
        <v>0</v>
      </c>
    </row>
    <row r="119" s="2" customFormat="1" ht="21.75" customHeight="1" spans="1:11">
      <c r="A119" s="27" t="s">
        <v>217</v>
      </c>
      <c r="B119" s="27">
        <v>10.5</v>
      </c>
      <c r="C119" s="27" t="s">
        <v>218</v>
      </c>
      <c r="D119" s="12">
        <v>10.5</v>
      </c>
      <c r="E119" s="12">
        <v>5</v>
      </c>
      <c r="F119" s="22"/>
      <c r="G119" s="22"/>
      <c r="H119" s="12"/>
      <c r="I119" s="27"/>
      <c r="J119" s="27"/>
      <c r="K119" s="27">
        <f t="shared" si="4"/>
        <v>15.5</v>
      </c>
    </row>
    <row r="120" s="2" customFormat="1" ht="21.75" customHeight="1" spans="1:11">
      <c r="A120" s="27"/>
      <c r="B120" s="27"/>
      <c r="C120" s="27" t="s">
        <v>219</v>
      </c>
      <c r="D120" s="27">
        <v>10.5</v>
      </c>
      <c r="E120" s="27">
        <v>5</v>
      </c>
      <c r="F120" s="11"/>
      <c r="G120" s="11"/>
      <c r="H120" s="12"/>
      <c r="I120" s="27"/>
      <c r="J120" s="27"/>
      <c r="K120" s="27">
        <f t="shared" si="4"/>
        <v>15.5</v>
      </c>
    </row>
    <row r="121" s="2" customFormat="1" ht="21.75" customHeight="1" spans="1:11">
      <c r="A121" s="27" t="s">
        <v>220</v>
      </c>
      <c r="B121" s="27">
        <v>11.5</v>
      </c>
      <c r="C121" s="38" t="s">
        <v>221</v>
      </c>
      <c r="D121" s="27">
        <v>0</v>
      </c>
      <c r="E121" s="27">
        <v>0</v>
      </c>
      <c r="F121" s="11"/>
      <c r="G121" s="11"/>
      <c r="H121" s="12"/>
      <c r="I121" s="27"/>
      <c r="J121" s="27"/>
      <c r="K121" s="27">
        <f t="shared" si="4"/>
        <v>0</v>
      </c>
    </row>
    <row r="122" s="2" customFormat="1" ht="21.75" customHeight="1" spans="1:11">
      <c r="A122" s="27"/>
      <c r="B122" s="27"/>
      <c r="C122" s="38" t="s">
        <v>222</v>
      </c>
      <c r="D122" s="12">
        <v>0</v>
      </c>
      <c r="E122" s="12">
        <v>0</v>
      </c>
      <c r="F122" s="11"/>
      <c r="G122" s="11"/>
      <c r="H122" s="12"/>
      <c r="I122" s="27"/>
      <c r="J122" s="27"/>
      <c r="K122" s="27">
        <f t="shared" si="4"/>
        <v>0</v>
      </c>
    </row>
    <row r="123" s="2" customFormat="1" ht="21.75" customHeight="1" spans="1:11">
      <c r="A123" s="27"/>
      <c r="B123" s="27"/>
      <c r="C123" s="38" t="s">
        <v>223</v>
      </c>
      <c r="D123" s="12">
        <v>10.5</v>
      </c>
      <c r="E123" s="12">
        <v>5</v>
      </c>
      <c r="F123" s="23"/>
      <c r="G123" s="23"/>
      <c r="H123" s="12"/>
      <c r="I123" s="27"/>
      <c r="J123" s="27"/>
      <c r="K123" s="27">
        <f t="shared" si="4"/>
        <v>15.5</v>
      </c>
    </row>
    <row r="124" s="2" customFormat="1" ht="21.75" customHeight="1" spans="1:11">
      <c r="A124" s="27"/>
      <c r="B124" s="27"/>
      <c r="C124" s="38" t="s">
        <v>224</v>
      </c>
      <c r="D124" s="27">
        <v>0</v>
      </c>
      <c r="E124" s="27">
        <v>0</v>
      </c>
      <c r="F124" s="24"/>
      <c r="G124" s="24"/>
      <c r="H124" s="12"/>
      <c r="I124" s="27"/>
      <c r="J124" s="27"/>
      <c r="K124" s="27">
        <f t="shared" si="4"/>
        <v>0</v>
      </c>
    </row>
    <row r="125" s="2" customFormat="1" ht="21.75" customHeight="1" spans="1:11">
      <c r="A125" s="39" t="s">
        <v>225</v>
      </c>
      <c r="B125" s="39">
        <v>10.5</v>
      </c>
      <c r="C125" s="27" t="s">
        <v>226</v>
      </c>
      <c r="D125" s="12">
        <v>10.5</v>
      </c>
      <c r="E125" s="12">
        <v>5</v>
      </c>
      <c r="F125" s="11"/>
      <c r="G125" s="11"/>
      <c r="H125" s="12"/>
      <c r="I125" s="27"/>
      <c r="J125" s="27"/>
      <c r="K125" s="27">
        <f t="shared" si="4"/>
        <v>15.5</v>
      </c>
    </row>
    <row r="126" s="2" customFormat="1" ht="21.75" customHeight="1" spans="1:11">
      <c r="A126" s="39"/>
      <c r="B126" s="39"/>
      <c r="C126" s="27" t="s">
        <v>228</v>
      </c>
      <c r="D126" s="12">
        <v>10.5</v>
      </c>
      <c r="E126" s="12">
        <v>5</v>
      </c>
      <c r="F126" s="11"/>
      <c r="G126" s="11"/>
      <c r="H126" s="12"/>
      <c r="I126" s="27"/>
      <c r="J126" s="27"/>
      <c r="K126" s="27">
        <f t="shared" si="4"/>
        <v>15.5</v>
      </c>
    </row>
    <row r="127" s="2" customFormat="1" ht="21.75" customHeight="1" spans="1:11">
      <c r="A127" s="39"/>
      <c r="B127" s="39"/>
      <c r="C127" s="27" t="s">
        <v>227</v>
      </c>
      <c r="D127" s="12">
        <v>10.5</v>
      </c>
      <c r="E127" s="12">
        <v>5</v>
      </c>
      <c r="F127" s="11"/>
      <c r="G127" s="11"/>
      <c r="H127" s="12"/>
      <c r="I127" s="27"/>
      <c r="J127" s="27"/>
      <c r="K127" s="27">
        <f t="shared" si="4"/>
        <v>15.5</v>
      </c>
    </row>
    <row r="128" s="2" customFormat="1" ht="21.75" customHeight="1" spans="1:11">
      <c r="A128" s="39"/>
      <c r="B128" s="39"/>
      <c r="C128" s="27" t="s">
        <v>229</v>
      </c>
      <c r="D128" s="27">
        <v>0</v>
      </c>
      <c r="E128" s="27">
        <v>0</v>
      </c>
      <c r="F128" s="11"/>
      <c r="G128" s="11"/>
      <c r="H128" s="12"/>
      <c r="I128" s="27"/>
      <c r="J128" s="40"/>
      <c r="K128" s="27">
        <f t="shared" si="4"/>
        <v>0</v>
      </c>
    </row>
    <row r="129" s="2" customFormat="1" ht="21.75" customHeight="1" spans="1:11">
      <c r="A129" s="39"/>
      <c r="B129" s="39"/>
      <c r="C129" s="27" t="s">
        <v>240</v>
      </c>
      <c r="D129" s="27">
        <v>0</v>
      </c>
      <c r="E129" s="27">
        <v>0</v>
      </c>
      <c r="F129" s="11"/>
      <c r="G129" s="11"/>
      <c r="H129" s="12"/>
      <c r="I129" s="27"/>
      <c r="J129" s="40"/>
      <c r="K129" s="27">
        <f t="shared" si="4"/>
        <v>0</v>
      </c>
    </row>
    <row r="130" s="2" customFormat="1" ht="21.75" customHeight="1" spans="1:11">
      <c r="A130" s="12" t="s">
        <v>230</v>
      </c>
      <c r="B130" s="12">
        <v>10.5</v>
      </c>
      <c r="C130" s="27" t="s">
        <v>231</v>
      </c>
      <c r="D130" s="27">
        <v>10</v>
      </c>
      <c r="E130" s="27">
        <v>10</v>
      </c>
      <c r="F130" s="11"/>
      <c r="G130" s="11"/>
      <c r="H130" s="27"/>
      <c r="I130" s="27"/>
      <c r="J130" s="40"/>
      <c r="K130" s="27">
        <f t="shared" si="4"/>
        <v>20</v>
      </c>
    </row>
    <row r="131" s="2" customFormat="1" ht="21.75" customHeight="1" spans="1:11">
      <c r="A131" s="12" t="s">
        <v>232</v>
      </c>
      <c r="B131" s="12">
        <v>12</v>
      </c>
      <c r="C131" s="12" t="s">
        <v>233</v>
      </c>
      <c r="D131" s="12">
        <v>12</v>
      </c>
      <c r="E131" s="12">
        <v>12</v>
      </c>
      <c r="F131" s="89"/>
      <c r="G131" s="89"/>
      <c r="H131" s="12"/>
      <c r="I131" s="12"/>
      <c r="J131" s="90"/>
      <c r="K131" s="27">
        <f t="shared" si="4"/>
        <v>24</v>
      </c>
    </row>
    <row r="132" s="2" customFormat="1" ht="21.75" customHeight="1" spans="1:11">
      <c r="A132" s="38"/>
      <c r="B132" s="41"/>
      <c r="C132" s="41"/>
      <c r="D132" s="41"/>
      <c r="E132" s="41"/>
      <c r="F132" s="41"/>
      <c r="G132" s="41"/>
      <c r="H132" s="41"/>
      <c r="I132" s="41"/>
      <c r="J132" s="40"/>
      <c r="K132" s="27">
        <f>SUM(K111:K131)</f>
        <v>269.5</v>
      </c>
    </row>
    <row r="136" s="2" customFormat="1" ht="21.75" customHeight="1" spans="1:11">
      <c r="A136" s="88" t="s">
        <v>315</v>
      </c>
      <c r="B136" s="88"/>
      <c r="C136" s="88"/>
      <c r="D136" s="88"/>
      <c r="E136" s="88"/>
      <c r="F136" s="88"/>
      <c r="G136" s="88"/>
      <c r="H136" s="88"/>
      <c r="I136" s="88"/>
      <c r="J136" s="88"/>
      <c r="K136" s="88"/>
    </row>
    <row r="137" s="169" customFormat="1" ht="22.5" customHeight="1" spans="1:11">
      <c r="A137" s="183" t="s">
        <v>322</v>
      </c>
      <c r="B137" s="172"/>
      <c r="C137" s="172"/>
      <c r="D137" s="171" t="s">
        <v>323</v>
      </c>
      <c r="E137" s="172"/>
      <c r="F137" s="172"/>
      <c r="G137" s="172"/>
      <c r="H137" s="172"/>
      <c r="I137" s="172"/>
      <c r="J137" s="172"/>
      <c r="K137" s="172"/>
    </row>
    <row r="138" s="169" customFormat="1" ht="22.5" customHeight="1" spans="1:11">
      <c r="A138" s="172" t="s">
        <v>324</v>
      </c>
      <c r="B138" s="172" t="s">
        <v>201</v>
      </c>
      <c r="C138" s="173" t="s">
        <v>325</v>
      </c>
      <c r="D138" s="174" t="s">
        <v>6</v>
      </c>
      <c r="E138" s="174" t="s">
        <v>6</v>
      </c>
      <c r="F138" s="172" t="s">
        <v>6</v>
      </c>
      <c r="G138" s="174" t="s">
        <v>6</v>
      </c>
      <c r="H138" s="174" t="s">
        <v>6</v>
      </c>
      <c r="I138" s="172" t="s">
        <v>6</v>
      </c>
      <c r="J138" s="172" t="s">
        <v>326</v>
      </c>
      <c r="K138" s="172" t="s">
        <v>327</v>
      </c>
    </row>
    <row r="139" s="169" customFormat="1" ht="22.5" customHeight="1" spans="1:11">
      <c r="A139" s="27" t="s">
        <v>205</v>
      </c>
      <c r="B139" s="27">
        <v>12</v>
      </c>
      <c r="C139" s="12" t="s">
        <v>328</v>
      </c>
      <c r="D139" s="12">
        <v>12</v>
      </c>
      <c r="E139" s="12">
        <v>12</v>
      </c>
      <c r="F139" s="12">
        <v>12</v>
      </c>
      <c r="G139" s="12">
        <v>12</v>
      </c>
      <c r="H139" s="12">
        <v>12</v>
      </c>
      <c r="I139" s="12">
        <v>10</v>
      </c>
      <c r="J139" s="12"/>
      <c r="K139" s="12">
        <f>SUM(D139:J139)</f>
        <v>70</v>
      </c>
    </row>
    <row r="140" s="169" customFormat="1" ht="22.5" customHeight="1" spans="1:11">
      <c r="A140" s="43" t="s">
        <v>207</v>
      </c>
      <c r="B140" s="12">
        <v>11.5</v>
      </c>
      <c r="C140" s="12" t="s">
        <v>329</v>
      </c>
      <c r="D140" s="12">
        <v>17</v>
      </c>
      <c r="E140" s="12">
        <v>17</v>
      </c>
      <c r="F140" s="12">
        <v>17</v>
      </c>
      <c r="G140" s="12">
        <v>17</v>
      </c>
      <c r="H140" s="12">
        <v>17</v>
      </c>
      <c r="I140" s="12">
        <v>15</v>
      </c>
      <c r="J140" s="12"/>
      <c r="K140" s="12">
        <f>SUM(D140:J140)</f>
        <v>100</v>
      </c>
    </row>
    <row r="141" s="169" customFormat="1" ht="22.5" customHeight="1" spans="1:11">
      <c r="A141" s="44"/>
      <c r="B141" s="39"/>
      <c r="C141" s="12" t="s">
        <v>210</v>
      </c>
      <c r="D141" s="12">
        <v>17</v>
      </c>
      <c r="E141" s="12">
        <v>17</v>
      </c>
      <c r="F141" s="12">
        <v>17</v>
      </c>
      <c r="G141" s="12">
        <v>17</v>
      </c>
      <c r="H141" s="12">
        <v>17</v>
      </c>
      <c r="I141" s="12">
        <v>15</v>
      </c>
      <c r="J141" s="12"/>
      <c r="K141" s="12">
        <f>SUM(D141:J141)</f>
        <v>100</v>
      </c>
    </row>
    <row r="142" s="169" customFormat="1" ht="22.5" customHeight="1" spans="1:11">
      <c r="A142" s="43" t="s">
        <v>211</v>
      </c>
      <c r="B142" s="12">
        <v>11.5</v>
      </c>
      <c r="C142" s="12" t="s">
        <v>330</v>
      </c>
      <c r="D142" s="12">
        <v>11.5</v>
      </c>
      <c r="E142" s="12">
        <v>11.5</v>
      </c>
      <c r="F142" s="12">
        <v>11.5</v>
      </c>
      <c r="G142" s="12">
        <v>11.5</v>
      </c>
      <c r="H142" s="12">
        <v>11.5</v>
      </c>
      <c r="I142" s="12">
        <v>11</v>
      </c>
      <c r="J142" s="12"/>
      <c r="K142" s="12">
        <f>SUM(E142:J142)</f>
        <v>57</v>
      </c>
    </row>
    <row r="143" s="169" customFormat="1" ht="22.5" customHeight="1" spans="1:11">
      <c r="A143" s="44"/>
      <c r="B143" s="39"/>
      <c r="C143" s="12" t="s">
        <v>213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/>
      <c r="K143" s="12">
        <f>SUM(E143:J143)</f>
        <v>0</v>
      </c>
    </row>
    <row r="144" s="169" customFormat="1" ht="22.5" customHeight="1" spans="1:11">
      <c r="A144" s="44"/>
      <c r="B144" s="39"/>
      <c r="C144" s="12" t="s">
        <v>214</v>
      </c>
      <c r="D144" s="12">
        <v>11.5</v>
      </c>
      <c r="E144" s="12">
        <v>11.5</v>
      </c>
      <c r="F144" s="12">
        <v>11.5</v>
      </c>
      <c r="G144" s="12">
        <v>11.5</v>
      </c>
      <c r="H144" s="12">
        <v>11.5</v>
      </c>
      <c r="I144" s="12">
        <v>11</v>
      </c>
      <c r="J144" s="12"/>
      <c r="K144" s="12">
        <f t="shared" ref="K144:K159" si="5">SUM(D144:J144)</f>
        <v>68.5</v>
      </c>
    </row>
    <row r="145" s="169" customFormat="1" ht="22.5" customHeight="1" spans="1:11">
      <c r="A145" s="44"/>
      <c r="B145" s="39"/>
      <c r="C145" s="12" t="s">
        <v>331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/>
      <c r="K145" s="12">
        <f t="shared" si="5"/>
        <v>0</v>
      </c>
    </row>
    <row r="146" s="169" customFormat="1" ht="22.5" customHeight="1" spans="1:11">
      <c r="A146" s="45"/>
      <c r="B146" s="46"/>
      <c r="C146" s="12" t="s">
        <v>215</v>
      </c>
      <c r="D146" s="12">
        <v>0</v>
      </c>
      <c r="E146" s="12">
        <v>20</v>
      </c>
      <c r="F146" s="12">
        <v>20</v>
      </c>
      <c r="G146" s="12">
        <v>20</v>
      </c>
      <c r="H146" s="12">
        <v>20</v>
      </c>
      <c r="I146" s="12">
        <v>0</v>
      </c>
      <c r="J146" s="12"/>
      <c r="K146" s="12">
        <f t="shared" si="5"/>
        <v>80</v>
      </c>
    </row>
    <row r="147" s="169" customFormat="1" ht="22.5" customHeight="1" spans="1:11">
      <c r="A147" s="27" t="s">
        <v>217</v>
      </c>
      <c r="B147" s="27">
        <v>10.5</v>
      </c>
      <c r="C147" s="12" t="s">
        <v>332</v>
      </c>
      <c r="D147" s="12">
        <v>0</v>
      </c>
      <c r="E147" s="12">
        <v>10</v>
      </c>
      <c r="F147" s="12">
        <v>10</v>
      </c>
      <c r="G147" s="12">
        <v>10</v>
      </c>
      <c r="H147" s="12">
        <v>10</v>
      </c>
      <c r="I147" s="12">
        <v>0</v>
      </c>
      <c r="J147" s="12"/>
      <c r="K147" s="12">
        <f t="shared" si="5"/>
        <v>40</v>
      </c>
    </row>
    <row r="148" s="169" customFormat="1" ht="22.5" customHeight="1" spans="1:11">
      <c r="A148" s="27"/>
      <c r="B148" s="27"/>
      <c r="C148" s="12" t="s">
        <v>333</v>
      </c>
      <c r="D148" s="12">
        <v>0</v>
      </c>
      <c r="E148" s="12">
        <v>10</v>
      </c>
      <c r="F148" s="12">
        <v>10</v>
      </c>
      <c r="G148" s="12">
        <v>10</v>
      </c>
      <c r="H148" s="12">
        <v>10</v>
      </c>
      <c r="I148" s="12">
        <v>20</v>
      </c>
      <c r="J148" s="12"/>
      <c r="K148" s="12">
        <f t="shared" si="5"/>
        <v>60</v>
      </c>
    </row>
    <row r="149" s="169" customFormat="1" ht="22.5" customHeight="1" spans="1:11">
      <c r="A149" s="27" t="s">
        <v>220</v>
      </c>
      <c r="B149" s="27">
        <v>11.5</v>
      </c>
      <c r="C149" s="12" t="s">
        <v>334</v>
      </c>
      <c r="D149" s="12">
        <v>39</v>
      </c>
      <c r="E149" s="12">
        <v>45</v>
      </c>
      <c r="F149" s="12">
        <v>45</v>
      </c>
      <c r="G149" s="12">
        <v>45</v>
      </c>
      <c r="H149" s="12">
        <v>45</v>
      </c>
      <c r="I149" s="12">
        <v>10</v>
      </c>
      <c r="J149" s="12"/>
      <c r="K149" s="12">
        <f t="shared" si="5"/>
        <v>229</v>
      </c>
    </row>
    <row r="150" s="169" customFormat="1" ht="22.5" customHeight="1" spans="1:11">
      <c r="A150" s="27"/>
      <c r="B150" s="27"/>
      <c r="C150" s="12" t="s">
        <v>222</v>
      </c>
      <c r="D150" s="12">
        <v>20</v>
      </c>
      <c r="E150" s="12">
        <v>20</v>
      </c>
      <c r="F150" s="12">
        <v>20</v>
      </c>
      <c r="G150" s="12">
        <v>20</v>
      </c>
      <c r="H150" s="12">
        <v>20</v>
      </c>
      <c r="I150" s="12">
        <v>20</v>
      </c>
      <c r="J150" s="12"/>
      <c r="K150" s="12">
        <f t="shared" si="5"/>
        <v>120</v>
      </c>
    </row>
    <row r="151" s="169" customFormat="1" ht="22.5" customHeight="1" spans="1:11">
      <c r="A151" s="27"/>
      <c r="B151" s="27"/>
      <c r="C151" s="12" t="s">
        <v>335</v>
      </c>
      <c r="D151" s="12">
        <v>10</v>
      </c>
      <c r="E151" s="12">
        <v>10</v>
      </c>
      <c r="F151" s="12">
        <v>10</v>
      </c>
      <c r="G151" s="12">
        <v>10</v>
      </c>
      <c r="H151" s="12">
        <v>10</v>
      </c>
      <c r="I151" s="12">
        <v>20</v>
      </c>
      <c r="J151" s="12"/>
      <c r="K151" s="12">
        <f t="shared" si="5"/>
        <v>70</v>
      </c>
    </row>
    <row r="152" s="169" customFormat="1" ht="22.5" customHeight="1" spans="1:11">
      <c r="A152" s="27"/>
      <c r="B152" s="27"/>
      <c r="C152" s="12" t="s">
        <v>224</v>
      </c>
      <c r="D152" s="12">
        <v>60</v>
      </c>
      <c r="E152" s="12">
        <v>66</v>
      </c>
      <c r="F152" s="12">
        <v>67</v>
      </c>
      <c r="G152" s="12">
        <v>67</v>
      </c>
      <c r="H152" s="12">
        <v>67</v>
      </c>
      <c r="I152" s="12">
        <v>30</v>
      </c>
      <c r="J152" s="12"/>
      <c r="K152" s="12">
        <f t="shared" si="5"/>
        <v>357</v>
      </c>
    </row>
    <row r="153" s="169" customFormat="1" ht="22.5" customHeight="1" spans="1:11">
      <c r="A153" s="39" t="s">
        <v>225</v>
      </c>
      <c r="B153" s="39">
        <v>10.5</v>
      </c>
      <c r="C153" s="12" t="s">
        <v>226</v>
      </c>
      <c r="D153" s="12">
        <v>22</v>
      </c>
      <c r="E153" s="12">
        <v>22</v>
      </c>
      <c r="F153" s="12">
        <v>22</v>
      </c>
      <c r="G153" s="12">
        <v>22</v>
      </c>
      <c r="H153" s="12">
        <v>22</v>
      </c>
      <c r="I153" s="12">
        <v>10</v>
      </c>
      <c r="J153" s="12"/>
      <c r="K153" s="12">
        <f t="shared" si="5"/>
        <v>120</v>
      </c>
    </row>
    <row r="154" s="169" customFormat="1" ht="22.5" customHeight="1" spans="1:11">
      <c r="A154" s="39"/>
      <c r="B154" s="39"/>
      <c r="C154" s="12" t="s">
        <v>336</v>
      </c>
      <c r="D154" s="12">
        <v>18</v>
      </c>
      <c r="E154" s="12">
        <v>18</v>
      </c>
      <c r="F154" s="12">
        <v>18</v>
      </c>
      <c r="G154" s="12">
        <v>18</v>
      </c>
      <c r="H154" s="12">
        <v>18</v>
      </c>
      <c r="I154" s="12">
        <v>20</v>
      </c>
      <c r="J154" s="12"/>
      <c r="K154" s="12">
        <f t="shared" si="5"/>
        <v>110</v>
      </c>
    </row>
    <row r="155" s="169" customFormat="1" ht="22.5" customHeight="1" spans="1:11">
      <c r="A155" s="39"/>
      <c r="B155" s="39"/>
      <c r="C155" s="12" t="s">
        <v>337</v>
      </c>
      <c r="D155" s="12">
        <v>10</v>
      </c>
      <c r="E155" s="12">
        <v>10</v>
      </c>
      <c r="F155" s="12">
        <v>10</v>
      </c>
      <c r="G155" s="12">
        <v>10</v>
      </c>
      <c r="H155" s="12">
        <v>10</v>
      </c>
      <c r="I155" s="12">
        <v>20</v>
      </c>
      <c r="J155" s="12"/>
      <c r="K155" s="12">
        <f t="shared" si="5"/>
        <v>70</v>
      </c>
    </row>
    <row r="156" s="169" customFormat="1" ht="22.5" customHeight="1" spans="1:11">
      <c r="A156" s="39"/>
      <c r="B156" s="39"/>
      <c r="C156" s="12" t="s">
        <v>229</v>
      </c>
      <c r="D156" s="12">
        <v>18</v>
      </c>
      <c r="E156" s="12">
        <v>18</v>
      </c>
      <c r="F156" s="12">
        <v>18</v>
      </c>
      <c r="G156" s="12">
        <v>18</v>
      </c>
      <c r="H156" s="12">
        <v>18</v>
      </c>
      <c r="I156" s="12">
        <v>5</v>
      </c>
      <c r="J156" s="12"/>
      <c r="K156" s="12">
        <f t="shared" si="5"/>
        <v>95</v>
      </c>
    </row>
    <row r="157" s="169" customFormat="1" ht="22.5" customHeight="1" spans="1:11">
      <c r="A157" s="39"/>
      <c r="B157" s="39"/>
      <c r="C157" s="12" t="s">
        <v>240</v>
      </c>
      <c r="D157" s="12">
        <v>10</v>
      </c>
      <c r="E157" s="12">
        <v>10</v>
      </c>
      <c r="F157" s="12">
        <v>10</v>
      </c>
      <c r="G157" s="12">
        <v>10</v>
      </c>
      <c r="H157" s="12">
        <v>10</v>
      </c>
      <c r="I157" s="12">
        <v>20</v>
      </c>
      <c r="J157" s="12"/>
      <c r="K157" s="12">
        <f t="shared" si="5"/>
        <v>70</v>
      </c>
    </row>
    <row r="158" s="169" customFormat="1" ht="22.5" customHeight="1" spans="1:11">
      <c r="A158" s="12" t="s">
        <v>230</v>
      </c>
      <c r="B158" s="12">
        <v>10.5</v>
      </c>
      <c r="C158" s="12" t="s">
        <v>338</v>
      </c>
      <c r="D158" s="12">
        <v>10.5</v>
      </c>
      <c r="E158" s="12">
        <v>10.5</v>
      </c>
      <c r="F158" s="12">
        <v>10.5</v>
      </c>
      <c r="G158" s="12">
        <v>10.5</v>
      </c>
      <c r="H158" s="12">
        <v>10.5</v>
      </c>
      <c r="I158" s="12">
        <v>10</v>
      </c>
      <c r="J158" s="12"/>
      <c r="K158" s="12">
        <f t="shared" si="5"/>
        <v>62.5</v>
      </c>
    </row>
    <row r="159" s="169" customFormat="1" ht="22.5" customHeight="1" spans="1:11">
      <c r="A159" s="27" t="s">
        <v>232</v>
      </c>
      <c r="B159" s="27">
        <v>12</v>
      </c>
      <c r="C159" s="27" t="s">
        <v>339</v>
      </c>
      <c r="D159" s="27">
        <v>12</v>
      </c>
      <c r="E159" s="27">
        <v>12</v>
      </c>
      <c r="F159" s="27">
        <v>12</v>
      </c>
      <c r="G159" s="27">
        <v>12</v>
      </c>
      <c r="H159" s="27">
        <v>12</v>
      </c>
      <c r="I159" s="27">
        <v>12</v>
      </c>
      <c r="J159" s="27"/>
      <c r="K159" s="179">
        <f>SUM(E159:J159)</f>
        <v>60</v>
      </c>
    </row>
    <row r="160" s="169" customFormat="1" ht="22.5" customHeight="1" spans="1:11">
      <c r="A160" s="180"/>
      <c r="B160" s="181"/>
      <c r="C160" s="181"/>
      <c r="D160" s="181"/>
      <c r="E160" s="181"/>
      <c r="F160" s="181"/>
      <c r="G160" s="181"/>
      <c r="H160" s="181"/>
      <c r="I160" s="181"/>
      <c r="J160" s="182"/>
      <c r="K160" s="179">
        <f>SUM(K139:K159)</f>
        <v>1939</v>
      </c>
    </row>
    <row r="164" s="2" customFormat="1" ht="21.75" customHeight="1" spans="1:11">
      <c r="A164" s="88" t="s">
        <v>315</v>
      </c>
      <c r="B164" s="88"/>
      <c r="C164" s="88"/>
      <c r="D164" s="88"/>
      <c r="E164" s="88"/>
      <c r="F164" s="88"/>
      <c r="G164" s="88"/>
      <c r="H164" s="88"/>
      <c r="I164" s="88"/>
      <c r="J164" s="88"/>
      <c r="K164" s="88"/>
    </row>
    <row r="165" s="169" customFormat="1" ht="22.5" customHeight="1" spans="1:11">
      <c r="A165" s="183" t="s">
        <v>322</v>
      </c>
      <c r="B165" s="172"/>
      <c r="C165" s="172"/>
      <c r="D165" s="171" t="s">
        <v>340</v>
      </c>
      <c r="E165" s="172"/>
      <c r="F165" s="172"/>
      <c r="G165" s="172"/>
      <c r="H165" s="172"/>
      <c r="I165" s="172"/>
      <c r="J165" s="172"/>
      <c r="K165" s="172"/>
    </row>
    <row r="166" s="169" customFormat="1" ht="22.5" customHeight="1" spans="1:11">
      <c r="A166" s="172" t="s">
        <v>324</v>
      </c>
      <c r="B166" s="172" t="s">
        <v>201</v>
      </c>
      <c r="C166" s="173" t="s">
        <v>325</v>
      </c>
      <c r="D166" s="174" t="s">
        <v>6</v>
      </c>
      <c r="E166" s="174" t="s">
        <v>6</v>
      </c>
      <c r="F166" s="172" t="s">
        <v>6</v>
      </c>
      <c r="G166" s="174" t="s">
        <v>6</v>
      </c>
      <c r="H166" s="174" t="s">
        <v>6</v>
      </c>
      <c r="I166" s="172" t="s">
        <v>6</v>
      </c>
      <c r="J166" s="172" t="s">
        <v>326</v>
      </c>
      <c r="K166" s="172" t="s">
        <v>327</v>
      </c>
    </row>
    <row r="167" s="169" customFormat="1" ht="22.5" customHeight="1" spans="1:11">
      <c r="A167" s="27" t="s">
        <v>205</v>
      </c>
      <c r="B167" s="27">
        <v>12</v>
      </c>
      <c r="C167" s="12" t="s">
        <v>328</v>
      </c>
      <c r="D167" s="12">
        <v>11.5</v>
      </c>
      <c r="E167" s="12">
        <v>10</v>
      </c>
      <c r="F167" s="175"/>
      <c r="G167" s="176"/>
      <c r="H167" s="176"/>
      <c r="I167" s="177"/>
      <c r="J167" s="172"/>
      <c r="K167" s="12">
        <f t="shared" ref="K167:K169" si="6">SUM(D167:J167)</f>
        <v>21.5</v>
      </c>
    </row>
    <row r="168" s="169" customFormat="1" ht="22.5" customHeight="1" spans="1:11">
      <c r="A168" s="43" t="s">
        <v>207</v>
      </c>
      <c r="B168" s="12">
        <v>11.5</v>
      </c>
      <c r="C168" s="12" t="s">
        <v>329</v>
      </c>
      <c r="D168" s="12">
        <v>17</v>
      </c>
      <c r="E168" s="12">
        <v>15</v>
      </c>
      <c r="F168" s="175"/>
      <c r="G168" s="176"/>
      <c r="H168" s="176"/>
      <c r="I168" s="177"/>
      <c r="J168" s="172"/>
      <c r="K168" s="12">
        <f t="shared" si="6"/>
        <v>32</v>
      </c>
    </row>
    <row r="169" s="169" customFormat="1" ht="22.5" customHeight="1" spans="1:11">
      <c r="A169" s="44"/>
      <c r="B169" s="39"/>
      <c r="C169" s="12" t="s">
        <v>210</v>
      </c>
      <c r="D169" s="12">
        <v>17</v>
      </c>
      <c r="E169" s="12">
        <v>15</v>
      </c>
      <c r="F169" s="175"/>
      <c r="G169" s="176"/>
      <c r="H169" s="176"/>
      <c r="I169" s="177"/>
      <c r="J169" s="172"/>
      <c r="K169" s="12">
        <f t="shared" si="6"/>
        <v>32</v>
      </c>
    </row>
    <row r="170" s="169" customFormat="1" ht="22.5" customHeight="1" spans="1:11">
      <c r="A170" s="43" t="s">
        <v>211</v>
      </c>
      <c r="B170" s="12">
        <v>11.5</v>
      </c>
      <c r="C170" s="12" t="s">
        <v>330</v>
      </c>
      <c r="D170" s="12">
        <v>11.5</v>
      </c>
      <c r="E170" s="12">
        <v>11</v>
      </c>
      <c r="F170" s="175"/>
      <c r="G170" s="176"/>
      <c r="H170" s="176"/>
      <c r="I170" s="177"/>
      <c r="J170" s="172"/>
      <c r="K170" s="12">
        <f>SUM(E170:J170)</f>
        <v>11</v>
      </c>
    </row>
    <row r="171" s="169" customFormat="1" ht="22.5" customHeight="1" spans="1:11">
      <c r="A171" s="44"/>
      <c r="B171" s="39"/>
      <c r="C171" s="12" t="s">
        <v>213</v>
      </c>
      <c r="D171" s="12">
        <v>11.5</v>
      </c>
      <c r="E171" s="12">
        <v>5</v>
      </c>
      <c r="F171" s="175"/>
      <c r="G171" s="176"/>
      <c r="H171" s="176"/>
      <c r="I171" s="177"/>
      <c r="J171" s="172"/>
      <c r="K171" s="12">
        <f>SUM(E171:J171)</f>
        <v>5</v>
      </c>
    </row>
    <row r="172" s="169" customFormat="1" ht="22.5" customHeight="1" spans="1:11">
      <c r="A172" s="44"/>
      <c r="B172" s="39"/>
      <c r="C172" s="12" t="s">
        <v>214</v>
      </c>
      <c r="D172" s="12">
        <v>11.5</v>
      </c>
      <c r="E172" s="12">
        <v>11</v>
      </c>
      <c r="F172" s="175"/>
      <c r="G172" s="176"/>
      <c r="H172" s="176"/>
      <c r="I172" s="177"/>
      <c r="J172" s="172"/>
      <c r="K172" s="12">
        <f t="shared" ref="K172:K186" si="7">SUM(D172:J172)</f>
        <v>22.5</v>
      </c>
    </row>
    <row r="173" s="169" customFormat="1" ht="22.5" customHeight="1" spans="1:11">
      <c r="A173" s="44"/>
      <c r="B173" s="39"/>
      <c r="C173" s="12" t="s">
        <v>331</v>
      </c>
      <c r="D173" s="12">
        <v>0</v>
      </c>
      <c r="E173" s="12">
        <v>5</v>
      </c>
      <c r="F173" s="175"/>
      <c r="G173" s="176"/>
      <c r="H173" s="176"/>
      <c r="I173" s="178"/>
      <c r="J173" s="172"/>
      <c r="K173" s="12">
        <f t="shared" si="7"/>
        <v>5</v>
      </c>
    </row>
    <row r="174" s="169" customFormat="1" ht="22.5" customHeight="1" spans="1:11">
      <c r="A174" s="45"/>
      <c r="B174" s="46"/>
      <c r="C174" s="12" t="s">
        <v>215</v>
      </c>
      <c r="D174" s="12">
        <v>11.5</v>
      </c>
      <c r="E174" s="12">
        <v>5</v>
      </c>
      <c r="F174" s="175"/>
      <c r="G174" s="176"/>
      <c r="H174" s="176"/>
      <c r="I174" s="178"/>
      <c r="J174" s="172"/>
      <c r="K174" s="12">
        <f t="shared" si="7"/>
        <v>16.5</v>
      </c>
    </row>
    <row r="175" s="169" customFormat="1" ht="22.5" customHeight="1" spans="1:11">
      <c r="A175" s="27" t="s">
        <v>217</v>
      </c>
      <c r="B175" s="27">
        <v>10.5</v>
      </c>
      <c r="C175" s="12" t="s">
        <v>332</v>
      </c>
      <c r="D175" s="12">
        <v>11.5</v>
      </c>
      <c r="E175" s="12">
        <v>5</v>
      </c>
      <c r="F175" s="175"/>
      <c r="G175" s="176"/>
      <c r="H175" s="176"/>
      <c r="I175" s="177"/>
      <c r="J175" s="172"/>
      <c r="K175" s="12">
        <f t="shared" si="7"/>
        <v>16.5</v>
      </c>
    </row>
    <row r="176" s="169" customFormat="1" ht="22.5" customHeight="1" spans="1:11">
      <c r="A176" s="27"/>
      <c r="B176" s="27"/>
      <c r="C176" s="12" t="s">
        <v>333</v>
      </c>
      <c r="D176" s="12">
        <v>11.5</v>
      </c>
      <c r="E176" s="12">
        <v>20</v>
      </c>
      <c r="F176" s="175"/>
      <c r="G176" s="176"/>
      <c r="H176" s="176"/>
      <c r="I176" s="177"/>
      <c r="J176" s="172"/>
      <c r="K176" s="12">
        <f t="shared" si="7"/>
        <v>31.5</v>
      </c>
    </row>
    <row r="177" s="169" customFormat="1" ht="22.5" customHeight="1" spans="1:11">
      <c r="A177" s="27" t="s">
        <v>220</v>
      </c>
      <c r="B177" s="27">
        <v>11.5</v>
      </c>
      <c r="C177" s="12" t="s">
        <v>334</v>
      </c>
      <c r="D177" s="12">
        <v>39</v>
      </c>
      <c r="E177" s="12">
        <v>10</v>
      </c>
      <c r="F177" s="175"/>
      <c r="G177" s="176"/>
      <c r="H177" s="176"/>
      <c r="I177" s="177"/>
      <c r="J177" s="172"/>
      <c r="K177" s="12">
        <f t="shared" si="7"/>
        <v>49</v>
      </c>
    </row>
    <row r="178" s="169" customFormat="1" ht="22.5" customHeight="1" spans="1:11">
      <c r="A178" s="27"/>
      <c r="B178" s="27"/>
      <c r="C178" s="12" t="s">
        <v>222</v>
      </c>
      <c r="D178" s="12">
        <v>19</v>
      </c>
      <c r="E178" s="12">
        <v>20</v>
      </c>
      <c r="F178" s="175"/>
      <c r="G178" s="176"/>
      <c r="H178" s="176"/>
      <c r="I178" s="177"/>
      <c r="J178" s="172"/>
      <c r="K178" s="12">
        <f t="shared" si="7"/>
        <v>39</v>
      </c>
    </row>
    <row r="179" s="169" customFormat="1" ht="22.5" customHeight="1" spans="1:11">
      <c r="A179" s="27"/>
      <c r="B179" s="27"/>
      <c r="C179" s="12" t="s">
        <v>335</v>
      </c>
      <c r="D179" s="12">
        <v>11.5</v>
      </c>
      <c r="E179" s="12">
        <v>20</v>
      </c>
      <c r="F179" s="175"/>
      <c r="G179" s="176"/>
      <c r="H179" s="176"/>
      <c r="I179" s="177"/>
      <c r="J179" s="172"/>
      <c r="K179" s="12">
        <f t="shared" si="7"/>
        <v>31.5</v>
      </c>
    </row>
    <row r="180" s="169" customFormat="1" ht="22.5" customHeight="1" spans="1:11">
      <c r="A180" s="27"/>
      <c r="B180" s="27"/>
      <c r="C180" s="12" t="s">
        <v>224</v>
      </c>
      <c r="D180" s="12">
        <v>60</v>
      </c>
      <c r="E180" s="12">
        <v>50</v>
      </c>
      <c r="F180" s="175"/>
      <c r="G180" s="176"/>
      <c r="H180" s="176"/>
      <c r="I180" s="177"/>
      <c r="J180" s="172"/>
      <c r="K180" s="12">
        <f t="shared" si="7"/>
        <v>110</v>
      </c>
    </row>
    <row r="181" s="169" customFormat="1" ht="22.5" customHeight="1" spans="1:11">
      <c r="A181" s="39" t="s">
        <v>225</v>
      </c>
      <c r="B181" s="39">
        <v>10.5</v>
      </c>
      <c r="C181" s="12" t="s">
        <v>226</v>
      </c>
      <c r="D181" s="12">
        <v>22</v>
      </c>
      <c r="E181" s="12">
        <v>10</v>
      </c>
      <c r="F181" s="175"/>
      <c r="G181" s="176"/>
      <c r="H181" s="176"/>
      <c r="I181" s="177"/>
      <c r="J181" s="172"/>
      <c r="K181" s="12">
        <f t="shared" si="7"/>
        <v>32</v>
      </c>
    </row>
    <row r="182" s="169" customFormat="1" ht="22.5" customHeight="1" spans="1:11">
      <c r="A182" s="39"/>
      <c r="B182" s="39"/>
      <c r="C182" s="12" t="s">
        <v>336</v>
      </c>
      <c r="D182" s="12">
        <v>18</v>
      </c>
      <c r="E182" s="12">
        <v>20</v>
      </c>
      <c r="F182" s="175"/>
      <c r="G182" s="176"/>
      <c r="H182" s="176"/>
      <c r="I182" s="177"/>
      <c r="J182" s="172"/>
      <c r="K182" s="12">
        <f t="shared" si="7"/>
        <v>38</v>
      </c>
    </row>
    <row r="183" s="169" customFormat="1" ht="22.5" customHeight="1" spans="1:11">
      <c r="A183" s="39"/>
      <c r="B183" s="39"/>
      <c r="C183" s="12" t="s">
        <v>337</v>
      </c>
      <c r="D183" s="12">
        <v>10.5</v>
      </c>
      <c r="E183" s="12">
        <v>20</v>
      </c>
      <c r="F183" s="175"/>
      <c r="G183" s="176"/>
      <c r="H183" s="176"/>
      <c r="I183" s="177"/>
      <c r="J183" s="172"/>
      <c r="K183" s="12">
        <f t="shared" si="7"/>
        <v>30.5</v>
      </c>
    </row>
    <row r="184" s="169" customFormat="1" ht="22.5" customHeight="1" spans="1:11">
      <c r="A184" s="39"/>
      <c r="B184" s="39"/>
      <c r="C184" s="12" t="s">
        <v>229</v>
      </c>
      <c r="D184" s="12">
        <v>18</v>
      </c>
      <c r="E184" s="12">
        <v>5</v>
      </c>
      <c r="F184" s="175"/>
      <c r="G184" s="176"/>
      <c r="H184" s="176"/>
      <c r="I184" s="177"/>
      <c r="J184" s="177"/>
      <c r="K184" s="12">
        <f t="shared" si="7"/>
        <v>23</v>
      </c>
    </row>
    <row r="185" s="169" customFormat="1" ht="22.5" customHeight="1" spans="1:11">
      <c r="A185" s="39"/>
      <c r="B185" s="39"/>
      <c r="C185" s="12" t="s">
        <v>240</v>
      </c>
      <c r="D185" s="12">
        <v>10.5</v>
      </c>
      <c r="E185" s="12">
        <v>20</v>
      </c>
      <c r="F185" s="175"/>
      <c r="G185" s="176"/>
      <c r="H185" s="176"/>
      <c r="I185" s="177"/>
      <c r="J185" s="177"/>
      <c r="K185" s="12">
        <f t="shared" si="7"/>
        <v>30.5</v>
      </c>
    </row>
    <row r="186" s="169" customFormat="1" ht="22.5" customHeight="1" spans="1:11">
      <c r="A186" s="12" t="s">
        <v>230</v>
      </c>
      <c r="B186" s="12">
        <v>10.5</v>
      </c>
      <c r="C186" s="12" t="s">
        <v>338</v>
      </c>
      <c r="D186" s="12">
        <v>10.5</v>
      </c>
      <c r="E186" s="12">
        <v>10</v>
      </c>
      <c r="F186" s="175"/>
      <c r="G186" s="176"/>
      <c r="H186" s="176"/>
      <c r="I186" s="177"/>
      <c r="J186" s="177"/>
      <c r="K186" s="12">
        <f t="shared" si="7"/>
        <v>20.5</v>
      </c>
    </row>
    <row r="187" s="169" customFormat="1" ht="22.5" customHeight="1" spans="1:11">
      <c r="A187" s="27" t="s">
        <v>232</v>
      </c>
      <c r="B187" s="27">
        <v>12</v>
      </c>
      <c r="C187" s="27" t="s">
        <v>339</v>
      </c>
      <c r="D187" s="27">
        <v>12</v>
      </c>
      <c r="E187" s="27">
        <v>12</v>
      </c>
      <c r="F187" s="172"/>
      <c r="G187" s="176"/>
      <c r="H187" s="176"/>
      <c r="I187" s="172"/>
      <c r="J187" s="172"/>
      <c r="K187" s="179">
        <f>SUM(E187:J187)</f>
        <v>12</v>
      </c>
    </row>
    <row r="188" s="169" customFormat="1" ht="22.5" customHeight="1" spans="1:11">
      <c r="A188" s="180"/>
      <c r="B188" s="181"/>
      <c r="C188" s="181"/>
      <c r="D188" s="181"/>
      <c r="E188" s="181"/>
      <c r="F188" s="181"/>
      <c r="G188" s="181"/>
      <c r="H188" s="181"/>
      <c r="I188" s="181"/>
      <c r="J188" s="182"/>
      <c r="K188" s="179">
        <f>SUM(K167:K187)</f>
        <v>609.5</v>
      </c>
    </row>
    <row r="191" ht="26" customHeight="1" spans="1:11">
      <c r="A191" s="42" t="s">
        <v>315</v>
      </c>
      <c r="B191" s="42"/>
      <c r="C191" s="42"/>
      <c r="D191" s="42"/>
      <c r="E191" s="42"/>
      <c r="F191" s="42"/>
      <c r="G191" s="42"/>
      <c r="H191" s="42"/>
      <c r="I191" s="42"/>
      <c r="J191" s="42"/>
      <c r="K191" s="42"/>
    </row>
    <row r="192" ht="26" customHeight="1" spans="1:11">
      <c r="A192" s="70" t="s">
        <v>257</v>
      </c>
      <c r="B192" s="27"/>
      <c r="C192" s="27"/>
      <c r="D192" s="37" t="s">
        <v>341</v>
      </c>
      <c r="E192" s="36"/>
      <c r="F192" s="36"/>
      <c r="G192" s="36"/>
      <c r="H192" s="36"/>
      <c r="I192" s="36"/>
      <c r="J192" s="36"/>
      <c r="K192" s="36"/>
    </row>
    <row r="193" ht="26" customHeight="1" spans="1:11">
      <c r="A193" s="27" t="s">
        <v>200</v>
      </c>
      <c r="B193" s="27" t="s">
        <v>201</v>
      </c>
      <c r="C193" s="38" t="s">
        <v>202</v>
      </c>
      <c r="D193" s="12" t="s">
        <v>6</v>
      </c>
      <c r="E193" s="12" t="s">
        <v>6</v>
      </c>
      <c r="F193" s="27" t="s">
        <v>6</v>
      </c>
      <c r="G193" s="27" t="s">
        <v>6</v>
      </c>
      <c r="H193" s="27" t="s">
        <v>6</v>
      </c>
      <c r="I193" s="27" t="s">
        <v>6</v>
      </c>
      <c r="J193" s="27" t="s">
        <v>203</v>
      </c>
      <c r="K193" s="27" t="s">
        <v>204</v>
      </c>
    </row>
    <row r="194" ht="26" customHeight="1" spans="1:11">
      <c r="A194" s="27" t="s">
        <v>205</v>
      </c>
      <c r="B194" s="27">
        <v>12</v>
      </c>
      <c r="C194" s="38" t="s">
        <v>206</v>
      </c>
      <c r="D194" s="12">
        <v>12</v>
      </c>
      <c r="E194" s="12">
        <v>12</v>
      </c>
      <c r="F194" s="12">
        <v>20</v>
      </c>
      <c r="G194" s="12"/>
      <c r="H194" s="12"/>
      <c r="I194" s="12"/>
      <c r="J194" s="12"/>
      <c r="K194" s="27">
        <f t="shared" ref="K194:K214" si="8">SUM(D194:J194)</f>
        <v>44</v>
      </c>
    </row>
    <row r="195" ht="26" customHeight="1" spans="1:11">
      <c r="A195" s="21" t="s">
        <v>207</v>
      </c>
      <c r="B195" s="27">
        <v>11.5</v>
      </c>
      <c r="C195" s="38" t="s">
        <v>208</v>
      </c>
      <c r="D195" s="12">
        <v>17.5</v>
      </c>
      <c r="E195" s="12">
        <v>17.5</v>
      </c>
      <c r="F195" s="12">
        <v>30</v>
      </c>
      <c r="G195" s="12"/>
      <c r="H195" s="12"/>
      <c r="I195" s="12"/>
      <c r="J195" s="12"/>
      <c r="K195" s="27">
        <f t="shared" si="8"/>
        <v>65</v>
      </c>
    </row>
    <row r="196" ht="26" customHeight="1" spans="1:11">
      <c r="A196" s="21"/>
      <c r="B196" s="27"/>
      <c r="C196" s="38" t="s">
        <v>210</v>
      </c>
      <c r="D196" s="12">
        <v>17.5</v>
      </c>
      <c r="E196" s="12">
        <v>17.5</v>
      </c>
      <c r="F196" s="12">
        <v>30</v>
      </c>
      <c r="G196" s="12"/>
      <c r="H196" s="12"/>
      <c r="I196" s="12"/>
      <c r="J196" s="12"/>
      <c r="K196" s="27">
        <f t="shared" si="8"/>
        <v>65</v>
      </c>
    </row>
    <row r="197" ht="26" customHeight="1" spans="1:11">
      <c r="A197" s="16" t="s">
        <v>237</v>
      </c>
      <c r="B197" s="13">
        <v>11.5</v>
      </c>
      <c r="C197" s="17" t="s">
        <v>212</v>
      </c>
      <c r="D197" s="27">
        <v>10</v>
      </c>
      <c r="E197" s="27">
        <v>10</v>
      </c>
      <c r="F197" s="12">
        <v>22</v>
      </c>
      <c r="G197" s="27"/>
      <c r="H197" s="27"/>
      <c r="I197" s="27"/>
      <c r="J197" s="12"/>
      <c r="K197" s="27">
        <f t="shared" si="8"/>
        <v>42</v>
      </c>
    </row>
    <row r="198" ht="26" customHeight="1" spans="1:11">
      <c r="A198" s="18"/>
      <c r="B198" s="13"/>
      <c r="C198" s="1" t="s">
        <v>215</v>
      </c>
      <c r="D198" s="27">
        <v>11.5</v>
      </c>
      <c r="E198" s="27">
        <v>11.5</v>
      </c>
      <c r="F198" s="12">
        <v>0</v>
      </c>
      <c r="G198" s="12"/>
      <c r="H198" s="12"/>
      <c r="I198" s="12"/>
      <c r="J198" s="12"/>
      <c r="K198" s="27">
        <f t="shared" si="8"/>
        <v>23</v>
      </c>
    </row>
    <row r="199" ht="26" customHeight="1" spans="1:11">
      <c r="A199" s="19" t="s">
        <v>238</v>
      </c>
      <c r="B199" s="13"/>
      <c r="C199" s="17" t="s">
        <v>213</v>
      </c>
      <c r="D199" s="27">
        <v>10</v>
      </c>
      <c r="E199" s="27">
        <v>10</v>
      </c>
      <c r="F199" s="12">
        <v>22</v>
      </c>
      <c r="G199" s="27"/>
      <c r="H199" s="27"/>
      <c r="I199" s="27"/>
      <c r="J199" s="12"/>
      <c r="K199" s="27">
        <f t="shared" si="8"/>
        <v>42</v>
      </c>
    </row>
    <row r="200" ht="26" customHeight="1" spans="1:11">
      <c r="A200" s="20"/>
      <c r="B200" s="13"/>
      <c r="C200" s="17" t="s">
        <v>216</v>
      </c>
      <c r="D200" s="27">
        <v>10</v>
      </c>
      <c r="E200" s="27">
        <v>10</v>
      </c>
      <c r="F200" s="12">
        <v>0</v>
      </c>
      <c r="G200" s="27"/>
      <c r="H200" s="27"/>
      <c r="I200" s="27"/>
      <c r="J200" s="12"/>
      <c r="K200" s="27">
        <f t="shared" si="8"/>
        <v>20</v>
      </c>
    </row>
    <row r="201" ht="26" customHeight="1" spans="1:11">
      <c r="A201" s="21" t="s">
        <v>239</v>
      </c>
      <c r="B201" s="13"/>
      <c r="C201" s="13" t="s">
        <v>214</v>
      </c>
      <c r="D201" s="27">
        <v>11.5</v>
      </c>
      <c r="E201" s="27">
        <v>11.5</v>
      </c>
      <c r="F201" s="12">
        <v>0</v>
      </c>
      <c r="G201" s="12"/>
      <c r="H201" s="12"/>
      <c r="I201" s="12"/>
      <c r="J201" s="12"/>
      <c r="K201" s="27">
        <f t="shared" si="8"/>
        <v>23</v>
      </c>
    </row>
    <row r="202" ht="26" customHeight="1" spans="1:11">
      <c r="A202" s="27" t="s">
        <v>217</v>
      </c>
      <c r="B202" s="27">
        <v>10.5</v>
      </c>
      <c r="C202" s="27" t="s">
        <v>218</v>
      </c>
      <c r="D202" s="27">
        <v>10</v>
      </c>
      <c r="E202" s="27">
        <v>10</v>
      </c>
      <c r="F202" s="12">
        <v>0</v>
      </c>
      <c r="G202" s="27"/>
      <c r="H202" s="27"/>
      <c r="I202" s="27"/>
      <c r="J202" s="12"/>
      <c r="K202" s="27">
        <f t="shared" si="8"/>
        <v>20</v>
      </c>
    </row>
    <row r="203" ht="26" customHeight="1" spans="1:11">
      <c r="A203" s="27"/>
      <c r="B203" s="27"/>
      <c r="C203" s="27" t="s">
        <v>219</v>
      </c>
      <c r="D203" s="27">
        <v>10</v>
      </c>
      <c r="E203" s="27">
        <v>10</v>
      </c>
      <c r="F203" s="12">
        <v>0</v>
      </c>
      <c r="G203" s="27"/>
      <c r="H203" s="27"/>
      <c r="I203" s="27"/>
      <c r="J203" s="12"/>
      <c r="K203" s="27">
        <f t="shared" si="8"/>
        <v>20</v>
      </c>
    </row>
    <row r="204" ht="26" customHeight="1" spans="1:11">
      <c r="A204" s="27" t="s">
        <v>220</v>
      </c>
      <c r="B204" s="27">
        <v>11.5</v>
      </c>
      <c r="C204" s="38" t="s">
        <v>221</v>
      </c>
      <c r="D204" s="12">
        <v>29</v>
      </c>
      <c r="E204" s="12">
        <v>10</v>
      </c>
      <c r="F204" s="12">
        <v>10</v>
      </c>
      <c r="G204" s="12"/>
      <c r="H204" s="12"/>
      <c r="I204" s="12"/>
      <c r="J204" s="12"/>
      <c r="K204" s="27">
        <f t="shared" si="8"/>
        <v>49</v>
      </c>
    </row>
    <row r="205" ht="26" customHeight="1" spans="1:11">
      <c r="A205" s="27"/>
      <c r="B205" s="27"/>
      <c r="C205" s="38" t="s">
        <v>222</v>
      </c>
      <c r="D205" s="12">
        <v>9</v>
      </c>
      <c r="E205" s="12">
        <v>10</v>
      </c>
      <c r="F205" s="12">
        <v>10</v>
      </c>
      <c r="G205" s="12"/>
      <c r="H205" s="12"/>
      <c r="I205" s="12"/>
      <c r="J205" s="12"/>
      <c r="K205" s="27">
        <f t="shared" si="8"/>
        <v>29</v>
      </c>
    </row>
    <row r="206" ht="26" customHeight="1" spans="1:11">
      <c r="A206" s="27"/>
      <c r="B206" s="27"/>
      <c r="C206" s="38" t="s">
        <v>223</v>
      </c>
      <c r="D206" s="12">
        <v>0</v>
      </c>
      <c r="E206" s="12">
        <v>0</v>
      </c>
      <c r="F206" s="12">
        <v>0</v>
      </c>
      <c r="G206" s="12"/>
      <c r="H206" s="12"/>
      <c r="I206" s="12"/>
      <c r="J206" s="12"/>
      <c r="K206" s="27">
        <f t="shared" si="8"/>
        <v>0</v>
      </c>
    </row>
    <row r="207" ht="26" customHeight="1" spans="1:11">
      <c r="A207" s="27"/>
      <c r="B207" s="27"/>
      <c r="C207" s="38" t="s">
        <v>224</v>
      </c>
      <c r="D207" s="12">
        <v>10</v>
      </c>
      <c r="E207" s="12">
        <v>10</v>
      </c>
      <c r="F207" s="12">
        <v>0</v>
      </c>
      <c r="G207" s="12"/>
      <c r="H207" s="12"/>
      <c r="I207" s="12"/>
      <c r="J207" s="12"/>
      <c r="K207" s="27">
        <f t="shared" si="8"/>
        <v>20</v>
      </c>
    </row>
    <row r="208" ht="26" customHeight="1" spans="1:11">
      <c r="A208" s="39" t="s">
        <v>225</v>
      </c>
      <c r="B208" s="39">
        <v>10.5</v>
      </c>
      <c r="C208" s="27" t="s">
        <v>226</v>
      </c>
      <c r="D208" s="12">
        <v>12</v>
      </c>
      <c r="E208" s="12">
        <v>12</v>
      </c>
      <c r="F208" s="12">
        <v>20</v>
      </c>
      <c r="G208" s="12"/>
      <c r="H208" s="12"/>
      <c r="I208" s="12"/>
      <c r="J208" s="12"/>
      <c r="K208" s="27">
        <f t="shared" si="8"/>
        <v>44</v>
      </c>
    </row>
    <row r="209" ht="26" customHeight="1" spans="1:11">
      <c r="A209" s="39"/>
      <c r="B209" s="39"/>
      <c r="C209" s="27" t="s">
        <v>228</v>
      </c>
      <c r="D209" s="12">
        <v>10</v>
      </c>
      <c r="E209" s="12">
        <v>10</v>
      </c>
      <c r="F209" s="12">
        <v>0</v>
      </c>
      <c r="G209" s="12"/>
      <c r="H209" s="12"/>
      <c r="I209" s="12"/>
      <c r="J209" s="12"/>
      <c r="K209" s="27">
        <f t="shared" si="8"/>
        <v>20</v>
      </c>
    </row>
    <row r="210" ht="26" customHeight="1" spans="1:11">
      <c r="A210" s="39"/>
      <c r="B210" s="39"/>
      <c r="C210" s="27" t="s">
        <v>289</v>
      </c>
      <c r="D210" s="12">
        <v>5</v>
      </c>
      <c r="E210" s="12">
        <v>5</v>
      </c>
      <c r="F210" s="12">
        <v>0</v>
      </c>
      <c r="G210" s="12"/>
      <c r="H210" s="12"/>
      <c r="I210" s="12"/>
      <c r="J210" s="12"/>
      <c r="K210" s="27">
        <f t="shared" si="8"/>
        <v>10</v>
      </c>
    </row>
    <row r="211" ht="26" customHeight="1" spans="1:11">
      <c r="A211" s="39"/>
      <c r="B211" s="39"/>
      <c r="C211" s="27" t="s">
        <v>229</v>
      </c>
      <c r="D211" s="12">
        <v>6</v>
      </c>
      <c r="E211" s="12">
        <v>6</v>
      </c>
      <c r="F211" s="12">
        <v>10</v>
      </c>
      <c r="G211" s="12"/>
      <c r="H211" s="12"/>
      <c r="I211" s="12"/>
      <c r="J211" s="12"/>
      <c r="K211" s="27">
        <f t="shared" si="8"/>
        <v>22</v>
      </c>
    </row>
    <row r="212" ht="26" customHeight="1" spans="1:11">
      <c r="A212" s="39"/>
      <c r="B212" s="39"/>
      <c r="C212" s="27" t="s">
        <v>240</v>
      </c>
      <c r="D212" s="12">
        <v>6</v>
      </c>
      <c r="E212" s="12">
        <v>6</v>
      </c>
      <c r="F212" s="12">
        <v>10</v>
      </c>
      <c r="G212" s="12"/>
      <c r="H212" s="12"/>
      <c r="I212" s="12"/>
      <c r="J212" s="12"/>
      <c r="K212" s="27">
        <f t="shared" si="8"/>
        <v>22</v>
      </c>
    </row>
    <row r="213" ht="26" customHeight="1" spans="1:11">
      <c r="A213" s="12" t="s">
        <v>230</v>
      </c>
      <c r="B213" s="12">
        <v>10.5</v>
      </c>
      <c r="C213" s="27" t="s">
        <v>231</v>
      </c>
      <c r="D213" s="27">
        <v>10.5</v>
      </c>
      <c r="E213" s="27">
        <v>10.5</v>
      </c>
      <c r="F213" s="27">
        <v>20</v>
      </c>
      <c r="G213" s="12"/>
      <c r="H213" s="12"/>
      <c r="I213" s="12"/>
      <c r="J213" s="27"/>
      <c r="K213" s="27">
        <f t="shared" si="8"/>
        <v>41</v>
      </c>
    </row>
    <row r="214" ht="26" customHeight="1" spans="1:11">
      <c r="A214" s="27" t="s">
        <v>232</v>
      </c>
      <c r="B214" s="27">
        <v>12</v>
      </c>
      <c r="C214" s="27" t="s">
        <v>233</v>
      </c>
      <c r="D214" s="27">
        <v>12</v>
      </c>
      <c r="E214" s="27">
        <v>12</v>
      </c>
      <c r="F214" s="27">
        <v>20</v>
      </c>
      <c r="G214" s="27"/>
      <c r="H214" s="27"/>
      <c r="I214" s="27"/>
      <c r="J214" s="27"/>
      <c r="K214" s="27">
        <f t="shared" si="8"/>
        <v>44</v>
      </c>
    </row>
    <row r="215" ht="26" customHeight="1" spans="1:11">
      <c r="A215" s="38"/>
      <c r="B215" s="41"/>
      <c r="C215" s="41"/>
      <c r="D215" s="41"/>
      <c r="E215" s="41"/>
      <c r="F215" s="41"/>
      <c r="G215" s="41"/>
      <c r="H215" s="41"/>
      <c r="I215" s="41"/>
      <c r="J215" s="40"/>
      <c r="K215" s="27">
        <f>SUM(K194:K214)</f>
        <v>665</v>
      </c>
    </row>
  </sheetData>
  <mergeCells count="114">
    <mergeCell ref="A1:K1"/>
    <mergeCell ref="A2:C2"/>
    <mergeCell ref="D2:K2"/>
    <mergeCell ref="A25:J25"/>
    <mergeCell ref="A27:K27"/>
    <mergeCell ref="A28:C28"/>
    <mergeCell ref="D28:K28"/>
    <mergeCell ref="A51:J51"/>
    <mergeCell ref="A54:K54"/>
    <mergeCell ref="A55:C55"/>
    <mergeCell ref="D55:K55"/>
    <mergeCell ref="A78:J78"/>
    <mergeCell ref="A81:K81"/>
    <mergeCell ref="A82:C82"/>
    <mergeCell ref="D82:K82"/>
    <mergeCell ref="A105:J105"/>
    <mergeCell ref="A108:K108"/>
    <mergeCell ref="A109:C109"/>
    <mergeCell ref="D109:K109"/>
    <mergeCell ref="A136:K136"/>
    <mergeCell ref="A137:C137"/>
    <mergeCell ref="D137:K137"/>
    <mergeCell ref="A160:J160"/>
    <mergeCell ref="A164:K164"/>
    <mergeCell ref="A165:C165"/>
    <mergeCell ref="D165:K165"/>
    <mergeCell ref="A188:J188"/>
    <mergeCell ref="A191:K191"/>
    <mergeCell ref="A192:C192"/>
    <mergeCell ref="D192:K192"/>
    <mergeCell ref="A5:A6"/>
    <mergeCell ref="A7:A8"/>
    <mergeCell ref="A9:A10"/>
    <mergeCell ref="A12:A13"/>
    <mergeCell ref="A14:A17"/>
    <mergeCell ref="A18:A20"/>
    <mergeCell ref="A31:A32"/>
    <mergeCell ref="A33:A34"/>
    <mergeCell ref="A35:A36"/>
    <mergeCell ref="A38:A39"/>
    <mergeCell ref="A40:A43"/>
    <mergeCell ref="A44:A48"/>
    <mergeCell ref="A58:A59"/>
    <mergeCell ref="A60:A61"/>
    <mergeCell ref="A62:A63"/>
    <mergeCell ref="A65:A66"/>
    <mergeCell ref="A67:A70"/>
    <mergeCell ref="A71:A75"/>
    <mergeCell ref="A85:A86"/>
    <mergeCell ref="A87:A91"/>
    <mergeCell ref="A92:A93"/>
    <mergeCell ref="A94:A97"/>
    <mergeCell ref="A98:A102"/>
    <mergeCell ref="A112:A113"/>
    <mergeCell ref="A114:A118"/>
    <mergeCell ref="A119:A120"/>
    <mergeCell ref="A121:A124"/>
    <mergeCell ref="A125:A129"/>
    <mergeCell ref="A140:A141"/>
    <mergeCell ref="A142:A146"/>
    <mergeCell ref="A147:A148"/>
    <mergeCell ref="A149:A152"/>
    <mergeCell ref="A153:A157"/>
    <mergeCell ref="A168:A169"/>
    <mergeCell ref="A170:A174"/>
    <mergeCell ref="A175:A176"/>
    <mergeCell ref="A177:A180"/>
    <mergeCell ref="A181:A185"/>
    <mergeCell ref="A195:A196"/>
    <mergeCell ref="A197:A198"/>
    <mergeCell ref="A199:A200"/>
    <mergeCell ref="A202:A203"/>
    <mergeCell ref="A204:A207"/>
    <mergeCell ref="A208:A212"/>
    <mergeCell ref="B5:B6"/>
    <mergeCell ref="B7:B11"/>
    <mergeCell ref="B12:B13"/>
    <mergeCell ref="B14:B17"/>
    <mergeCell ref="B18:B20"/>
    <mergeCell ref="B31:B32"/>
    <mergeCell ref="B33:B37"/>
    <mergeCell ref="B38:B39"/>
    <mergeCell ref="B40:B43"/>
    <mergeCell ref="B44:B48"/>
    <mergeCell ref="B58:B59"/>
    <mergeCell ref="B60:B64"/>
    <mergeCell ref="B65:B66"/>
    <mergeCell ref="B67:B70"/>
    <mergeCell ref="B71:B75"/>
    <mergeCell ref="B85:B86"/>
    <mergeCell ref="B87:B91"/>
    <mergeCell ref="B92:B93"/>
    <mergeCell ref="B94:B97"/>
    <mergeCell ref="B98:B102"/>
    <mergeCell ref="B112:B113"/>
    <mergeCell ref="B114:B118"/>
    <mergeCell ref="B119:B120"/>
    <mergeCell ref="B121:B124"/>
    <mergeCell ref="B125:B129"/>
    <mergeCell ref="B140:B141"/>
    <mergeCell ref="B142:B146"/>
    <mergeCell ref="B147:B148"/>
    <mergeCell ref="B149:B152"/>
    <mergeCell ref="B153:B157"/>
    <mergeCell ref="B168:B169"/>
    <mergeCell ref="B170:B174"/>
    <mergeCell ref="B175:B176"/>
    <mergeCell ref="B177:B180"/>
    <mergeCell ref="B181:B185"/>
    <mergeCell ref="B195:B196"/>
    <mergeCell ref="B197:B201"/>
    <mergeCell ref="B202:B203"/>
    <mergeCell ref="B204:B207"/>
    <mergeCell ref="B208:B2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3"/>
  <sheetViews>
    <sheetView topLeftCell="A134" workbookViewId="0">
      <selection activeCell="A136" sqref="$A136:$XFD160"/>
    </sheetView>
  </sheetViews>
  <sheetFormatPr defaultColWidth="9" defaultRowHeight="13.5"/>
  <sheetData>
    <row r="1" s="2" customFormat="1" ht="21.75" customHeight="1" spans="1:11">
      <c r="A1" s="88" t="s">
        <v>342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="169" customFormat="1" ht="22.5" customHeight="1" spans="1:11">
      <c r="A2" s="183" t="s">
        <v>322</v>
      </c>
      <c r="B2" s="172"/>
      <c r="C2" s="172"/>
      <c r="D2" s="171" t="s">
        <v>343</v>
      </c>
      <c r="E2" s="172"/>
      <c r="F2" s="172"/>
      <c r="G2" s="172"/>
      <c r="H2" s="172"/>
      <c r="I2" s="172"/>
      <c r="J2" s="172"/>
      <c r="K2" s="172"/>
    </row>
    <row r="3" s="169" customFormat="1" ht="22.5" customHeight="1" spans="1:11">
      <c r="A3" s="172" t="s">
        <v>324</v>
      </c>
      <c r="B3" s="172" t="s">
        <v>201</v>
      </c>
      <c r="C3" s="173" t="s">
        <v>325</v>
      </c>
      <c r="D3" s="174" t="s">
        <v>6</v>
      </c>
      <c r="E3" s="174" t="s">
        <v>6</v>
      </c>
      <c r="F3" s="172" t="s">
        <v>6</v>
      </c>
      <c r="G3" s="174" t="s">
        <v>6</v>
      </c>
      <c r="H3" s="174" t="s">
        <v>6</v>
      </c>
      <c r="I3" s="172" t="s">
        <v>6</v>
      </c>
      <c r="J3" s="172" t="s">
        <v>326</v>
      </c>
      <c r="K3" s="172" t="s">
        <v>327</v>
      </c>
    </row>
    <row r="4" s="169" customFormat="1" ht="22.5" customHeight="1" spans="1:11">
      <c r="A4" s="27" t="s">
        <v>205</v>
      </c>
      <c r="B4" s="27">
        <v>12</v>
      </c>
      <c r="C4" s="12" t="s">
        <v>328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10</v>
      </c>
      <c r="K4" s="12">
        <f t="shared" ref="K4:K6" si="0">SUM(D4:J4)</f>
        <v>82</v>
      </c>
    </row>
    <row r="5" s="169" customFormat="1" ht="22.5" customHeight="1" spans="1:11">
      <c r="A5" s="43" t="s">
        <v>207</v>
      </c>
      <c r="B5" s="12">
        <v>11.5</v>
      </c>
      <c r="C5" s="12" t="s">
        <v>329</v>
      </c>
      <c r="D5" s="12">
        <v>17</v>
      </c>
      <c r="E5" s="12">
        <v>17</v>
      </c>
      <c r="F5" s="12">
        <v>17</v>
      </c>
      <c r="G5" s="12">
        <v>17</v>
      </c>
      <c r="H5" s="12">
        <v>17</v>
      </c>
      <c r="I5" s="12">
        <v>17</v>
      </c>
      <c r="J5" s="12">
        <v>15</v>
      </c>
      <c r="K5" s="12">
        <f t="shared" si="0"/>
        <v>117</v>
      </c>
    </row>
    <row r="6" s="169" customFormat="1" ht="22.5" customHeight="1" spans="1:11">
      <c r="A6" s="44"/>
      <c r="B6" s="39"/>
      <c r="C6" s="12" t="s">
        <v>210</v>
      </c>
      <c r="D6" s="12">
        <v>17</v>
      </c>
      <c r="E6" s="12">
        <v>17</v>
      </c>
      <c r="F6" s="12">
        <v>17</v>
      </c>
      <c r="G6" s="12">
        <v>17</v>
      </c>
      <c r="H6" s="12">
        <v>17</v>
      </c>
      <c r="I6" s="12">
        <v>17</v>
      </c>
      <c r="J6" s="12">
        <v>15</v>
      </c>
      <c r="K6" s="12">
        <f t="shared" si="0"/>
        <v>117</v>
      </c>
    </row>
    <row r="7" s="169" customFormat="1" ht="22.5" customHeight="1" spans="1:11">
      <c r="A7" s="43" t="s">
        <v>211</v>
      </c>
      <c r="B7" s="12">
        <v>11.5</v>
      </c>
      <c r="C7" s="12" t="s">
        <v>330</v>
      </c>
      <c r="D7" s="12">
        <v>11.5</v>
      </c>
      <c r="E7" s="12">
        <v>11.5</v>
      </c>
      <c r="F7" s="12">
        <v>11.5</v>
      </c>
      <c r="G7" s="12">
        <v>11.5</v>
      </c>
      <c r="H7" s="12">
        <v>11.5</v>
      </c>
      <c r="I7" s="12">
        <v>11.5</v>
      </c>
      <c r="J7" s="12">
        <v>11</v>
      </c>
      <c r="K7" s="12">
        <f>SUM(E7:J7)</f>
        <v>68.5</v>
      </c>
    </row>
    <row r="8" s="169" customFormat="1" ht="22.5" customHeight="1" spans="1:11">
      <c r="A8" s="44"/>
      <c r="B8" s="39"/>
      <c r="C8" s="12" t="s">
        <v>213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f>SUM(E8:J8)</f>
        <v>0</v>
      </c>
    </row>
    <row r="9" s="169" customFormat="1" ht="22.5" customHeight="1" spans="1:11">
      <c r="A9" s="44"/>
      <c r="B9" s="39"/>
      <c r="C9" s="12" t="s">
        <v>214</v>
      </c>
      <c r="D9" s="12">
        <v>11.5</v>
      </c>
      <c r="E9" s="12">
        <v>11.5</v>
      </c>
      <c r="F9" s="12">
        <v>11.5</v>
      </c>
      <c r="G9" s="12">
        <v>11.5</v>
      </c>
      <c r="H9" s="12">
        <v>11.5</v>
      </c>
      <c r="I9" s="12">
        <v>11.5</v>
      </c>
      <c r="J9" s="12">
        <v>11</v>
      </c>
      <c r="K9" s="12">
        <f t="shared" ref="K9:K23" si="1">SUM(D9:J9)</f>
        <v>80</v>
      </c>
    </row>
    <row r="10" s="169" customFormat="1" ht="22.5" customHeight="1" spans="1:11">
      <c r="A10" s="44"/>
      <c r="B10" s="39"/>
      <c r="C10" s="12" t="s">
        <v>331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f t="shared" si="1"/>
        <v>0</v>
      </c>
    </row>
    <row r="11" s="169" customFormat="1" ht="22.5" customHeight="1" spans="1:11">
      <c r="A11" s="45"/>
      <c r="B11" s="46"/>
      <c r="C11" s="12" t="s">
        <v>215</v>
      </c>
      <c r="D11" s="12">
        <v>0</v>
      </c>
      <c r="E11" s="12">
        <v>20</v>
      </c>
      <c r="F11" s="12">
        <v>20</v>
      </c>
      <c r="G11" s="12">
        <v>20</v>
      </c>
      <c r="H11" s="12">
        <v>20</v>
      </c>
      <c r="I11" s="12">
        <v>20</v>
      </c>
      <c r="J11" s="12">
        <v>0</v>
      </c>
      <c r="K11" s="12">
        <f t="shared" si="1"/>
        <v>100</v>
      </c>
    </row>
    <row r="12" s="169" customFormat="1" ht="22.5" customHeight="1" spans="1:11">
      <c r="A12" s="27" t="s">
        <v>217</v>
      </c>
      <c r="B12" s="27">
        <v>10.5</v>
      </c>
      <c r="C12" s="12" t="s">
        <v>332</v>
      </c>
      <c r="D12" s="12">
        <v>0</v>
      </c>
      <c r="E12" s="12">
        <v>10</v>
      </c>
      <c r="F12" s="12">
        <v>10</v>
      </c>
      <c r="G12" s="12">
        <v>10</v>
      </c>
      <c r="H12" s="12">
        <v>10</v>
      </c>
      <c r="I12" s="12">
        <v>10</v>
      </c>
      <c r="J12" s="12">
        <v>0</v>
      </c>
      <c r="K12" s="12">
        <f t="shared" si="1"/>
        <v>50</v>
      </c>
    </row>
    <row r="13" s="169" customFormat="1" ht="22.5" customHeight="1" spans="1:11">
      <c r="A13" s="27"/>
      <c r="B13" s="27"/>
      <c r="C13" s="12" t="s">
        <v>333</v>
      </c>
      <c r="D13" s="12">
        <v>0</v>
      </c>
      <c r="E13" s="12">
        <v>10</v>
      </c>
      <c r="F13" s="12">
        <v>10</v>
      </c>
      <c r="G13" s="12">
        <v>10</v>
      </c>
      <c r="H13" s="12">
        <v>10</v>
      </c>
      <c r="I13" s="12">
        <v>10</v>
      </c>
      <c r="J13" s="12">
        <v>20</v>
      </c>
      <c r="K13" s="12">
        <f t="shared" si="1"/>
        <v>70</v>
      </c>
    </row>
    <row r="14" s="169" customFormat="1" ht="22.5" customHeight="1" spans="1:11">
      <c r="A14" s="27" t="s">
        <v>220</v>
      </c>
      <c r="B14" s="27">
        <v>11.5</v>
      </c>
      <c r="C14" s="12" t="s">
        <v>334</v>
      </c>
      <c r="D14" s="12">
        <v>39</v>
      </c>
      <c r="E14" s="12">
        <v>45</v>
      </c>
      <c r="F14" s="12">
        <v>45</v>
      </c>
      <c r="G14" s="12">
        <v>45</v>
      </c>
      <c r="H14" s="12">
        <v>45</v>
      </c>
      <c r="I14" s="12">
        <v>45</v>
      </c>
      <c r="J14" s="12">
        <v>10</v>
      </c>
      <c r="K14" s="12">
        <f t="shared" si="1"/>
        <v>274</v>
      </c>
    </row>
    <row r="15" s="169" customFormat="1" ht="22.5" customHeight="1" spans="1:11">
      <c r="A15" s="27"/>
      <c r="B15" s="27"/>
      <c r="C15" s="12" t="s">
        <v>222</v>
      </c>
      <c r="D15" s="12">
        <v>20</v>
      </c>
      <c r="E15" s="12">
        <v>20</v>
      </c>
      <c r="F15" s="12">
        <v>20</v>
      </c>
      <c r="G15" s="12">
        <v>20</v>
      </c>
      <c r="H15" s="12">
        <v>20</v>
      </c>
      <c r="I15" s="12">
        <v>20</v>
      </c>
      <c r="J15" s="12">
        <v>20</v>
      </c>
      <c r="K15" s="12">
        <f t="shared" si="1"/>
        <v>140</v>
      </c>
    </row>
    <row r="16" s="169" customFormat="1" ht="22.5" customHeight="1" spans="1:11">
      <c r="A16" s="27"/>
      <c r="B16" s="27"/>
      <c r="C16" s="12" t="s">
        <v>335</v>
      </c>
      <c r="D16" s="12">
        <v>10</v>
      </c>
      <c r="E16" s="12">
        <v>10</v>
      </c>
      <c r="F16" s="12">
        <v>10</v>
      </c>
      <c r="G16" s="12">
        <v>10</v>
      </c>
      <c r="H16" s="12">
        <v>10</v>
      </c>
      <c r="I16" s="12">
        <v>10</v>
      </c>
      <c r="J16" s="12">
        <v>20</v>
      </c>
      <c r="K16" s="12">
        <f t="shared" si="1"/>
        <v>80</v>
      </c>
    </row>
    <row r="17" s="169" customFormat="1" ht="22.5" customHeight="1" spans="1:11">
      <c r="A17" s="27"/>
      <c r="B17" s="27"/>
      <c r="C17" s="12" t="s">
        <v>224</v>
      </c>
      <c r="D17" s="12">
        <v>60</v>
      </c>
      <c r="E17" s="12">
        <v>66</v>
      </c>
      <c r="F17" s="12">
        <v>67</v>
      </c>
      <c r="G17" s="12">
        <v>67</v>
      </c>
      <c r="H17" s="12">
        <v>67</v>
      </c>
      <c r="I17" s="12">
        <v>67</v>
      </c>
      <c r="J17" s="12">
        <v>30</v>
      </c>
      <c r="K17" s="12">
        <f t="shared" si="1"/>
        <v>424</v>
      </c>
    </row>
    <row r="18" s="169" customFormat="1" ht="22.5" customHeight="1" spans="1:11">
      <c r="A18" s="39" t="s">
        <v>225</v>
      </c>
      <c r="B18" s="39">
        <v>10.5</v>
      </c>
      <c r="C18" s="12" t="s">
        <v>226</v>
      </c>
      <c r="D18" s="12">
        <v>22</v>
      </c>
      <c r="E18" s="12">
        <v>22</v>
      </c>
      <c r="F18" s="12">
        <v>22</v>
      </c>
      <c r="G18" s="12">
        <v>22</v>
      </c>
      <c r="H18" s="12">
        <v>22</v>
      </c>
      <c r="I18" s="12">
        <v>22</v>
      </c>
      <c r="J18" s="12">
        <v>10</v>
      </c>
      <c r="K18" s="12">
        <f t="shared" si="1"/>
        <v>142</v>
      </c>
    </row>
    <row r="19" s="169" customFormat="1" ht="22.5" customHeight="1" spans="1:11">
      <c r="A19" s="39"/>
      <c r="B19" s="39"/>
      <c r="C19" s="12" t="s">
        <v>336</v>
      </c>
      <c r="D19" s="12">
        <v>18</v>
      </c>
      <c r="E19" s="12">
        <v>18</v>
      </c>
      <c r="F19" s="12">
        <v>18</v>
      </c>
      <c r="G19" s="12">
        <v>18</v>
      </c>
      <c r="H19" s="12">
        <v>18</v>
      </c>
      <c r="I19" s="12">
        <v>18</v>
      </c>
      <c r="J19" s="12">
        <v>20</v>
      </c>
      <c r="K19" s="12">
        <f t="shared" si="1"/>
        <v>128</v>
      </c>
    </row>
    <row r="20" s="169" customFormat="1" ht="22.5" customHeight="1" spans="1:11">
      <c r="A20" s="39"/>
      <c r="B20" s="39"/>
      <c r="C20" s="12" t="s">
        <v>337</v>
      </c>
      <c r="D20" s="12">
        <v>10</v>
      </c>
      <c r="E20" s="12">
        <v>10</v>
      </c>
      <c r="F20" s="12">
        <v>10</v>
      </c>
      <c r="G20" s="12">
        <v>10</v>
      </c>
      <c r="H20" s="12">
        <v>10</v>
      </c>
      <c r="I20" s="12">
        <v>10</v>
      </c>
      <c r="J20" s="12">
        <v>20</v>
      </c>
      <c r="K20" s="12">
        <f t="shared" si="1"/>
        <v>80</v>
      </c>
    </row>
    <row r="21" s="169" customFormat="1" ht="22.5" customHeight="1" spans="1:11">
      <c r="A21" s="39"/>
      <c r="B21" s="39"/>
      <c r="C21" s="12" t="s">
        <v>229</v>
      </c>
      <c r="D21" s="12">
        <v>18</v>
      </c>
      <c r="E21" s="12">
        <v>18</v>
      </c>
      <c r="F21" s="12">
        <v>18</v>
      </c>
      <c r="G21" s="12">
        <v>18</v>
      </c>
      <c r="H21" s="12">
        <v>18</v>
      </c>
      <c r="I21" s="12">
        <v>18</v>
      </c>
      <c r="J21" s="12">
        <v>5</v>
      </c>
      <c r="K21" s="12">
        <f t="shared" si="1"/>
        <v>113</v>
      </c>
    </row>
    <row r="22" s="169" customFormat="1" ht="22.5" customHeight="1" spans="1:11">
      <c r="A22" s="39"/>
      <c r="B22" s="39"/>
      <c r="C22" s="12" t="s">
        <v>240</v>
      </c>
      <c r="D22" s="12">
        <v>10</v>
      </c>
      <c r="E22" s="12">
        <v>10</v>
      </c>
      <c r="F22" s="12">
        <v>10</v>
      </c>
      <c r="G22" s="12">
        <v>10</v>
      </c>
      <c r="H22" s="12">
        <v>10</v>
      </c>
      <c r="I22" s="12">
        <v>10</v>
      </c>
      <c r="J22" s="12">
        <v>20</v>
      </c>
      <c r="K22" s="12">
        <f t="shared" si="1"/>
        <v>80</v>
      </c>
    </row>
    <row r="23" s="169" customFormat="1" ht="22.5" customHeight="1" spans="1:11">
      <c r="A23" s="12" t="s">
        <v>230</v>
      </c>
      <c r="B23" s="12">
        <v>10.5</v>
      </c>
      <c r="C23" s="12" t="s">
        <v>338</v>
      </c>
      <c r="D23" s="12">
        <v>10.5</v>
      </c>
      <c r="E23" s="12">
        <v>10.5</v>
      </c>
      <c r="F23" s="12">
        <v>10.5</v>
      </c>
      <c r="G23" s="12">
        <v>10.5</v>
      </c>
      <c r="H23" s="12">
        <v>10.5</v>
      </c>
      <c r="I23" s="12">
        <v>10.5</v>
      </c>
      <c r="J23" s="12">
        <v>10</v>
      </c>
      <c r="K23" s="12">
        <f t="shared" si="1"/>
        <v>73</v>
      </c>
    </row>
    <row r="24" s="169" customFormat="1" ht="22.5" customHeight="1" spans="1:11">
      <c r="A24" s="27" t="s">
        <v>232</v>
      </c>
      <c r="B24" s="27">
        <v>12</v>
      </c>
      <c r="C24" s="27" t="s">
        <v>339</v>
      </c>
      <c r="D24" s="27">
        <v>12</v>
      </c>
      <c r="E24" s="27">
        <v>12</v>
      </c>
      <c r="F24" s="27">
        <v>12</v>
      </c>
      <c r="G24" s="27">
        <v>12</v>
      </c>
      <c r="H24" s="27">
        <v>12</v>
      </c>
      <c r="I24" s="27">
        <v>12</v>
      </c>
      <c r="J24" s="27">
        <v>12</v>
      </c>
      <c r="K24" s="179">
        <f>SUM(E24:J24)</f>
        <v>72</v>
      </c>
    </row>
    <row r="25" s="169" customFormat="1" ht="22.5" customHeight="1" spans="1:11">
      <c r="A25" s="180"/>
      <c r="B25" s="181"/>
      <c r="C25" s="181"/>
      <c r="D25" s="181"/>
      <c r="E25" s="181"/>
      <c r="F25" s="181"/>
      <c r="G25" s="181"/>
      <c r="H25" s="181"/>
      <c r="I25" s="181"/>
      <c r="J25" s="182"/>
      <c r="K25" s="179">
        <f>SUM(K4:K24)</f>
        <v>2290.5</v>
      </c>
    </row>
    <row r="28" s="3" customFormat="1" ht="21" customHeight="1" spans="1:11">
      <c r="A28" s="71" t="s">
        <v>344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</row>
    <row r="29" s="3" customFormat="1" ht="21" customHeight="1" spans="1:11">
      <c r="A29" s="72" t="s">
        <v>247</v>
      </c>
      <c r="B29" s="72"/>
      <c r="C29" s="72"/>
      <c r="D29" s="73" t="s">
        <v>345</v>
      </c>
      <c r="E29" s="72"/>
      <c r="F29" s="72"/>
      <c r="G29" s="72"/>
      <c r="H29" s="72"/>
      <c r="I29" s="72"/>
      <c r="J29" s="72"/>
      <c r="K29" s="72"/>
    </row>
    <row r="30" s="3" customFormat="1" ht="21" customHeight="1" spans="1:11">
      <c r="A30" s="74" t="s">
        <v>200</v>
      </c>
      <c r="B30" s="74" t="s">
        <v>201</v>
      </c>
      <c r="C30" s="75" t="s">
        <v>202</v>
      </c>
      <c r="D30" s="76" t="s">
        <v>6</v>
      </c>
      <c r="E30" s="76" t="s">
        <v>6</v>
      </c>
      <c r="F30" s="74" t="s">
        <v>6</v>
      </c>
      <c r="G30" s="74" t="s">
        <v>6</v>
      </c>
      <c r="H30" s="74" t="s">
        <v>6</v>
      </c>
      <c r="I30" s="74" t="s">
        <v>6</v>
      </c>
      <c r="J30" s="74" t="s">
        <v>203</v>
      </c>
      <c r="K30" s="74" t="s">
        <v>204</v>
      </c>
    </row>
    <row r="31" s="3" customFormat="1" ht="21" customHeight="1" spans="1:11">
      <c r="A31" s="56" t="s">
        <v>205</v>
      </c>
      <c r="B31" s="56">
        <v>12</v>
      </c>
      <c r="C31" s="54" t="s">
        <v>206</v>
      </c>
      <c r="D31" s="232">
        <v>12</v>
      </c>
      <c r="E31" s="232">
        <v>12</v>
      </c>
      <c r="F31" s="233">
        <v>10</v>
      </c>
      <c r="G31" s="77"/>
      <c r="H31" s="77"/>
      <c r="I31" s="58"/>
      <c r="J31" s="47"/>
      <c r="K31" s="56">
        <f>SUM(D31:J31)</f>
        <v>34</v>
      </c>
    </row>
    <row r="32" s="3" customFormat="1" ht="21" customHeight="1" spans="1:11">
      <c r="A32" s="78" t="s">
        <v>207</v>
      </c>
      <c r="B32" s="56">
        <v>11.5</v>
      </c>
      <c r="C32" s="61" t="s">
        <v>208</v>
      </c>
      <c r="D32" s="232">
        <v>17.5</v>
      </c>
      <c r="E32" s="232">
        <v>17.5</v>
      </c>
      <c r="F32" s="233">
        <v>15</v>
      </c>
      <c r="G32" s="77"/>
      <c r="H32" s="77"/>
      <c r="I32" s="58"/>
      <c r="J32" s="47"/>
      <c r="K32" s="56">
        <f>SUM(D32:J32)</f>
        <v>50</v>
      </c>
    </row>
    <row r="33" s="3" customFormat="1" ht="21" customHeight="1" spans="1:11">
      <c r="A33" s="78"/>
      <c r="B33" s="56"/>
      <c r="C33" s="61" t="s">
        <v>210</v>
      </c>
      <c r="D33" s="232">
        <v>17.5</v>
      </c>
      <c r="E33" s="232">
        <v>17.5</v>
      </c>
      <c r="F33" s="233">
        <v>15</v>
      </c>
      <c r="G33" s="77"/>
      <c r="H33" s="77"/>
      <c r="I33" s="58"/>
      <c r="J33" s="47"/>
      <c r="K33" s="56">
        <f t="shared" ref="K33:K51" si="2">SUM(D33:J33)</f>
        <v>50</v>
      </c>
    </row>
    <row r="34" s="3" customFormat="1" ht="21" customHeight="1" spans="1:11">
      <c r="A34" s="79" t="s">
        <v>237</v>
      </c>
      <c r="B34" s="56">
        <v>11.5</v>
      </c>
      <c r="C34" s="61" t="s">
        <v>212</v>
      </c>
      <c r="D34" s="232">
        <v>30</v>
      </c>
      <c r="E34" s="232">
        <v>30</v>
      </c>
      <c r="F34" s="233">
        <v>10</v>
      </c>
      <c r="G34" s="77"/>
      <c r="H34" s="77"/>
      <c r="I34" s="58"/>
      <c r="J34" s="47"/>
      <c r="K34" s="56">
        <f t="shared" si="2"/>
        <v>70</v>
      </c>
    </row>
    <row r="35" s="3" customFormat="1" ht="21" customHeight="1" spans="1:11">
      <c r="A35" s="80"/>
      <c r="B35" s="56"/>
      <c r="C35" s="3" t="s">
        <v>215</v>
      </c>
      <c r="D35" s="232">
        <v>38</v>
      </c>
      <c r="E35" s="232">
        <v>38</v>
      </c>
      <c r="F35" s="233">
        <v>0</v>
      </c>
      <c r="G35" s="77"/>
      <c r="H35" s="77"/>
      <c r="I35" s="58"/>
      <c r="J35" s="47"/>
      <c r="K35" s="56">
        <f t="shared" si="2"/>
        <v>76</v>
      </c>
    </row>
    <row r="36" s="3" customFormat="1" ht="21" customHeight="1" spans="1:11">
      <c r="A36" s="81" t="s">
        <v>238</v>
      </c>
      <c r="B36" s="56"/>
      <c r="C36" s="61" t="s">
        <v>213</v>
      </c>
      <c r="D36" s="232">
        <v>20</v>
      </c>
      <c r="E36" s="232">
        <v>20</v>
      </c>
      <c r="F36" s="233">
        <v>10</v>
      </c>
      <c r="G36" s="77"/>
      <c r="H36" s="77"/>
      <c r="I36" s="58"/>
      <c r="J36" s="47"/>
      <c r="K36" s="56">
        <f t="shared" si="2"/>
        <v>50</v>
      </c>
    </row>
    <row r="37" s="3" customFormat="1" ht="21" customHeight="1" spans="1:11">
      <c r="A37" s="82"/>
      <c r="B37" s="56"/>
      <c r="C37" s="61" t="s">
        <v>216</v>
      </c>
      <c r="D37" s="232">
        <v>28</v>
      </c>
      <c r="E37" s="232">
        <v>28</v>
      </c>
      <c r="F37" s="233">
        <v>0</v>
      </c>
      <c r="G37" s="77"/>
      <c r="H37" s="77"/>
      <c r="I37" s="83"/>
      <c r="J37" s="47"/>
      <c r="K37" s="56">
        <f t="shared" si="2"/>
        <v>56</v>
      </c>
    </row>
    <row r="38" s="3" customFormat="1" ht="21" customHeight="1" spans="1:11">
      <c r="A38" s="84" t="s">
        <v>239</v>
      </c>
      <c r="B38" s="56"/>
      <c r="C38" s="56" t="s">
        <v>214</v>
      </c>
      <c r="D38" s="232">
        <v>48</v>
      </c>
      <c r="E38" s="232">
        <v>48</v>
      </c>
      <c r="F38" s="233">
        <v>0</v>
      </c>
      <c r="G38" s="77"/>
      <c r="H38" s="77"/>
      <c r="I38" s="83"/>
      <c r="J38" s="47"/>
      <c r="K38" s="56">
        <f t="shared" si="2"/>
        <v>96</v>
      </c>
    </row>
    <row r="39" s="3" customFormat="1" ht="21" customHeight="1" spans="1:11">
      <c r="A39" s="56" t="s">
        <v>217</v>
      </c>
      <c r="B39" s="56">
        <v>10.5</v>
      </c>
      <c r="C39" s="56" t="s">
        <v>218</v>
      </c>
      <c r="D39" s="232">
        <v>48</v>
      </c>
      <c r="E39" s="232">
        <v>48</v>
      </c>
      <c r="F39" s="233">
        <v>0</v>
      </c>
      <c r="G39" s="77"/>
      <c r="H39" s="77"/>
      <c r="I39" s="58"/>
      <c r="J39" s="47"/>
      <c r="K39" s="56">
        <f t="shared" si="2"/>
        <v>96</v>
      </c>
    </row>
    <row r="40" s="3" customFormat="1" ht="21" customHeight="1" spans="1:11">
      <c r="A40" s="56"/>
      <c r="B40" s="56"/>
      <c r="C40" s="56" t="s">
        <v>219</v>
      </c>
      <c r="D40" s="232">
        <v>48</v>
      </c>
      <c r="E40" s="232">
        <v>48</v>
      </c>
      <c r="F40" s="233">
        <v>0</v>
      </c>
      <c r="G40" s="77"/>
      <c r="H40" s="77"/>
      <c r="I40" s="58"/>
      <c r="J40" s="47"/>
      <c r="K40" s="56">
        <f t="shared" si="2"/>
        <v>96</v>
      </c>
    </row>
    <row r="41" s="3" customFormat="1" ht="21" customHeight="1" spans="1:11">
      <c r="A41" s="56" t="s">
        <v>220</v>
      </c>
      <c r="B41" s="56">
        <v>11.5</v>
      </c>
      <c r="C41" s="61" t="s">
        <v>221</v>
      </c>
      <c r="D41" s="232">
        <v>48</v>
      </c>
      <c r="E41" s="232">
        <v>48</v>
      </c>
      <c r="F41" s="233">
        <v>20</v>
      </c>
      <c r="G41" s="77"/>
      <c r="H41" s="77"/>
      <c r="I41" s="58"/>
      <c r="J41" s="47"/>
      <c r="K41" s="56">
        <f t="shared" si="2"/>
        <v>116</v>
      </c>
    </row>
    <row r="42" s="3" customFormat="1" ht="21" customHeight="1" spans="1:11">
      <c r="A42" s="56"/>
      <c r="B42" s="56"/>
      <c r="C42" s="61" t="s">
        <v>222</v>
      </c>
      <c r="D42" s="232">
        <v>25.7</v>
      </c>
      <c r="E42" s="232">
        <v>25.8</v>
      </c>
      <c r="F42" s="233">
        <v>5</v>
      </c>
      <c r="G42" s="77"/>
      <c r="H42" s="77"/>
      <c r="I42" s="58"/>
      <c r="J42" s="47"/>
      <c r="K42" s="56">
        <f t="shared" si="2"/>
        <v>56.5</v>
      </c>
    </row>
    <row r="43" s="3" customFormat="1" ht="21" customHeight="1" spans="1:11">
      <c r="A43" s="56"/>
      <c r="B43" s="56"/>
      <c r="C43" s="61" t="s">
        <v>223</v>
      </c>
      <c r="D43" s="232">
        <v>25</v>
      </c>
      <c r="E43" s="232">
        <v>25</v>
      </c>
      <c r="F43" s="233">
        <v>5</v>
      </c>
      <c r="G43" s="77"/>
      <c r="H43" s="77"/>
      <c r="I43" s="58"/>
      <c r="J43" s="47"/>
      <c r="K43" s="56">
        <f t="shared" si="2"/>
        <v>55</v>
      </c>
    </row>
    <row r="44" s="3" customFormat="1" ht="21" customHeight="1" spans="1:11">
      <c r="A44" s="56"/>
      <c r="B44" s="56"/>
      <c r="C44" s="61" t="s">
        <v>224</v>
      </c>
      <c r="D44" s="232">
        <v>134.2</v>
      </c>
      <c r="E44" s="232">
        <v>135.6</v>
      </c>
      <c r="F44" s="233">
        <v>5</v>
      </c>
      <c r="G44" s="77"/>
      <c r="H44" s="77"/>
      <c r="I44" s="58"/>
      <c r="J44" s="47"/>
      <c r="K44" s="56">
        <f t="shared" si="2"/>
        <v>274.8</v>
      </c>
    </row>
    <row r="45" s="3" customFormat="1" ht="21" customHeight="1" spans="1:11">
      <c r="A45" s="85" t="s">
        <v>225</v>
      </c>
      <c r="B45" s="85">
        <v>10.5</v>
      </c>
      <c r="C45" s="56" t="s">
        <v>226</v>
      </c>
      <c r="D45" s="232">
        <v>17.2</v>
      </c>
      <c r="E45" s="232">
        <v>17.2</v>
      </c>
      <c r="F45" s="233">
        <v>5</v>
      </c>
      <c r="G45" s="77"/>
      <c r="H45" s="77"/>
      <c r="I45" s="58"/>
      <c r="J45" s="47"/>
      <c r="K45" s="56">
        <f t="shared" si="2"/>
        <v>39.4</v>
      </c>
    </row>
    <row r="46" s="3" customFormat="1" ht="21" customHeight="1" spans="1:11">
      <c r="A46" s="85"/>
      <c r="B46" s="85"/>
      <c r="C46" s="56" t="s">
        <v>228</v>
      </c>
      <c r="D46" s="232">
        <v>17.2</v>
      </c>
      <c r="E46" s="232">
        <v>17.2</v>
      </c>
      <c r="F46" s="233">
        <v>5</v>
      </c>
      <c r="G46" s="77"/>
      <c r="H46" s="77"/>
      <c r="I46" s="58"/>
      <c r="J46" s="47"/>
      <c r="K46" s="56">
        <f t="shared" si="2"/>
        <v>39.4</v>
      </c>
    </row>
    <row r="47" s="3" customFormat="1" ht="21" customHeight="1" spans="1:11">
      <c r="A47" s="85"/>
      <c r="B47" s="85"/>
      <c r="C47" s="56" t="s">
        <v>227</v>
      </c>
      <c r="D47" s="232">
        <v>17.2</v>
      </c>
      <c r="E47" s="232">
        <v>17.2</v>
      </c>
      <c r="F47" s="233">
        <v>0</v>
      </c>
      <c r="G47" s="77"/>
      <c r="H47" s="77"/>
      <c r="I47" s="58"/>
      <c r="J47" s="47"/>
      <c r="K47" s="56">
        <f t="shared" si="2"/>
        <v>34.4</v>
      </c>
    </row>
    <row r="48" s="3" customFormat="1" ht="21" customHeight="1" spans="1:11">
      <c r="A48" s="85"/>
      <c r="B48" s="85"/>
      <c r="C48" s="56" t="s">
        <v>229</v>
      </c>
      <c r="D48" s="232">
        <v>17.2</v>
      </c>
      <c r="E48" s="232">
        <v>17.2</v>
      </c>
      <c r="F48" s="233">
        <v>0</v>
      </c>
      <c r="G48" s="77"/>
      <c r="H48" s="77"/>
      <c r="I48" s="58"/>
      <c r="J48" s="58"/>
      <c r="K48" s="56">
        <f t="shared" si="2"/>
        <v>34.4</v>
      </c>
    </row>
    <row r="49" s="3" customFormat="1" ht="21" customHeight="1" spans="1:11">
      <c r="A49" s="85"/>
      <c r="B49" s="85"/>
      <c r="C49" s="56" t="s">
        <v>240</v>
      </c>
      <c r="D49" s="232">
        <v>40</v>
      </c>
      <c r="E49" s="232">
        <v>40</v>
      </c>
      <c r="F49" s="233">
        <v>5</v>
      </c>
      <c r="G49" s="77"/>
      <c r="H49" s="77"/>
      <c r="I49" s="58"/>
      <c r="J49" s="58"/>
      <c r="K49" s="56">
        <f t="shared" si="2"/>
        <v>85</v>
      </c>
    </row>
    <row r="50" s="3" customFormat="1" ht="21" customHeight="1" spans="1:11">
      <c r="A50" s="86" t="s">
        <v>230</v>
      </c>
      <c r="B50" s="86">
        <v>10.5</v>
      </c>
      <c r="C50" s="56" t="s">
        <v>231</v>
      </c>
      <c r="D50" s="232">
        <v>10</v>
      </c>
      <c r="E50" s="232">
        <v>10</v>
      </c>
      <c r="F50" s="233">
        <v>0</v>
      </c>
      <c r="G50" s="77"/>
      <c r="H50" s="77"/>
      <c r="I50" s="58"/>
      <c r="J50" s="58"/>
      <c r="K50" s="56">
        <f t="shared" si="2"/>
        <v>20</v>
      </c>
    </row>
    <row r="51" s="3" customFormat="1" ht="21" customHeight="1" spans="1:11">
      <c r="A51" s="86" t="s">
        <v>232</v>
      </c>
      <c r="B51" s="86">
        <v>12</v>
      </c>
      <c r="C51" s="86" t="s">
        <v>233</v>
      </c>
      <c r="D51" s="234">
        <v>12</v>
      </c>
      <c r="E51" s="234">
        <v>12</v>
      </c>
      <c r="F51" s="235">
        <v>0</v>
      </c>
      <c r="G51" s="167"/>
      <c r="H51" s="167"/>
      <c r="I51" s="83"/>
      <c r="J51" s="83"/>
      <c r="K51" s="56">
        <f t="shared" si="2"/>
        <v>24</v>
      </c>
    </row>
    <row r="52" s="3" customFormat="1" ht="21" customHeight="1" spans="1:11">
      <c r="A52" s="61"/>
      <c r="B52" s="87"/>
      <c r="C52" s="87"/>
      <c r="D52" s="87"/>
      <c r="E52" s="87"/>
      <c r="F52" s="87"/>
      <c r="G52" s="87"/>
      <c r="H52" s="87"/>
      <c r="I52" s="87"/>
      <c r="J52" s="87"/>
      <c r="K52" s="47">
        <f>SUM(K31:K51)</f>
        <v>1452.9</v>
      </c>
    </row>
    <row r="55" s="3" customFormat="1" ht="21" customHeight="1" spans="1:11">
      <c r="A55" s="71" t="s">
        <v>344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s="3" customFormat="1" ht="21" customHeight="1" spans="1:11">
      <c r="A56" s="72" t="s">
        <v>247</v>
      </c>
      <c r="B56" s="72"/>
      <c r="C56" s="72"/>
      <c r="D56" s="73" t="s">
        <v>346</v>
      </c>
      <c r="E56" s="72"/>
      <c r="F56" s="72"/>
      <c r="G56" s="72"/>
      <c r="H56" s="72"/>
      <c r="I56" s="72"/>
      <c r="J56" s="72"/>
      <c r="K56" s="72"/>
    </row>
    <row r="57" s="3" customFormat="1" ht="21" customHeight="1" spans="1:11">
      <c r="A57" s="74" t="s">
        <v>200</v>
      </c>
      <c r="B57" s="74" t="s">
        <v>201</v>
      </c>
      <c r="C57" s="75" t="s">
        <v>202</v>
      </c>
      <c r="D57" s="76" t="s">
        <v>6</v>
      </c>
      <c r="E57" s="76" t="s">
        <v>6</v>
      </c>
      <c r="F57" s="74" t="s">
        <v>6</v>
      </c>
      <c r="G57" s="74" t="s">
        <v>6</v>
      </c>
      <c r="H57" s="74" t="s">
        <v>6</v>
      </c>
      <c r="I57" s="74" t="s">
        <v>6</v>
      </c>
      <c r="J57" s="74" t="s">
        <v>203</v>
      </c>
      <c r="K57" s="74" t="s">
        <v>204</v>
      </c>
    </row>
    <row r="58" s="3" customFormat="1" ht="21" customHeight="1" spans="1:11">
      <c r="A58" s="56" t="s">
        <v>205</v>
      </c>
      <c r="B58" s="56">
        <v>12</v>
      </c>
      <c r="C58" s="54" t="s">
        <v>206</v>
      </c>
      <c r="D58" s="232"/>
      <c r="E58" s="233"/>
      <c r="F58" s="233"/>
      <c r="G58" s="77"/>
      <c r="H58" s="77"/>
      <c r="I58" s="58"/>
      <c r="J58" s="47"/>
      <c r="K58" s="56">
        <f>SUM(D58:J58)</f>
        <v>0</v>
      </c>
    </row>
    <row r="59" s="3" customFormat="1" ht="21" customHeight="1" spans="1:11">
      <c r="A59" s="78" t="s">
        <v>207</v>
      </c>
      <c r="B59" s="56">
        <v>11.5</v>
      </c>
      <c r="C59" s="61" t="s">
        <v>208</v>
      </c>
      <c r="D59" s="232"/>
      <c r="E59" s="233"/>
      <c r="F59" s="233"/>
      <c r="G59" s="77"/>
      <c r="H59" s="77"/>
      <c r="I59" s="58"/>
      <c r="J59" s="47"/>
      <c r="K59" s="56">
        <f>SUM(D59:J59)</f>
        <v>0</v>
      </c>
    </row>
    <row r="60" s="3" customFormat="1" ht="21" customHeight="1" spans="1:11">
      <c r="A60" s="78"/>
      <c r="B60" s="56"/>
      <c r="C60" s="61" t="s">
        <v>210</v>
      </c>
      <c r="D60" s="232"/>
      <c r="E60" s="233"/>
      <c r="F60" s="233"/>
      <c r="G60" s="77"/>
      <c r="H60" s="77"/>
      <c r="I60" s="58"/>
      <c r="J60" s="47"/>
      <c r="K60" s="56">
        <f t="shared" ref="K60:K78" si="3">SUM(D60:J60)</f>
        <v>0</v>
      </c>
    </row>
    <row r="61" s="3" customFormat="1" ht="21" customHeight="1" spans="1:11">
      <c r="A61" s="79" t="s">
        <v>237</v>
      </c>
      <c r="B61" s="56">
        <v>11.5</v>
      </c>
      <c r="C61" s="61" t="s">
        <v>212</v>
      </c>
      <c r="D61" s="232"/>
      <c r="E61" s="233"/>
      <c r="F61" s="233"/>
      <c r="G61" s="77"/>
      <c r="H61" s="77"/>
      <c r="I61" s="58"/>
      <c r="J61" s="47"/>
      <c r="K61" s="56">
        <f t="shared" si="3"/>
        <v>0</v>
      </c>
    </row>
    <row r="62" s="3" customFormat="1" ht="21" customHeight="1" spans="1:11">
      <c r="A62" s="80"/>
      <c r="B62" s="56"/>
      <c r="C62" s="3" t="s">
        <v>215</v>
      </c>
      <c r="D62" s="232"/>
      <c r="E62" s="233"/>
      <c r="F62" s="233"/>
      <c r="G62" s="77"/>
      <c r="H62" s="77"/>
      <c r="I62" s="58"/>
      <c r="J62" s="47"/>
      <c r="K62" s="56">
        <f t="shared" si="3"/>
        <v>0</v>
      </c>
    </row>
    <row r="63" s="3" customFormat="1" ht="21" customHeight="1" spans="1:11">
      <c r="A63" s="81" t="s">
        <v>238</v>
      </c>
      <c r="B63" s="56"/>
      <c r="C63" s="61" t="s">
        <v>213</v>
      </c>
      <c r="D63" s="232"/>
      <c r="E63" s="233"/>
      <c r="F63" s="233"/>
      <c r="G63" s="77"/>
      <c r="H63" s="77"/>
      <c r="I63" s="58"/>
      <c r="J63" s="47"/>
      <c r="K63" s="56">
        <f t="shared" si="3"/>
        <v>0</v>
      </c>
    </row>
    <row r="64" s="3" customFormat="1" ht="21" customHeight="1" spans="1:11">
      <c r="A64" s="82"/>
      <c r="B64" s="56"/>
      <c r="C64" s="61" t="s">
        <v>216</v>
      </c>
      <c r="D64" s="232"/>
      <c r="E64" s="233"/>
      <c r="F64" s="233"/>
      <c r="G64" s="77"/>
      <c r="H64" s="77"/>
      <c r="I64" s="83"/>
      <c r="J64" s="47"/>
      <c r="K64" s="56">
        <f t="shared" si="3"/>
        <v>0</v>
      </c>
    </row>
    <row r="65" s="3" customFormat="1" ht="21" customHeight="1" spans="1:11">
      <c r="A65" s="84" t="s">
        <v>239</v>
      </c>
      <c r="B65" s="56"/>
      <c r="C65" s="56" t="s">
        <v>214</v>
      </c>
      <c r="D65" s="232"/>
      <c r="E65" s="233"/>
      <c r="F65" s="233"/>
      <c r="G65" s="77"/>
      <c r="H65" s="77"/>
      <c r="I65" s="83"/>
      <c r="J65" s="47"/>
      <c r="K65" s="56">
        <f t="shared" si="3"/>
        <v>0</v>
      </c>
    </row>
    <row r="66" s="3" customFormat="1" ht="21" customHeight="1" spans="1:11">
      <c r="A66" s="56" t="s">
        <v>217</v>
      </c>
      <c r="B66" s="56">
        <v>10.5</v>
      </c>
      <c r="C66" s="56" t="s">
        <v>218</v>
      </c>
      <c r="D66" s="232"/>
      <c r="E66" s="233"/>
      <c r="F66" s="233"/>
      <c r="G66" s="77"/>
      <c r="H66" s="77"/>
      <c r="I66" s="58"/>
      <c r="J66" s="47"/>
      <c r="K66" s="56">
        <f t="shared" si="3"/>
        <v>0</v>
      </c>
    </row>
    <row r="67" s="3" customFormat="1" ht="21" customHeight="1" spans="1:11">
      <c r="A67" s="56"/>
      <c r="B67" s="56"/>
      <c r="C67" s="56" t="s">
        <v>219</v>
      </c>
      <c r="D67" s="232"/>
      <c r="E67" s="233"/>
      <c r="F67" s="233"/>
      <c r="G67" s="77"/>
      <c r="H67" s="77"/>
      <c r="I67" s="58"/>
      <c r="J67" s="47"/>
      <c r="K67" s="56">
        <f t="shared" si="3"/>
        <v>0</v>
      </c>
    </row>
    <row r="68" s="3" customFormat="1" ht="21" customHeight="1" spans="1:11">
      <c r="A68" s="56" t="s">
        <v>220</v>
      </c>
      <c r="B68" s="56">
        <v>11.5</v>
      </c>
      <c r="C68" s="61" t="s">
        <v>221</v>
      </c>
      <c r="D68" s="232">
        <v>23.5</v>
      </c>
      <c r="E68" s="233"/>
      <c r="F68" s="233"/>
      <c r="G68" s="77"/>
      <c r="H68" s="77"/>
      <c r="I68" s="58"/>
      <c r="J68" s="47"/>
      <c r="K68" s="56">
        <f t="shared" si="3"/>
        <v>23.5</v>
      </c>
    </row>
    <row r="69" s="3" customFormat="1" ht="21" customHeight="1" spans="1:11">
      <c r="A69" s="56"/>
      <c r="B69" s="56"/>
      <c r="C69" s="61" t="s">
        <v>222</v>
      </c>
      <c r="D69" s="232">
        <v>3.5</v>
      </c>
      <c r="E69" s="233"/>
      <c r="F69" s="233"/>
      <c r="G69" s="77"/>
      <c r="H69" s="77"/>
      <c r="I69" s="58"/>
      <c r="J69" s="47"/>
      <c r="K69" s="56">
        <f t="shared" si="3"/>
        <v>3.5</v>
      </c>
    </row>
    <row r="70" s="3" customFormat="1" ht="21" customHeight="1" spans="1:11">
      <c r="A70" s="56"/>
      <c r="B70" s="56"/>
      <c r="C70" s="61" t="s">
        <v>223</v>
      </c>
      <c r="D70" s="232">
        <v>3</v>
      </c>
      <c r="E70" s="233"/>
      <c r="F70" s="233"/>
      <c r="G70" s="77"/>
      <c r="H70" s="77"/>
      <c r="I70" s="58"/>
      <c r="J70" s="47"/>
      <c r="K70" s="56">
        <f t="shared" si="3"/>
        <v>3</v>
      </c>
    </row>
    <row r="71" s="3" customFormat="1" ht="21" customHeight="1" spans="1:11">
      <c r="A71" s="56"/>
      <c r="B71" s="56"/>
      <c r="C71" s="61" t="s">
        <v>224</v>
      </c>
      <c r="D71" s="232">
        <v>18</v>
      </c>
      <c r="E71" s="233"/>
      <c r="F71" s="233"/>
      <c r="G71" s="77"/>
      <c r="H71" s="77"/>
      <c r="I71" s="58"/>
      <c r="J71" s="47"/>
      <c r="K71" s="56">
        <f t="shared" si="3"/>
        <v>18</v>
      </c>
    </row>
    <row r="72" s="3" customFormat="1" ht="21" customHeight="1" spans="1:11">
      <c r="A72" s="85" t="s">
        <v>225</v>
      </c>
      <c r="B72" s="85">
        <v>10.5</v>
      </c>
      <c r="C72" s="56" t="s">
        <v>226</v>
      </c>
      <c r="D72" s="232">
        <v>5</v>
      </c>
      <c r="E72" s="233"/>
      <c r="F72" s="233"/>
      <c r="G72" s="77"/>
      <c r="H72" s="77"/>
      <c r="I72" s="58"/>
      <c r="J72" s="47"/>
      <c r="K72" s="56">
        <f t="shared" si="3"/>
        <v>5</v>
      </c>
    </row>
    <row r="73" s="3" customFormat="1" ht="21" customHeight="1" spans="1:11">
      <c r="A73" s="85"/>
      <c r="B73" s="85"/>
      <c r="C73" s="56" t="s">
        <v>228</v>
      </c>
      <c r="D73" s="232">
        <v>3</v>
      </c>
      <c r="E73" s="233"/>
      <c r="F73" s="233"/>
      <c r="G73" s="77"/>
      <c r="H73" s="77"/>
      <c r="I73" s="58"/>
      <c r="J73" s="47"/>
      <c r="K73" s="56">
        <f t="shared" si="3"/>
        <v>3</v>
      </c>
    </row>
    <row r="74" s="3" customFormat="1" ht="21" customHeight="1" spans="1:11">
      <c r="A74" s="85"/>
      <c r="B74" s="85"/>
      <c r="C74" s="56" t="s">
        <v>227</v>
      </c>
      <c r="D74" s="232">
        <v>3</v>
      </c>
      <c r="E74" s="233"/>
      <c r="F74" s="233"/>
      <c r="G74" s="77"/>
      <c r="H74" s="77"/>
      <c r="I74" s="58"/>
      <c r="J74" s="47"/>
      <c r="K74" s="56">
        <f t="shared" si="3"/>
        <v>3</v>
      </c>
    </row>
    <row r="75" s="3" customFormat="1" ht="21" customHeight="1" spans="1:11">
      <c r="A75" s="85"/>
      <c r="B75" s="85"/>
      <c r="C75" s="56" t="s">
        <v>229</v>
      </c>
      <c r="D75" s="232">
        <v>3</v>
      </c>
      <c r="E75" s="233"/>
      <c r="F75" s="233"/>
      <c r="G75" s="77"/>
      <c r="H75" s="77"/>
      <c r="I75" s="58"/>
      <c r="J75" s="58"/>
      <c r="K75" s="56">
        <f t="shared" si="3"/>
        <v>3</v>
      </c>
    </row>
    <row r="76" s="3" customFormat="1" ht="21" customHeight="1" spans="1:11">
      <c r="A76" s="85"/>
      <c r="B76" s="85"/>
      <c r="C76" s="56" t="s">
        <v>240</v>
      </c>
      <c r="D76" s="232">
        <v>3</v>
      </c>
      <c r="E76" s="233"/>
      <c r="F76" s="233"/>
      <c r="G76" s="77"/>
      <c r="H76" s="77"/>
      <c r="I76" s="58"/>
      <c r="J76" s="58"/>
      <c r="K76" s="56">
        <f t="shared" si="3"/>
        <v>3</v>
      </c>
    </row>
    <row r="77" s="3" customFormat="1" ht="21" customHeight="1" spans="1:11">
      <c r="A77" s="86" t="s">
        <v>230</v>
      </c>
      <c r="B77" s="86">
        <v>10.5</v>
      </c>
      <c r="C77" s="56" t="s">
        <v>231</v>
      </c>
      <c r="D77" s="232">
        <v>10</v>
      </c>
      <c r="E77" s="233"/>
      <c r="F77" s="233"/>
      <c r="G77" s="77"/>
      <c r="H77" s="77"/>
      <c r="I77" s="58"/>
      <c r="J77" s="58"/>
      <c r="K77" s="56">
        <f t="shared" si="3"/>
        <v>10</v>
      </c>
    </row>
    <row r="78" s="3" customFormat="1" ht="21" customHeight="1" spans="1:11">
      <c r="A78" s="86" t="s">
        <v>232</v>
      </c>
      <c r="B78" s="86">
        <v>12</v>
      </c>
      <c r="C78" s="86" t="s">
        <v>233</v>
      </c>
      <c r="D78" s="234">
        <v>12</v>
      </c>
      <c r="E78" s="235"/>
      <c r="F78" s="235"/>
      <c r="G78" s="167"/>
      <c r="H78" s="167"/>
      <c r="I78" s="83"/>
      <c r="J78" s="83"/>
      <c r="K78" s="56">
        <f t="shared" si="3"/>
        <v>12</v>
      </c>
    </row>
    <row r="79" s="3" customFormat="1" ht="21" customHeight="1" spans="1:11">
      <c r="A79" s="61"/>
      <c r="B79" s="87"/>
      <c r="C79" s="87"/>
      <c r="D79" s="87"/>
      <c r="E79" s="87"/>
      <c r="F79" s="87"/>
      <c r="G79" s="87"/>
      <c r="H79" s="87"/>
      <c r="I79" s="87"/>
      <c r="J79" s="87"/>
      <c r="K79" s="47">
        <f>SUM(K58:K78)</f>
        <v>87</v>
      </c>
    </row>
    <row r="82" s="158" customFormat="1" ht="25.5" customHeight="1" spans="1:11">
      <c r="A82" s="163" t="s">
        <v>347</v>
      </c>
      <c r="B82" s="164"/>
      <c r="C82" s="164"/>
      <c r="D82" s="164"/>
      <c r="E82" s="164"/>
      <c r="F82" s="164"/>
      <c r="G82" s="164"/>
      <c r="H82" s="164"/>
      <c r="I82" s="164"/>
      <c r="J82" s="164"/>
      <c r="K82" s="165"/>
    </row>
    <row r="83" s="158" customFormat="1" ht="25.5" customHeight="1" spans="1:11">
      <c r="A83" s="56" t="s">
        <v>245</v>
      </c>
      <c r="B83" s="56"/>
      <c r="C83" s="56"/>
      <c r="D83" s="52" t="s">
        <v>348</v>
      </c>
      <c r="E83" s="52"/>
      <c r="F83" s="52"/>
      <c r="G83" s="52"/>
      <c r="H83" s="52"/>
      <c r="I83" s="52"/>
      <c r="J83" s="52"/>
      <c r="K83" s="166"/>
    </row>
    <row r="84" s="158" customFormat="1" ht="25.5" customHeight="1" spans="1:11">
      <c r="A84" s="56" t="s">
        <v>200</v>
      </c>
      <c r="B84" s="56" t="s">
        <v>201</v>
      </c>
      <c r="C84" s="61" t="s">
        <v>202</v>
      </c>
      <c r="D84" s="86" t="s">
        <v>6</v>
      </c>
      <c r="E84" s="86" t="s">
        <v>6</v>
      </c>
      <c r="F84" s="56" t="s">
        <v>6</v>
      </c>
      <c r="G84" s="56" t="s">
        <v>6</v>
      </c>
      <c r="H84" s="56" t="s">
        <v>6</v>
      </c>
      <c r="I84" s="56" t="s">
        <v>6</v>
      </c>
      <c r="J84" s="56" t="s">
        <v>203</v>
      </c>
      <c r="K84" s="56" t="s">
        <v>204</v>
      </c>
    </row>
    <row r="85" s="158" customFormat="1" ht="25.5" customHeight="1" spans="1:11">
      <c r="A85" s="56" t="s">
        <v>205</v>
      </c>
      <c r="B85" s="56">
        <v>12</v>
      </c>
      <c r="C85" s="54" t="s">
        <v>206</v>
      </c>
      <c r="D85" s="55">
        <v>12</v>
      </c>
      <c r="E85" s="55">
        <v>10</v>
      </c>
      <c r="F85" s="100"/>
      <c r="G85" s="77"/>
      <c r="H85" s="77"/>
      <c r="I85" s="58"/>
      <c r="J85" s="47"/>
      <c r="K85" s="56">
        <f>SUM(D85:J85)</f>
        <v>22</v>
      </c>
    </row>
    <row r="86" s="158" customFormat="1" ht="25.5" customHeight="1" spans="1:11">
      <c r="A86" s="78" t="s">
        <v>207</v>
      </c>
      <c r="B86" s="56">
        <v>11.5</v>
      </c>
      <c r="C86" s="61" t="s">
        <v>208</v>
      </c>
      <c r="D86" s="55">
        <v>17.5</v>
      </c>
      <c r="E86" s="55">
        <v>15</v>
      </c>
      <c r="F86" s="100"/>
      <c r="G86" s="77"/>
      <c r="H86" s="77"/>
      <c r="I86" s="58"/>
      <c r="J86" s="47"/>
      <c r="K86" s="56">
        <f>SUM(D86:J86)</f>
        <v>32.5</v>
      </c>
    </row>
    <row r="87" s="158" customFormat="1" ht="25.5" customHeight="1" spans="1:11">
      <c r="A87" s="78"/>
      <c r="B87" s="56"/>
      <c r="C87" s="61" t="s">
        <v>210</v>
      </c>
      <c r="D87" s="55">
        <v>17.5</v>
      </c>
      <c r="E87" s="55">
        <v>15</v>
      </c>
      <c r="F87" s="100"/>
      <c r="G87" s="77"/>
      <c r="H87" s="77"/>
      <c r="I87" s="58"/>
      <c r="J87" s="47"/>
      <c r="K87" s="56">
        <f t="shared" ref="K87:K105" si="4">SUM(D87:J87)</f>
        <v>32.5</v>
      </c>
    </row>
    <row r="88" s="158" customFormat="1" ht="25.5" customHeight="1" spans="1:11">
      <c r="A88" s="79" t="s">
        <v>237</v>
      </c>
      <c r="B88" s="56">
        <v>11.5</v>
      </c>
      <c r="C88" s="61" t="s">
        <v>212</v>
      </c>
      <c r="D88" s="55">
        <v>11.5</v>
      </c>
      <c r="E88" s="55">
        <v>10</v>
      </c>
      <c r="F88" s="100"/>
      <c r="G88" s="77"/>
      <c r="H88" s="77"/>
      <c r="I88" s="58"/>
      <c r="J88" s="47"/>
      <c r="K88" s="56">
        <f t="shared" si="4"/>
        <v>21.5</v>
      </c>
    </row>
    <row r="89" s="158" customFormat="1" ht="25.5" customHeight="1" spans="1:11">
      <c r="A89" s="80"/>
      <c r="B89" s="56"/>
      <c r="C89" s="3" t="s">
        <v>215</v>
      </c>
      <c r="D89" s="55">
        <v>11.5</v>
      </c>
      <c r="E89" s="55">
        <v>10</v>
      </c>
      <c r="F89" s="100"/>
      <c r="G89" s="77"/>
      <c r="H89" s="77"/>
      <c r="I89" s="83"/>
      <c r="J89" s="47"/>
      <c r="K89" s="56">
        <f t="shared" si="4"/>
        <v>21.5</v>
      </c>
    </row>
    <row r="90" s="158" customFormat="1" ht="25.5" customHeight="1" spans="1:11">
      <c r="A90" s="81" t="s">
        <v>238</v>
      </c>
      <c r="B90" s="56"/>
      <c r="C90" s="61" t="s">
        <v>213</v>
      </c>
      <c r="D90" s="55">
        <v>11.5</v>
      </c>
      <c r="E90" s="55">
        <v>10</v>
      </c>
      <c r="F90" s="100"/>
      <c r="G90" s="77"/>
      <c r="H90" s="77"/>
      <c r="I90" s="83"/>
      <c r="J90" s="47"/>
      <c r="K90" s="56">
        <f t="shared" si="4"/>
        <v>21.5</v>
      </c>
    </row>
    <row r="91" s="158" customFormat="1" ht="25.5" customHeight="1" spans="1:11">
      <c r="A91" s="82"/>
      <c r="B91" s="56"/>
      <c r="C91" s="61" t="s">
        <v>216</v>
      </c>
      <c r="D91" s="55">
        <v>19.7</v>
      </c>
      <c r="E91" s="55">
        <v>10</v>
      </c>
      <c r="F91" s="100"/>
      <c r="G91" s="77"/>
      <c r="H91" s="77"/>
      <c r="I91" s="58"/>
      <c r="J91" s="47"/>
      <c r="K91" s="56">
        <f t="shared" si="4"/>
        <v>29.7</v>
      </c>
    </row>
    <row r="92" s="158" customFormat="1" ht="25.5" customHeight="1" spans="1:11">
      <c r="A92" s="84" t="s">
        <v>239</v>
      </c>
      <c r="B92" s="56"/>
      <c r="C92" s="56" t="s">
        <v>214</v>
      </c>
      <c r="D92" s="55">
        <v>20</v>
      </c>
      <c r="E92" s="55">
        <v>25</v>
      </c>
      <c r="F92" s="100"/>
      <c r="G92" s="77"/>
      <c r="H92" s="77"/>
      <c r="I92" s="58"/>
      <c r="J92" s="47"/>
      <c r="K92" s="56">
        <f t="shared" si="4"/>
        <v>45</v>
      </c>
    </row>
    <row r="93" s="158" customFormat="1" ht="25.5" customHeight="1" spans="1:11">
      <c r="A93" s="56" t="s">
        <v>217</v>
      </c>
      <c r="B93" s="56">
        <v>10.5</v>
      </c>
      <c r="C93" s="56" t="s">
        <v>218</v>
      </c>
      <c r="D93" s="55">
        <v>10</v>
      </c>
      <c r="E93" s="55">
        <v>5</v>
      </c>
      <c r="F93" s="100"/>
      <c r="G93" s="77"/>
      <c r="H93" s="77"/>
      <c r="I93" s="58"/>
      <c r="J93" s="47"/>
      <c r="K93" s="56">
        <f t="shared" si="4"/>
        <v>15</v>
      </c>
    </row>
    <row r="94" s="158" customFormat="1" ht="25.5" customHeight="1" spans="1:11">
      <c r="A94" s="56"/>
      <c r="B94" s="56"/>
      <c r="C94" s="56" t="s">
        <v>219</v>
      </c>
      <c r="D94" s="47">
        <v>15</v>
      </c>
      <c r="E94" s="55">
        <v>10</v>
      </c>
      <c r="F94" s="100"/>
      <c r="G94" s="77"/>
      <c r="H94" s="77"/>
      <c r="I94" s="58"/>
      <c r="J94" s="47"/>
      <c r="K94" s="56">
        <f t="shared" si="4"/>
        <v>25</v>
      </c>
    </row>
    <row r="95" s="158" customFormat="1" ht="25.5" customHeight="1" spans="1:11">
      <c r="A95" s="56" t="s">
        <v>220</v>
      </c>
      <c r="B95" s="56">
        <v>11.5</v>
      </c>
      <c r="C95" s="61" t="s">
        <v>221</v>
      </c>
      <c r="D95" s="47">
        <v>51</v>
      </c>
      <c r="E95" s="55">
        <v>10</v>
      </c>
      <c r="F95" s="100"/>
      <c r="G95" s="77"/>
      <c r="H95" s="77"/>
      <c r="I95" s="58"/>
      <c r="J95" s="47"/>
      <c r="K95" s="56">
        <f t="shared" si="4"/>
        <v>61</v>
      </c>
    </row>
    <row r="96" s="158" customFormat="1" ht="25.5" customHeight="1" spans="1:11">
      <c r="A96" s="56"/>
      <c r="B96" s="56"/>
      <c r="C96" s="61" t="s">
        <v>222</v>
      </c>
      <c r="D96" s="47">
        <v>28</v>
      </c>
      <c r="E96" s="55">
        <v>5</v>
      </c>
      <c r="F96" s="100"/>
      <c r="G96" s="77"/>
      <c r="H96" s="77"/>
      <c r="I96" s="58"/>
      <c r="J96" s="47"/>
      <c r="K96" s="56">
        <f t="shared" si="4"/>
        <v>33</v>
      </c>
    </row>
    <row r="97" s="158" customFormat="1" ht="25.5" customHeight="1" spans="1:11">
      <c r="A97" s="56"/>
      <c r="B97" s="56"/>
      <c r="C97" s="61" t="s">
        <v>223</v>
      </c>
      <c r="D97" s="55">
        <v>13</v>
      </c>
      <c r="E97" s="55">
        <v>5</v>
      </c>
      <c r="F97" s="100"/>
      <c r="G97" s="77"/>
      <c r="H97" s="77"/>
      <c r="I97" s="58"/>
      <c r="J97" s="47"/>
      <c r="K97" s="56">
        <f t="shared" si="4"/>
        <v>18</v>
      </c>
    </row>
    <row r="98" s="158" customFormat="1" ht="25.5" customHeight="1" spans="1:11">
      <c r="A98" s="56"/>
      <c r="B98" s="56"/>
      <c r="C98" s="61" t="s">
        <v>224</v>
      </c>
      <c r="D98" s="55">
        <v>13</v>
      </c>
      <c r="E98" s="55">
        <v>5</v>
      </c>
      <c r="F98" s="100"/>
      <c r="G98" s="77"/>
      <c r="H98" s="77"/>
      <c r="I98" s="58"/>
      <c r="J98" s="47"/>
      <c r="K98" s="56">
        <f t="shared" si="4"/>
        <v>18</v>
      </c>
    </row>
    <row r="99" s="158" customFormat="1" ht="25.5" customHeight="1" spans="1:11">
      <c r="A99" s="85" t="s">
        <v>225</v>
      </c>
      <c r="B99" s="85">
        <v>10.5</v>
      </c>
      <c r="C99" s="56" t="s">
        <v>226</v>
      </c>
      <c r="D99" s="55">
        <v>13</v>
      </c>
      <c r="E99" s="55">
        <v>5</v>
      </c>
      <c r="F99" s="100"/>
      <c r="G99" s="77"/>
      <c r="H99" s="77"/>
      <c r="I99" s="58"/>
      <c r="J99" s="47"/>
      <c r="K99" s="56">
        <f t="shared" si="4"/>
        <v>18</v>
      </c>
    </row>
    <row r="100" s="158" customFormat="1" ht="25.5" customHeight="1" spans="1:11">
      <c r="A100" s="85"/>
      <c r="B100" s="85"/>
      <c r="C100" s="56" t="s">
        <v>228</v>
      </c>
      <c r="D100" s="55">
        <v>13</v>
      </c>
      <c r="E100" s="55">
        <v>10</v>
      </c>
      <c r="F100" s="100"/>
      <c r="G100" s="77"/>
      <c r="H100" s="77"/>
      <c r="I100" s="58"/>
      <c r="J100" s="58"/>
      <c r="K100" s="56">
        <f t="shared" si="4"/>
        <v>23</v>
      </c>
    </row>
    <row r="101" s="158" customFormat="1" ht="25.5" customHeight="1" spans="1:11">
      <c r="A101" s="85"/>
      <c r="B101" s="85"/>
      <c r="C101" s="56" t="s">
        <v>227</v>
      </c>
      <c r="D101" s="55">
        <v>13</v>
      </c>
      <c r="E101" s="55">
        <v>10</v>
      </c>
      <c r="F101" s="100"/>
      <c r="G101" s="77"/>
      <c r="H101" s="77"/>
      <c r="I101" s="58"/>
      <c r="J101" s="58"/>
      <c r="K101" s="56">
        <f t="shared" si="4"/>
        <v>23</v>
      </c>
    </row>
    <row r="102" s="158" customFormat="1" ht="25.5" customHeight="1" spans="1:11">
      <c r="A102" s="85"/>
      <c r="B102" s="85"/>
      <c r="C102" s="56" t="s">
        <v>229</v>
      </c>
      <c r="D102" s="55">
        <v>13</v>
      </c>
      <c r="E102" s="55">
        <v>10</v>
      </c>
      <c r="F102" s="100"/>
      <c r="G102" s="77"/>
      <c r="H102" s="77"/>
      <c r="I102" s="58"/>
      <c r="J102" s="58"/>
      <c r="K102" s="56">
        <f t="shared" si="4"/>
        <v>23</v>
      </c>
    </row>
    <row r="103" s="158" customFormat="1" ht="25.5" customHeight="1" spans="1:11">
      <c r="A103" s="85"/>
      <c r="B103" s="85"/>
      <c r="C103" s="56" t="s">
        <v>240</v>
      </c>
      <c r="D103" s="76">
        <v>13</v>
      </c>
      <c r="E103" s="76">
        <v>10</v>
      </c>
      <c r="F103" s="74"/>
      <c r="G103" s="74"/>
      <c r="H103" s="74"/>
      <c r="I103" s="74"/>
      <c r="J103" s="74"/>
      <c r="K103" s="74">
        <f t="shared" si="4"/>
        <v>23</v>
      </c>
    </row>
    <row r="104" s="158" customFormat="1" ht="25.5" customHeight="1" spans="1:11">
      <c r="A104" s="86" t="s">
        <v>230</v>
      </c>
      <c r="B104" s="86">
        <v>10.5</v>
      </c>
      <c r="C104" s="56" t="s">
        <v>231</v>
      </c>
      <c r="D104" s="55">
        <v>10</v>
      </c>
      <c r="E104" s="55">
        <v>10</v>
      </c>
      <c r="F104" s="100"/>
      <c r="G104" s="77"/>
      <c r="H104" s="77"/>
      <c r="I104" s="58"/>
      <c r="J104" s="47"/>
      <c r="K104" s="56">
        <f t="shared" si="4"/>
        <v>20</v>
      </c>
    </row>
    <row r="105" s="158" customFormat="1" ht="25.5" customHeight="1" spans="1:11">
      <c r="A105" s="86" t="s">
        <v>232</v>
      </c>
      <c r="B105" s="86">
        <v>12</v>
      </c>
      <c r="C105" s="86" t="s">
        <v>233</v>
      </c>
      <c r="D105" s="55">
        <v>12</v>
      </c>
      <c r="E105" s="55">
        <v>10</v>
      </c>
      <c r="F105" s="100"/>
      <c r="G105" s="167"/>
      <c r="H105" s="167"/>
      <c r="I105" s="83"/>
      <c r="J105" s="55"/>
      <c r="K105" s="56">
        <f t="shared" si="4"/>
        <v>22</v>
      </c>
    </row>
    <row r="106" s="158" customFormat="1" ht="25.5" customHeight="1" spans="1:1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56">
        <f>SUM(K85:K105)</f>
        <v>548.2</v>
      </c>
    </row>
    <row r="109" s="214" customFormat="1" ht="25.5" customHeight="1" spans="1:11">
      <c r="A109" s="163" t="s">
        <v>349</v>
      </c>
      <c r="B109" s="164"/>
      <c r="C109" s="164"/>
      <c r="D109" s="164"/>
      <c r="E109" s="164"/>
      <c r="F109" s="164"/>
      <c r="G109" s="164"/>
      <c r="H109" s="164"/>
      <c r="I109" s="164"/>
      <c r="J109" s="164"/>
      <c r="K109" s="165"/>
    </row>
    <row r="110" s="214" customFormat="1" ht="25.5" customHeight="1" spans="1:11">
      <c r="A110" s="215" t="s">
        <v>350</v>
      </c>
      <c r="B110" s="215"/>
      <c r="C110" s="215"/>
      <c r="D110" s="216" t="s">
        <v>351</v>
      </c>
      <c r="E110" s="217"/>
      <c r="F110" s="218"/>
      <c r="G110" s="219"/>
      <c r="H110" s="218"/>
      <c r="I110" s="218"/>
      <c r="J110" s="218"/>
      <c r="K110" s="218"/>
    </row>
    <row r="111" s="214" customFormat="1" ht="25.5" customHeight="1" spans="1:11">
      <c r="A111" s="56" t="s">
        <v>200</v>
      </c>
      <c r="B111" s="56" t="s">
        <v>201</v>
      </c>
      <c r="C111" s="61" t="s">
        <v>202</v>
      </c>
      <c r="D111" s="220" t="s">
        <v>6</v>
      </c>
      <c r="E111" s="220" t="s">
        <v>6</v>
      </c>
      <c r="F111" s="219" t="s">
        <v>6</v>
      </c>
      <c r="G111" s="219" t="s">
        <v>6</v>
      </c>
      <c r="H111" s="219" t="s">
        <v>6</v>
      </c>
      <c r="I111" s="219" t="s">
        <v>6</v>
      </c>
      <c r="J111" s="221" t="s">
        <v>352</v>
      </c>
      <c r="K111" s="219" t="s">
        <v>353</v>
      </c>
    </row>
    <row r="112" s="214" customFormat="1" ht="25.5" customHeight="1" spans="1:11">
      <c r="A112" s="56" t="s">
        <v>205</v>
      </c>
      <c r="B112" s="56">
        <v>12</v>
      </c>
      <c r="C112" s="54" t="s">
        <v>206</v>
      </c>
      <c r="D112" s="222">
        <v>12</v>
      </c>
      <c r="E112" s="222">
        <v>5</v>
      </c>
      <c r="F112" s="222">
        <v>10</v>
      </c>
      <c r="G112" s="222"/>
      <c r="H112" s="222"/>
      <c r="I112" s="223"/>
      <c r="J112" s="223"/>
      <c r="K112" s="223">
        <f t="shared" ref="K112:K134" si="5">SUM(D112:J112)</f>
        <v>27</v>
      </c>
    </row>
    <row r="113" s="214" customFormat="1" ht="25.5" customHeight="1" spans="1:11">
      <c r="A113" s="78" t="s">
        <v>207</v>
      </c>
      <c r="B113" s="56">
        <v>11.5</v>
      </c>
      <c r="C113" s="61" t="s">
        <v>208</v>
      </c>
      <c r="D113" s="222">
        <v>17.5</v>
      </c>
      <c r="E113" s="222">
        <v>10</v>
      </c>
      <c r="F113" s="222">
        <v>10</v>
      </c>
      <c r="G113" s="222"/>
      <c r="H113" s="222"/>
      <c r="I113" s="223"/>
      <c r="J113" s="223"/>
      <c r="K113" s="223">
        <f t="shared" si="5"/>
        <v>37.5</v>
      </c>
    </row>
    <row r="114" s="214" customFormat="1" ht="25.5" customHeight="1" spans="1:11">
      <c r="A114" s="78"/>
      <c r="B114" s="56"/>
      <c r="C114" s="61" t="s">
        <v>210</v>
      </c>
      <c r="D114" s="222">
        <v>17.5</v>
      </c>
      <c r="E114" s="222">
        <v>5</v>
      </c>
      <c r="F114" s="222">
        <v>10</v>
      </c>
      <c r="G114" s="222"/>
      <c r="H114" s="222"/>
      <c r="I114" s="223"/>
      <c r="J114" s="223"/>
      <c r="K114" s="223">
        <f t="shared" si="5"/>
        <v>32.5</v>
      </c>
    </row>
    <row r="115" s="214" customFormat="1" ht="25.5" customHeight="1" spans="1:11">
      <c r="A115" s="79" t="s">
        <v>237</v>
      </c>
      <c r="B115" s="56">
        <v>11.5</v>
      </c>
      <c r="C115" s="61" t="s">
        <v>212</v>
      </c>
      <c r="D115" s="222">
        <v>11.5</v>
      </c>
      <c r="E115" s="222">
        <v>5</v>
      </c>
      <c r="F115" s="222">
        <v>10</v>
      </c>
      <c r="G115" s="222"/>
      <c r="H115" s="222"/>
      <c r="I115" s="223"/>
      <c r="J115" s="223"/>
      <c r="K115" s="223">
        <f t="shared" si="5"/>
        <v>26.5</v>
      </c>
    </row>
    <row r="116" s="214" customFormat="1" ht="25.5" customHeight="1" spans="1:11">
      <c r="A116" s="80"/>
      <c r="B116" s="56"/>
      <c r="C116" s="3" t="s">
        <v>215</v>
      </c>
      <c r="D116" s="222">
        <v>11.5</v>
      </c>
      <c r="E116" s="222">
        <v>5</v>
      </c>
      <c r="F116" s="222">
        <v>11</v>
      </c>
      <c r="G116" s="222"/>
      <c r="H116" s="222"/>
      <c r="I116" s="223"/>
      <c r="J116" s="223"/>
      <c r="K116" s="223">
        <f t="shared" si="5"/>
        <v>27.5</v>
      </c>
    </row>
    <row r="117" s="214" customFormat="1" ht="25.5" customHeight="1" spans="1:11">
      <c r="A117" s="81" t="s">
        <v>238</v>
      </c>
      <c r="B117" s="56"/>
      <c r="C117" s="61" t="s">
        <v>213</v>
      </c>
      <c r="D117" s="223">
        <v>11.5</v>
      </c>
      <c r="E117" s="223">
        <v>10</v>
      </c>
      <c r="F117" s="222">
        <v>0</v>
      </c>
      <c r="G117" s="223"/>
      <c r="H117" s="222"/>
      <c r="I117" s="223"/>
      <c r="J117" s="223"/>
      <c r="K117" s="223">
        <f t="shared" si="5"/>
        <v>21.5</v>
      </c>
    </row>
    <row r="118" s="214" customFormat="1" ht="25.5" customHeight="1" spans="1:11">
      <c r="A118" s="82"/>
      <c r="B118" s="56"/>
      <c r="C118" s="61" t="s">
        <v>216</v>
      </c>
      <c r="D118" s="223">
        <v>0</v>
      </c>
      <c r="E118" s="223">
        <v>10</v>
      </c>
      <c r="F118" s="222">
        <v>0</v>
      </c>
      <c r="G118" s="223"/>
      <c r="H118" s="222"/>
      <c r="I118" s="223"/>
      <c r="J118" s="223"/>
      <c r="K118" s="223">
        <f t="shared" si="5"/>
        <v>10</v>
      </c>
    </row>
    <row r="119" s="214" customFormat="1" ht="25.5" customHeight="1" spans="1:11">
      <c r="A119" s="84" t="s">
        <v>239</v>
      </c>
      <c r="B119" s="56"/>
      <c r="C119" s="56" t="s">
        <v>214</v>
      </c>
      <c r="D119" s="223">
        <v>0</v>
      </c>
      <c r="E119" s="223">
        <v>10</v>
      </c>
      <c r="F119" s="222">
        <v>0</v>
      </c>
      <c r="G119" s="223"/>
      <c r="H119" s="222"/>
      <c r="I119" s="223"/>
      <c r="J119" s="223"/>
      <c r="K119" s="223">
        <f t="shared" si="5"/>
        <v>10</v>
      </c>
    </row>
    <row r="120" s="214" customFormat="1" ht="25.5" customHeight="1" spans="1:11">
      <c r="A120" s="56" t="s">
        <v>217</v>
      </c>
      <c r="B120" s="56">
        <v>10.5</v>
      </c>
      <c r="C120" s="56" t="s">
        <v>218</v>
      </c>
      <c r="D120" s="222">
        <v>11.5</v>
      </c>
      <c r="E120" s="223">
        <v>5</v>
      </c>
      <c r="F120" s="222">
        <v>10</v>
      </c>
      <c r="G120" s="223"/>
      <c r="H120" s="222"/>
      <c r="I120" s="222"/>
      <c r="J120" s="223"/>
      <c r="K120" s="223">
        <f t="shared" si="5"/>
        <v>26.5</v>
      </c>
    </row>
    <row r="121" s="214" customFormat="1" ht="25.5" customHeight="1" spans="1:11">
      <c r="A121" s="56"/>
      <c r="B121" s="56"/>
      <c r="C121" s="56" t="s">
        <v>219</v>
      </c>
      <c r="D121" s="223">
        <v>10</v>
      </c>
      <c r="E121" s="223">
        <v>10</v>
      </c>
      <c r="F121" s="222">
        <v>0</v>
      </c>
      <c r="G121" s="223"/>
      <c r="H121" s="222"/>
      <c r="I121" s="223"/>
      <c r="J121" s="223"/>
      <c r="K121" s="223">
        <f t="shared" si="5"/>
        <v>20</v>
      </c>
    </row>
    <row r="122" s="214" customFormat="1" ht="25.5" customHeight="1" spans="1:11">
      <c r="A122" s="56" t="s">
        <v>220</v>
      </c>
      <c r="B122" s="56">
        <v>11.5</v>
      </c>
      <c r="C122" s="61" t="s">
        <v>221</v>
      </c>
      <c r="D122" s="223">
        <v>30.5</v>
      </c>
      <c r="E122" s="223">
        <v>10</v>
      </c>
      <c r="F122" s="222">
        <v>0</v>
      </c>
      <c r="G122" s="223"/>
      <c r="H122" s="222"/>
      <c r="I122" s="223"/>
      <c r="J122" s="223"/>
      <c r="K122" s="223">
        <f t="shared" si="5"/>
        <v>40.5</v>
      </c>
    </row>
    <row r="123" s="214" customFormat="1" ht="25.5" customHeight="1" spans="1:11">
      <c r="A123" s="56"/>
      <c r="B123" s="56"/>
      <c r="C123" s="61" t="s">
        <v>222</v>
      </c>
      <c r="D123" s="222">
        <v>19</v>
      </c>
      <c r="E123" s="222">
        <v>5</v>
      </c>
      <c r="F123" s="222">
        <v>10</v>
      </c>
      <c r="G123" s="222"/>
      <c r="H123" s="222"/>
      <c r="I123" s="223"/>
      <c r="J123" s="223"/>
      <c r="K123" s="223">
        <f t="shared" si="5"/>
        <v>34</v>
      </c>
    </row>
    <row r="124" s="214" customFormat="1" ht="25.5" customHeight="1" spans="1:11">
      <c r="A124" s="56"/>
      <c r="B124" s="56"/>
      <c r="C124" s="61" t="s">
        <v>223</v>
      </c>
      <c r="D124" s="222">
        <v>19</v>
      </c>
      <c r="E124" s="222">
        <v>5</v>
      </c>
      <c r="F124" s="222">
        <v>5</v>
      </c>
      <c r="G124" s="222"/>
      <c r="H124" s="222"/>
      <c r="I124" s="223"/>
      <c r="J124" s="223"/>
      <c r="K124" s="223">
        <f t="shared" si="5"/>
        <v>29</v>
      </c>
    </row>
    <row r="125" s="214" customFormat="1" ht="25.5" customHeight="1" spans="1:11">
      <c r="A125" s="56"/>
      <c r="B125" s="56"/>
      <c r="C125" s="61" t="s">
        <v>354</v>
      </c>
      <c r="D125" s="222">
        <v>19</v>
      </c>
      <c r="E125" s="222">
        <v>10</v>
      </c>
      <c r="F125" s="222">
        <v>5</v>
      </c>
      <c r="G125" s="222"/>
      <c r="H125" s="222"/>
      <c r="I125" s="223"/>
      <c r="J125" s="223"/>
      <c r="K125" s="223">
        <f t="shared" si="5"/>
        <v>34</v>
      </c>
    </row>
    <row r="126" s="214" customFormat="1" ht="25.5" customHeight="1" spans="1:11">
      <c r="A126" s="85" t="s">
        <v>225</v>
      </c>
      <c r="B126" s="85">
        <v>10.5</v>
      </c>
      <c r="C126" s="56" t="s">
        <v>226</v>
      </c>
      <c r="D126" s="222">
        <v>19</v>
      </c>
      <c r="E126" s="223">
        <v>10</v>
      </c>
      <c r="F126" s="222">
        <v>10</v>
      </c>
      <c r="G126" s="223"/>
      <c r="H126" s="222"/>
      <c r="I126" s="223"/>
      <c r="J126" s="223"/>
      <c r="K126" s="223">
        <f t="shared" si="5"/>
        <v>39</v>
      </c>
    </row>
    <row r="127" s="214" customFormat="1" ht="25.5" customHeight="1" spans="1:11">
      <c r="A127" s="85"/>
      <c r="B127" s="85"/>
      <c r="C127" s="56" t="s">
        <v>228</v>
      </c>
      <c r="D127" s="222">
        <v>11.5</v>
      </c>
      <c r="E127" s="223">
        <v>10</v>
      </c>
      <c r="F127" s="222">
        <v>5</v>
      </c>
      <c r="G127" s="223"/>
      <c r="H127" s="222"/>
      <c r="I127" s="223"/>
      <c r="J127" s="223"/>
      <c r="K127" s="223">
        <f t="shared" si="5"/>
        <v>26.5</v>
      </c>
    </row>
    <row r="128" s="214" customFormat="1" ht="25.5" customHeight="1" spans="1:11">
      <c r="A128" s="85"/>
      <c r="B128" s="85"/>
      <c r="C128" s="56" t="s">
        <v>227</v>
      </c>
      <c r="D128" s="222">
        <v>11.5</v>
      </c>
      <c r="E128" s="223">
        <v>5</v>
      </c>
      <c r="F128" s="222">
        <v>5</v>
      </c>
      <c r="G128" s="223"/>
      <c r="H128" s="222"/>
      <c r="I128" s="223"/>
      <c r="J128" s="223"/>
      <c r="K128" s="223">
        <f t="shared" si="5"/>
        <v>21.5</v>
      </c>
    </row>
    <row r="129" s="214" customFormat="1" ht="25.5" customHeight="1" spans="1:11">
      <c r="A129" s="85"/>
      <c r="B129" s="85"/>
      <c r="C129" s="56" t="s">
        <v>229</v>
      </c>
      <c r="D129" s="222">
        <v>11.5</v>
      </c>
      <c r="E129" s="222">
        <v>5</v>
      </c>
      <c r="F129" s="222">
        <v>10</v>
      </c>
      <c r="G129" s="222"/>
      <c r="H129" s="222"/>
      <c r="I129" s="223"/>
      <c r="J129" s="223"/>
      <c r="K129" s="223">
        <f t="shared" si="5"/>
        <v>26.5</v>
      </c>
    </row>
    <row r="130" s="214" customFormat="1" ht="25.5" customHeight="1" spans="1:11">
      <c r="A130" s="85"/>
      <c r="B130" s="85"/>
      <c r="C130" s="56" t="s">
        <v>240</v>
      </c>
      <c r="D130" s="222">
        <v>11.5</v>
      </c>
      <c r="E130" s="222">
        <v>5</v>
      </c>
      <c r="F130" s="222">
        <v>10</v>
      </c>
      <c r="G130" s="222"/>
      <c r="H130" s="222"/>
      <c r="I130" s="223"/>
      <c r="J130" s="223"/>
      <c r="K130" s="223">
        <f t="shared" si="5"/>
        <v>26.5</v>
      </c>
    </row>
    <row r="131" s="214" customFormat="1" ht="25.5" customHeight="1" spans="1:11">
      <c r="A131" s="86" t="s">
        <v>230</v>
      </c>
      <c r="B131" s="86">
        <v>10.5</v>
      </c>
      <c r="C131" s="56" t="s">
        <v>231</v>
      </c>
      <c r="D131" s="222">
        <v>10.5</v>
      </c>
      <c r="E131" s="222">
        <v>5</v>
      </c>
      <c r="F131" s="222">
        <v>0</v>
      </c>
      <c r="G131" s="222"/>
      <c r="H131" s="222"/>
      <c r="I131" s="223"/>
      <c r="J131" s="224"/>
      <c r="K131" s="223">
        <f t="shared" si="5"/>
        <v>15.5</v>
      </c>
    </row>
    <row r="132" s="214" customFormat="1" ht="25.5" customHeight="1" spans="1:11">
      <c r="A132" s="86" t="s">
        <v>232</v>
      </c>
      <c r="B132" s="86">
        <v>12</v>
      </c>
      <c r="C132" s="86" t="s">
        <v>233</v>
      </c>
      <c r="D132" s="222">
        <v>12</v>
      </c>
      <c r="E132" s="222">
        <v>5</v>
      </c>
      <c r="F132" s="222">
        <v>5</v>
      </c>
      <c r="G132" s="222"/>
      <c r="H132" s="222"/>
      <c r="I132" s="223"/>
      <c r="J132" s="224"/>
      <c r="K132" s="223">
        <f t="shared" si="5"/>
        <v>22</v>
      </c>
    </row>
    <row r="133" s="214" customFormat="1" ht="28" customHeight="1" spans="1:11">
      <c r="A133" s="225"/>
      <c r="B133" s="226"/>
      <c r="C133" s="226"/>
      <c r="D133" s="226"/>
      <c r="E133" s="227"/>
      <c r="F133" s="226"/>
      <c r="G133" s="226"/>
      <c r="H133" s="226"/>
      <c r="I133" s="226"/>
      <c r="J133" s="224"/>
      <c r="K133" s="223">
        <f>SUM(K112:K132)</f>
        <v>554</v>
      </c>
    </row>
    <row r="135" ht="14" customHeight="1"/>
    <row r="136" s="1" customFormat="1" ht="28" customHeight="1" spans="1:11">
      <c r="A136" s="42" t="s">
        <v>344</v>
      </c>
      <c r="B136" s="42"/>
      <c r="C136" s="42"/>
      <c r="D136" s="42"/>
      <c r="E136" s="42"/>
      <c r="F136" s="42"/>
      <c r="G136" s="42"/>
      <c r="H136" s="42"/>
      <c r="I136" s="42"/>
      <c r="J136" s="42"/>
      <c r="K136" s="42"/>
    </row>
    <row r="137" s="1" customFormat="1" ht="21" customHeight="1" spans="1:11">
      <c r="A137" s="91" t="s">
        <v>293</v>
      </c>
      <c r="B137" s="91"/>
      <c r="C137" s="91"/>
      <c r="D137" s="92" t="s">
        <v>355</v>
      </c>
      <c r="E137" s="91"/>
      <c r="F137" s="91"/>
      <c r="G137" s="91"/>
      <c r="H137" s="91"/>
      <c r="I137" s="91"/>
      <c r="J137" s="91"/>
      <c r="K137" s="91"/>
    </row>
    <row r="138" s="1" customFormat="1" ht="21" customHeight="1" spans="1:11">
      <c r="A138" s="93" t="s">
        <v>200</v>
      </c>
      <c r="B138" s="93" t="s">
        <v>201</v>
      </c>
      <c r="C138" s="94" t="s">
        <v>202</v>
      </c>
      <c r="D138" s="95" t="s">
        <v>6</v>
      </c>
      <c r="E138" s="95" t="s">
        <v>6</v>
      </c>
      <c r="F138" s="93" t="s">
        <v>6</v>
      </c>
      <c r="G138" s="93" t="s">
        <v>6</v>
      </c>
      <c r="H138" s="93" t="s">
        <v>6</v>
      </c>
      <c r="I138" s="93" t="s">
        <v>6</v>
      </c>
      <c r="J138" s="93" t="s">
        <v>203</v>
      </c>
      <c r="K138" s="93" t="s">
        <v>204</v>
      </c>
    </row>
    <row r="139" s="1" customFormat="1" ht="21" customHeight="1" spans="1:11">
      <c r="A139" s="13" t="s">
        <v>205</v>
      </c>
      <c r="B139" s="13">
        <v>12</v>
      </c>
      <c r="C139" s="38" t="s">
        <v>206</v>
      </c>
      <c r="D139" s="28">
        <v>12</v>
      </c>
      <c r="E139" s="28">
        <v>10</v>
      </c>
      <c r="F139" s="28"/>
      <c r="G139" s="28"/>
      <c r="H139" s="28"/>
      <c r="I139" s="13"/>
      <c r="J139" s="13"/>
      <c r="K139" s="13">
        <f>SUM(D139:J139)</f>
        <v>22</v>
      </c>
    </row>
    <row r="140" s="1" customFormat="1" ht="21" customHeight="1" spans="1:11">
      <c r="A140" s="96" t="s">
        <v>207</v>
      </c>
      <c r="B140" s="13">
        <v>11.5</v>
      </c>
      <c r="C140" s="17" t="s">
        <v>208</v>
      </c>
      <c r="D140" s="28">
        <v>17.5</v>
      </c>
      <c r="E140" s="28">
        <v>15</v>
      </c>
      <c r="F140" s="28"/>
      <c r="G140" s="28"/>
      <c r="H140" s="28"/>
      <c r="I140" s="13"/>
      <c r="J140" s="13"/>
      <c r="K140" s="13">
        <f>SUM(D140:J140)</f>
        <v>32.5</v>
      </c>
    </row>
    <row r="141" s="1" customFormat="1" ht="21" customHeight="1" spans="1:11">
      <c r="A141" s="96"/>
      <c r="B141" s="13"/>
      <c r="C141" s="17" t="s">
        <v>210</v>
      </c>
      <c r="D141" s="28">
        <v>17.5</v>
      </c>
      <c r="E141" s="28">
        <v>15</v>
      </c>
      <c r="F141" s="28"/>
      <c r="G141" s="28"/>
      <c r="H141" s="28"/>
      <c r="I141" s="13"/>
      <c r="J141" s="13"/>
      <c r="K141" s="13">
        <f t="shared" ref="K141:K160" si="6">SUM(D141:J141)</f>
        <v>32.5</v>
      </c>
    </row>
    <row r="142" s="1" customFormat="1" ht="21" customHeight="1" spans="1:11">
      <c r="A142" s="16" t="s">
        <v>237</v>
      </c>
      <c r="B142" s="13">
        <v>11.5</v>
      </c>
      <c r="C142" s="17" t="s">
        <v>212</v>
      </c>
      <c r="D142" s="13">
        <v>10</v>
      </c>
      <c r="E142" s="28">
        <v>10</v>
      </c>
      <c r="F142" s="28"/>
      <c r="G142" s="28"/>
      <c r="H142" s="28"/>
      <c r="I142" s="13"/>
      <c r="J142" s="13"/>
      <c r="K142" s="13">
        <f t="shared" si="6"/>
        <v>20</v>
      </c>
    </row>
    <row r="143" s="1" customFormat="1" ht="21" customHeight="1" spans="1:11">
      <c r="A143" s="18"/>
      <c r="B143" s="13"/>
      <c r="C143" s="1" t="s">
        <v>215</v>
      </c>
      <c r="D143" s="13">
        <v>11.5</v>
      </c>
      <c r="E143" s="28">
        <v>11</v>
      </c>
      <c r="F143" s="28"/>
      <c r="G143" s="28"/>
      <c r="H143" s="28"/>
      <c r="I143" s="13"/>
      <c r="J143" s="13"/>
      <c r="K143" s="13">
        <f t="shared" si="6"/>
        <v>22.5</v>
      </c>
    </row>
    <row r="144" s="1" customFormat="1" ht="21" customHeight="1" spans="1:11">
      <c r="A144" s="19" t="s">
        <v>238</v>
      </c>
      <c r="B144" s="13"/>
      <c r="C144" s="17" t="s">
        <v>213</v>
      </c>
      <c r="D144" s="13">
        <v>15</v>
      </c>
      <c r="E144" s="28">
        <v>15</v>
      </c>
      <c r="F144" s="28"/>
      <c r="G144" s="28"/>
      <c r="H144" s="28"/>
      <c r="I144" s="13"/>
      <c r="J144" s="13"/>
      <c r="K144" s="13">
        <f t="shared" si="6"/>
        <v>30</v>
      </c>
    </row>
    <row r="145" s="1" customFormat="1" ht="21" customHeight="1" spans="1:11">
      <c r="A145" s="20"/>
      <c r="B145" s="13"/>
      <c r="C145" s="17" t="s">
        <v>216</v>
      </c>
      <c r="D145" s="13">
        <v>15</v>
      </c>
      <c r="E145" s="28">
        <v>15</v>
      </c>
      <c r="F145" s="28"/>
      <c r="G145" s="28"/>
      <c r="H145" s="28"/>
      <c r="I145" s="13"/>
      <c r="J145" s="13"/>
      <c r="K145" s="13">
        <f t="shared" si="6"/>
        <v>30</v>
      </c>
    </row>
    <row r="146" s="1" customFormat="1" ht="21" customHeight="1" spans="1:11">
      <c r="A146" s="21" t="s">
        <v>239</v>
      </c>
      <c r="B146" s="13"/>
      <c r="C146" s="13" t="s">
        <v>214</v>
      </c>
      <c r="D146" s="13">
        <v>15</v>
      </c>
      <c r="E146" s="28">
        <v>10</v>
      </c>
      <c r="F146" s="28"/>
      <c r="G146" s="28"/>
      <c r="H146" s="28"/>
      <c r="I146" s="13"/>
      <c r="J146" s="13"/>
      <c r="K146" s="13">
        <f t="shared" si="6"/>
        <v>25</v>
      </c>
    </row>
    <row r="147" s="1" customFormat="1" ht="21" customHeight="1" spans="1:11">
      <c r="A147" s="13" t="s">
        <v>217</v>
      </c>
      <c r="B147" s="13">
        <v>10.5</v>
      </c>
      <c r="C147" s="13" t="s">
        <v>218</v>
      </c>
      <c r="D147" s="13">
        <v>15</v>
      </c>
      <c r="E147" s="28">
        <v>15</v>
      </c>
      <c r="F147" s="28"/>
      <c r="G147" s="28"/>
      <c r="H147" s="28"/>
      <c r="I147" s="13"/>
      <c r="J147" s="13"/>
      <c r="K147" s="13">
        <f t="shared" si="6"/>
        <v>30</v>
      </c>
    </row>
    <row r="148" s="1" customFormat="1" ht="21" customHeight="1" spans="1:11">
      <c r="A148" s="13"/>
      <c r="B148" s="13"/>
      <c r="C148" s="13" t="s">
        <v>219</v>
      </c>
      <c r="D148" s="13">
        <v>15</v>
      </c>
      <c r="E148" s="28">
        <v>15</v>
      </c>
      <c r="F148" s="28"/>
      <c r="G148" s="28"/>
      <c r="H148" s="28"/>
      <c r="I148" s="13"/>
      <c r="J148" s="13"/>
      <c r="K148" s="13">
        <f t="shared" si="6"/>
        <v>30</v>
      </c>
    </row>
    <row r="149" s="1" customFormat="1" ht="21" customHeight="1" spans="1:11">
      <c r="A149" s="13" t="s">
        <v>220</v>
      </c>
      <c r="B149" s="13">
        <v>11.5</v>
      </c>
      <c r="C149" s="17" t="s">
        <v>221</v>
      </c>
      <c r="D149" s="28">
        <v>30</v>
      </c>
      <c r="E149" s="28">
        <v>15</v>
      </c>
      <c r="F149" s="28"/>
      <c r="G149" s="28"/>
      <c r="H149" s="28"/>
      <c r="I149" s="13"/>
      <c r="J149" s="13"/>
      <c r="K149" s="13">
        <f t="shared" si="6"/>
        <v>45</v>
      </c>
    </row>
    <row r="150" s="1" customFormat="1" ht="21" customHeight="1" spans="1:11">
      <c r="A150" s="13"/>
      <c r="B150" s="13"/>
      <c r="C150" s="17" t="s">
        <v>222</v>
      </c>
      <c r="D150" s="28">
        <v>11</v>
      </c>
      <c r="E150" s="28">
        <v>5</v>
      </c>
      <c r="F150" s="28"/>
      <c r="G150" s="28"/>
      <c r="H150" s="28"/>
      <c r="I150" s="13"/>
      <c r="J150" s="13"/>
      <c r="K150" s="13">
        <f t="shared" si="6"/>
        <v>16</v>
      </c>
    </row>
    <row r="151" s="1" customFormat="1" ht="21" customHeight="1" spans="1:11">
      <c r="A151" s="13"/>
      <c r="B151" s="13"/>
      <c r="C151" s="17" t="s">
        <v>223</v>
      </c>
      <c r="D151" s="28">
        <v>16.5</v>
      </c>
      <c r="E151" s="28">
        <v>10</v>
      </c>
      <c r="F151" s="28"/>
      <c r="G151" s="28"/>
      <c r="H151" s="28"/>
      <c r="I151" s="13"/>
      <c r="J151" s="13"/>
      <c r="K151" s="13">
        <f t="shared" si="6"/>
        <v>26.5</v>
      </c>
    </row>
    <row r="152" s="1" customFormat="1" ht="21" customHeight="1" spans="1:11">
      <c r="A152" s="13"/>
      <c r="B152" s="13"/>
      <c r="C152" s="17" t="s">
        <v>224</v>
      </c>
      <c r="D152" s="28">
        <v>16.5</v>
      </c>
      <c r="E152" s="28">
        <v>5</v>
      </c>
      <c r="F152" s="28"/>
      <c r="G152" s="28"/>
      <c r="H152" s="28"/>
      <c r="I152" s="13"/>
      <c r="J152" s="13"/>
      <c r="K152" s="13">
        <f t="shared" si="6"/>
        <v>21.5</v>
      </c>
    </row>
    <row r="153" s="1" customFormat="1" ht="21" customHeight="1" spans="1:11">
      <c r="A153" s="97" t="s">
        <v>225</v>
      </c>
      <c r="B153" s="97">
        <v>10.5</v>
      </c>
      <c r="C153" s="13" t="s">
        <v>226</v>
      </c>
      <c r="D153" s="28">
        <v>16.5</v>
      </c>
      <c r="E153" s="28">
        <v>5</v>
      </c>
      <c r="F153" s="28"/>
      <c r="G153" s="28"/>
      <c r="H153" s="28"/>
      <c r="I153" s="13"/>
      <c r="J153" s="13"/>
      <c r="K153" s="13">
        <f t="shared" si="6"/>
        <v>21.5</v>
      </c>
    </row>
    <row r="154" s="1" customFormat="1" ht="21" customHeight="1" spans="1:11">
      <c r="A154" s="97"/>
      <c r="B154" s="97"/>
      <c r="C154" s="13" t="s">
        <v>228</v>
      </c>
      <c r="D154" s="13">
        <v>16.5</v>
      </c>
      <c r="E154" s="28">
        <v>5</v>
      </c>
      <c r="F154" s="28"/>
      <c r="G154" s="28"/>
      <c r="H154" s="28"/>
      <c r="I154" s="13"/>
      <c r="J154" s="13"/>
      <c r="K154" s="13">
        <f t="shared" si="6"/>
        <v>21.5</v>
      </c>
    </row>
    <row r="155" s="1" customFormat="1" ht="21" customHeight="1" spans="1:11">
      <c r="A155" s="97"/>
      <c r="B155" s="97"/>
      <c r="C155" s="13" t="s">
        <v>227</v>
      </c>
      <c r="D155" s="13">
        <v>16.5</v>
      </c>
      <c r="E155" s="28">
        <v>0</v>
      </c>
      <c r="F155" s="28"/>
      <c r="G155" s="28"/>
      <c r="H155" s="28"/>
      <c r="I155" s="13"/>
      <c r="J155" s="13"/>
      <c r="K155" s="13">
        <f t="shared" si="6"/>
        <v>16.5</v>
      </c>
    </row>
    <row r="156" s="1" customFormat="1" ht="21" customHeight="1" spans="1:11">
      <c r="A156" s="97"/>
      <c r="B156" s="97"/>
      <c r="C156" s="1" t="s">
        <v>295</v>
      </c>
      <c r="D156" s="28">
        <v>16.5</v>
      </c>
      <c r="E156" s="28">
        <v>5</v>
      </c>
      <c r="F156" s="28"/>
      <c r="G156" s="28"/>
      <c r="H156" s="28"/>
      <c r="I156" s="13"/>
      <c r="J156" s="98"/>
      <c r="K156" s="13">
        <f t="shared" si="6"/>
        <v>21.5</v>
      </c>
    </row>
    <row r="157" s="1" customFormat="1" ht="21" customHeight="1" spans="1:11">
      <c r="A157" s="97"/>
      <c r="B157" s="97"/>
      <c r="C157" s="13" t="s">
        <v>229</v>
      </c>
      <c r="D157" s="28">
        <v>16.5</v>
      </c>
      <c r="E157" s="28">
        <v>5</v>
      </c>
      <c r="F157" s="28"/>
      <c r="G157" s="28"/>
      <c r="H157" s="28"/>
      <c r="I157" s="13"/>
      <c r="J157" s="98"/>
      <c r="K157" s="13">
        <f t="shared" si="6"/>
        <v>21.5</v>
      </c>
    </row>
    <row r="158" s="1" customFormat="1" ht="21" customHeight="1" spans="1:11">
      <c r="A158" s="28" t="s">
        <v>230</v>
      </c>
      <c r="B158" s="28">
        <v>10.5</v>
      </c>
      <c r="C158" s="13" t="s">
        <v>231</v>
      </c>
      <c r="D158" s="13">
        <v>10.5</v>
      </c>
      <c r="E158" s="28">
        <v>5</v>
      </c>
      <c r="F158" s="28"/>
      <c r="G158" s="13"/>
      <c r="H158" s="13"/>
      <c r="I158" s="13"/>
      <c r="J158" s="98"/>
      <c r="K158" s="13">
        <f t="shared" si="6"/>
        <v>15.5</v>
      </c>
    </row>
    <row r="159" s="1" customFormat="1" ht="21" customHeight="1" spans="1:11">
      <c r="A159" s="13" t="s">
        <v>232</v>
      </c>
      <c r="B159" s="13">
        <v>12</v>
      </c>
      <c r="C159" s="13" t="s">
        <v>233</v>
      </c>
      <c r="D159" s="13">
        <v>12</v>
      </c>
      <c r="E159" s="13">
        <v>5</v>
      </c>
      <c r="F159" s="13"/>
      <c r="G159" s="13"/>
      <c r="H159" s="13"/>
      <c r="I159" s="13"/>
      <c r="J159" s="98"/>
      <c r="K159" s="13">
        <f t="shared" si="6"/>
        <v>17</v>
      </c>
    </row>
    <row r="160" s="1" customFormat="1" ht="21" customHeight="1" spans="1:11">
      <c r="A160" s="13"/>
      <c r="B160" s="13"/>
      <c r="C160" s="13"/>
      <c r="D160" s="13"/>
      <c r="E160" s="13"/>
      <c r="F160" s="13"/>
      <c r="G160" s="13"/>
      <c r="H160" s="13"/>
      <c r="I160" s="13"/>
      <c r="J160" s="105"/>
      <c r="K160" s="9">
        <f>SUM(K139:K159)</f>
        <v>518.5</v>
      </c>
    </row>
    <row r="163" s="102" customFormat="1" ht="23.25" customHeight="1" spans="1:11">
      <c r="A163" s="88" t="s">
        <v>344</v>
      </c>
      <c r="B163" s="88"/>
      <c r="C163" s="88"/>
      <c r="D163" s="88"/>
      <c r="E163" s="88"/>
      <c r="F163" s="88"/>
      <c r="G163" s="88"/>
      <c r="H163" s="88"/>
      <c r="I163" s="88"/>
      <c r="J163" s="88"/>
      <c r="K163" s="88"/>
    </row>
    <row r="164" s="102" customFormat="1" ht="23.25" customHeight="1" spans="1:11">
      <c r="A164" s="108" t="s">
        <v>235</v>
      </c>
      <c r="B164" s="108"/>
      <c r="C164" s="108"/>
      <c r="D164" s="109" t="s">
        <v>356</v>
      </c>
      <c r="E164" s="110"/>
      <c r="F164" s="108"/>
      <c r="G164" s="110"/>
      <c r="H164" s="108"/>
      <c r="I164" s="108"/>
      <c r="J164" s="108"/>
      <c r="K164" s="108"/>
    </row>
    <row r="165" s="102" customFormat="1" ht="23.25" customHeight="1" spans="1:11">
      <c r="A165" s="110" t="s">
        <v>200</v>
      </c>
      <c r="B165" s="110" t="s">
        <v>201</v>
      </c>
      <c r="C165" s="111" t="s">
        <v>202</v>
      </c>
      <c r="D165" s="112" t="s">
        <v>6</v>
      </c>
      <c r="E165" s="112" t="s">
        <v>6</v>
      </c>
      <c r="F165" s="110" t="s">
        <v>6</v>
      </c>
      <c r="G165" s="110" t="s">
        <v>6</v>
      </c>
      <c r="H165" s="110" t="s">
        <v>6</v>
      </c>
      <c r="I165" s="110" t="s">
        <v>6</v>
      </c>
      <c r="J165" s="110" t="s">
        <v>203</v>
      </c>
      <c r="K165" s="110" t="s">
        <v>204</v>
      </c>
    </row>
    <row r="166" s="102" customFormat="1" ht="23.25" customHeight="1" spans="1:11">
      <c r="A166" s="68" t="s">
        <v>205</v>
      </c>
      <c r="B166" s="68">
        <v>12</v>
      </c>
      <c r="C166" s="113" t="s">
        <v>206</v>
      </c>
      <c r="D166" s="114">
        <v>12</v>
      </c>
      <c r="E166" s="114">
        <v>10</v>
      </c>
      <c r="F166" s="114"/>
      <c r="G166" s="114"/>
      <c r="H166" s="114"/>
      <c r="I166" s="115"/>
      <c r="J166" s="115"/>
      <c r="K166" s="115">
        <f t="shared" ref="K166:K186" si="7">SUM(D166:J166)</f>
        <v>22</v>
      </c>
    </row>
    <row r="167" s="102" customFormat="1" ht="23.25" customHeight="1" spans="1:11">
      <c r="A167" s="116" t="s">
        <v>207</v>
      </c>
      <c r="B167" s="68">
        <v>11.5</v>
      </c>
      <c r="C167" s="117" t="s">
        <v>208</v>
      </c>
      <c r="D167" s="114">
        <v>17.5</v>
      </c>
      <c r="E167" s="114">
        <v>15</v>
      </c>
      <c r="F167" s="114"/>
      <c r="G167" s="114"/>
      <c r="H167" s="114"/>
      <c r="I167" s="115"/>
      <c r="J167" s="115"/>
      <c r="K167" s="115">
        <f t="shared" si="7"/>
        <v>32.5</v>
      </c>
    </row>
    <row r="168" s="102" customFormat="1" ht="23.25" customHeight="1" spans="1:11">
      <c r="A168" s="116"/>
      <c r="B168" s="68"/>
      <c r="C168" s="117" t="s">
        <v>210</v>
      </c>
      <c r="D168" s="114">
        <v>17.5</v>
      </c>
      <c r="E168" s="114">
        <v>15</v>
      </c>
      <c r="F168" s="114"/>
      <c r="G168" s="114"/>
      <c r="H168" s="114"/>
      <c r="I168" s="115"/>
      <c r="J168" s="115"/>
      <c r="K168" s="115">
        <f t="shared" si="7"/>
        <v>32.5</v>
      </c>
    </row>
    <row r="169" s="102" customFormat="1" ht="23.25" customHeight="1" spans="1:11">
      <c r="A169" s="79" t="s">
        <v>237</v>
      </c>
      <c r="B169" s="56">
        <v>11.5</v>
      </c>
      <c r="C169" s="61" t="s">
        <v>212</v>
      </c>
      <c r="D169" s="115">
        <v>0</v>
      </c>
      <c r="E169" s="115">
        <v>10</v>
      </c>
      <c r="F169" s="115"/>
      <c r="G169" s="115"/>
      <c r="H169" s="115"/>
      <c r="I169" s="115"/>
      <c r="J169" s="115"/>
      <c r="K169" s="115">
        <f t="shared" si="7"/>
        <v>10</v>
      </c>
    </row>
    <row r="170" s="102" customFormat="1" ht="23.25" customHeight="1" spans="1:11">
      <c r="A170" s="80"/>
      <c r="B170" s="56"/>
      <c r="C170" s="3" t="s">
        <v>215</v>
      </c>
      <c r="D170" s="115">
        <v>0</v>
      </c>
      <c r="E170" s="115">
        <v>10</v>
      </c>
      <c r="F170" s="115"/>
      <c r="G170" s="115"/>
      <c r="H170" s="115"/>
      <c r="I170" s="115"/>
      <c r="J170" s="115"/>
      <c r="K170" s="115">
        <f t="shared" si="7"/>
        <v>10</v>
      </c>
    </row>
    <row r="171" s="102" customFormat="1" ht="23.25" customHeight="1" spans="1:11">
      <c r="A171" s="81" t="s">
        <v>238</v>
      </c>
      <c r="B171" s="56"/>
      <c r="C171" s="61" t="s">
        <v>213</v>
      </c>
      <c r="D171" s="115">
        <v>0</v>
      </c>
      <c r="E171" s="115">
        <v>10</v>
      </c>
      <c r="F171" s="115"/>
      <c r="G171" s="115"/>
      <c r="H171" s="115"/>
      <c r="I171" s="115"/>
      <c r="J171" s="115"/>
      <c r="K171" s="115">
        <f t="shared" si="7"/>
        <v>10</v>
      </c>
    </row>
    <row r="172" s="102" customFormat="1" ht="23.25" customHeight="1" spans="1:11">
      <c r="A172" s="82"/>
      <c r="B172" s="56"/>
      <c r="C172" s="61" t="s">
        <v>216</v>
      </c>
      <c r="D172" s="115">
        <v>0</v>
      </c>
      <c r="E172" s="115">
        <v>10</v>
      </c>
      <c r="F172" s="115"/>
      <c r="G172" s="115"/>
      <c r="H172" s="115"/>
      <c r="I172" s="114"/>
      <c r="J172" s="115"/>
      <c r="K172" s="115">
        <f t="shared" si="7"/>
        <v>10</v>
      </c>
    </row>
    <row r="173" s="102" customFormat="1" ht="23.25" customHeight="1" spans="1:11">
      <c r="A173" s="84" t="s">
        <v>239</v>
      </c>
      <c r="B173" s="56"/>
      <c r="C173" s="56" t="s">
        <v>214</v>
      </c>
      <c r="D173" s="115">
        <v>0</v>
      </c>
      <c r="E173" s="115">
        <v>10</v>
      </c>
      <c r="F173" s="115"/>
      <c r="G173" s="115"/>
      <c r="H173" s="115"/>
      <c r="I173" s="114"/>
      <c r="J173" s="115"/>
      <c r="K173" s="115">
        <f t="shared" si="7"/>
        <v>10</v>
      </c>
    </row>
    <row r="174" s="102" customFormat="1" ht="23.25" customHeight="1" spans="1:11">
      <c r="A174" s="68" t="s">
        <v>217</v>
      </c>
      <c r="B174" s="68">
        <v>10.5</v>
      </c>
      <c r="C174" s="68" t="s">
        <v>218</v>
      </c>
      <c r="D174" s="115">
        <v>0</v>
      </c>
      <c r="E174" s="115">
        <v>10</v>
      </c>
      <c r="F174" s="115"/>
      <c r="G174" s="115"/>
      <c r="H174" s="115"/>
      <c r="I174" s="115"/>
      <c r="J174" s="115"/>
      <c r="K174" s="115">
        <f t="shared" si="7"/>
        <v>10</v>
      </c>
    </row>
    <row r="175" s="102" customFormat="1" ht="23.25" customHeight="1" spans="1:11">
      <c r="A175" s="68"/>
      <c r="B175" s="68"/>
      <c r="C175" s="68" t="s">
        <v>219</v>
      </c>
      <c r="D175" s="115">
        <v>0</v>
      </c>
      <c r="E175" s="115">
        <v>10</v>
      </c>
      <c r="F175" s="115"/>
      <c r="G175" s="115"/>
      <c r="H175" s="115"/>
      <c r="I175" s="115"/>
      <c r="J175" s="115"/>
      <c r="K175" s="115">
        <f t="shared" si="7"/>
        <v>10</v>
      </c>
    </row>
    <row r="176" s="102" customFormat="1" ht="23.25" customHeight="1" spans="1:11">
      <c r="A176" s="68" t="s">
        <v>220</v>
      </c>
      <c r="B176" s="68">
        <v>11.5</v>
      </c>
      <c r="C176" s="117" t="s">
        <v>221</v>
      </c>
      <c r="D176" s="115">
        <v>29</v>
      </c>
      <c r="E176" s="118">
        <v>10</v>
      </c>
      <c r="F176" s="115"/>
      <c r="G176" s="115"/>
      <c r="H176" s="115"/>
      <c r="I176" s="115"/>
      <c r="J176" s="115"/>
      <c r="K176" s="115">
        <f t="shared" si="7"/>
        <v>39</v>
      </c>
    </row>
    <row r="177" s="102" customFormat="1" ht="23.25" customHeight="1" spans="1:11">
      <c r="A177" s="68"/>
      <c r="B177" s="68"/>
      <c r="C177" s="117" t="s">
        <v>222</v>
      </c>
      <c r="D177" s="118">
        <v>8</v>
      </c>
      <c r="E177" s="118">
        <v>10</v>
      </c>
      <c r="F177" s="118"/>
      <c r="G177" s="118"/>
      <c r="H177" s="118"/>
      <c r="I177" s="115"/>
      <c r="J177" s="115"/>
      <c r="K177" s="115">
        <f t="shared" si="7"/>
        <v>18</v>
      </c>
    </row>
    <row r="178" s="102" customFormat="1" ht="23.25" customHeight="1" spans="1:11">
      <c r="A178" s="68"/>
      <c r="B178" s="68"/>
      <c r="C178" s="117" t="s">
        <v>223</v>
      </c>
      <c r="D178" s="118">
        <v>8</v>
      </c>
      <c r="E178" s="118">
        <v>10</v>
      </c>
      <c r="F178" s="118"/>
      <c r="G178" s="118"/>
      <c r="H178" s="118"/>
      <c r="I178" s="115"/>
      <c r="J178" s="115"/>
      <c r="K178" s="115">
        <f t="shared" si="7"/>
        <v>18</v>
      </c>
    </row>
    <row r="179" s="102" customFormat="1" ht="23.25" customHeight="1" spans="1:11">
      <c r="A179" s="68"/>
      <c r="B179" s="68"/>
      <c r="C179" s="117" t="s">
        <v>224</v>
      </c>
      <c r="D179" s="114">
        <v>67</v>
      </c>
      <c r="E179" s="118">
        <v>10</v>
      </c>
      <c r="F179" s="114"/>
      <c r="G179" s="114"/>
      <c r="H179" s="114"/>
      <c r="I179" s="115"/>
      <c r="J179" s="115"/>
      <c r="K179" s="115">
        <f t="shared" si="7"/>
        <v>77</v>
      </c>
    </row>
    <row r="180" s="102" customFormat="1" ht="23.25" customHeight="1" spans="1:11">
      <c r="A180" s="119" t="s">
        <v>225</v>
      </c>
      <c r="B180" s="119">
        <v>10.5</v>
      </c>
      <c r="C180" s="68" t="s">
        <v>226</v>
      </c>
      <c r="D180" s="114">
        <v>11</v>
      </c>
      <c r="E180" s="118">
        <v>10</v>
      </c>
      <c r="F180" s="114"/>
      <c r="G180" s="114"/>
      <c r="H180" s="114"/>
      <c r="I180" s="115"/>
      <c r="J180" s="115"/>
      <c r="K180" s="115">
        <f t="shared" si="7"/>
        <v>21</v>
      </c>
    </row>
    <row r="181" s="102" customFormat="1" ht="23.25" customHeight="1" spans="1:11">
      <c r="A181" s="119"/>
      <c r="B181" s="119"/>
      <c r="C181" s="68" t="s">
        <v>228</v>
      </c>
      <c r="D181" s="114">
        <v>11</v>
      </c>
      <c r="E181" s="118">
        <v>10</v>
      </c>
      <c r="F181" s="114"/>
      <c r="G181" s="114"/>
      <c r="H181" s="114"/>
      <c r="I181" s="115"/>
      <c r="J181" s="115"/>
      <c r="K181" s="115">
        <f t="shared" si="7"/>
        <v>21</v>
      </c>
    </row>
    <row r="182" s="102" customFormat="1" ht="23.25" customHeight="1" spans="1:11">
      <c r="A182" s="119"/>
      <c r="B182" s="119"/>
      <c r="C182" s="68" t="s">
        <v>227</v>
      </c>
      <c r="D182" s="114">
        <v>11</v>
      </c>
      <c r="E182" s="118">
        <v>10</v>
      </c>
      <c r="F182" s="114"/>
      <c r="G182" s="114"/>
      <c r="H182" s="114"/>
      <c r="I182" s="115"/>
      <c r="J182" s="120"/>
      <c r="K182" s="115">
        <f t="shared" si="7"/>
        <v>21</v>
      </c>
    </row>
    <row r="183" s="102" customFormat="1" ht="23.25" customHeight="1" spans="1:11">
      <c r="A183" s="119"/>
      <c r="B183" s="119"/>
      <c r="C183" s="68" t="s">
        <v>229</v>
      </c>
      <c r="D183" s="114">
        <v>11</v>
      </c>
      <c r="E183" s="118">
        <v>10</v>
      </c>
      <c r="F183" s="114"/>
      <c r="G183" s="114"/>
      <c r="H183" s="114"/>
      <c r="I183" s="115"/>
      <c r="J183" s="120"/>
      <c r="K183" s="115">
        <f t="shared" si="7"/>
        <v>21</v>
      </c>
    </row>
    <row r="184" s="102" customFormat="1" ht="23.25" customHeight="1" spans="1:11">
      <c r="A184" s="119"/>
      <c r="B184" s="119"/>
      <c r="C184" s="68" t="s">
        <v>240</v>
      </c>
      <c r="D184" s="114">
        <v>8</v>
      </c>
      <c r="E184" s="118">
        <v>10</v>
      </c>
      <c r="F184" s="115"/>
      <c r="G184" s="114"/>
      <c r="H184" s="114"/>
      <c r="I184" s="115"/>
      <c r="J184" s="120"/>
      <c r="K184" s="115">
        <f t="shared" si="7"/>
        <v>18</v>
      </c>
    </row>
    <row r="185" s="102" customFormat="1" ht="23.25" customHeight="1" spans="1:11">
      <c r="A185" s="121" t="s">
        <v>230</v>
      </c>
      <c r="B185" s="121">
        <v>10.5</v>
      </c>
      <c r="C185" s="121" t="s">
        <v>231</v>
      </c>
      <c r="D185" s="115">
        <v>10.5</v>
      </c>
      <c r="E185" s="118">
        <v>10.5</v>
      </c>
      <c r="G185" s="115"/>
      <c r="H185" s="115"/>
      <c r="I185" s="115"/>
      <c r="J185" s="120"/>
      <c r="K185" s="115">
        <f t="shared" si="7"/>
        <v>21</v>
      </c>
    </row>
    <row r="186" s="102" customFormat="1" ht="23.25" customHeight="1" spans="1:11">
      <c r="A186" s="56" t="s">
        <v>232</v>
      </c>
      <c r="B186" s="56">
        <v>12</v>
      </c>
      <c r="C186" s="56" t="s">
        <v>233</v>
      </c>
      <c r="D186" s="115">
        <v>12</v>
      </c>
      <c r="E186" s="115">
        <v>0</v>
      </c>
      <c r="F186" s="115"/>
      <c r="G186" s="115"/>
      <c r="H186" s="115"/>
      <c r="I186" s="115"/>
      <c r="J186" s="120"/>
      <c r="K186" s="115">
        <f t="shared" si="7"/>
        <v>12</v>
      </c>
    </row>
    <row r="187" s="102" customFormat="1" ht="23.25" customHeight="1" spans="1:11">
      <c r="A187" s="122"/>
      <c r="B187" s="123"/>
      <c r="C187" s="123"/>
      <c r="D187" s="123"/>
      <c r="E187" s="123"/>
      <c r="F187" s="123"/>
      <c r="G187" s="123"/>
      <c r="H187" s="123"/>
      <c r="I187" s="123"/>
      <c r="J187" s="123"/>
      <c r="K187" s="115">
        <f>SUM(K166:K186)</f>
        <v>444</v>
      </c>
    </row>
    <row r="190" s="102" customFormat="1" ht="23.25" customHeight="1" spans="1:11">
      <c r="A190" s="88" t="s">
        <v>344</v>
      </c>
      <c r="B190" s="88"/>
      <c r="C190" s="88"/>
      <c r="D190" s="88"/>
      <c r="E190" s="88"/>
      <c r="F190" s="88"/>
      <c r="G190" s="88"/>
      <c r="H190" s="88"/>
      <c r="I190" s="88"/>
      <c r="J190" s="88"/>
      <c r="K190" s="88"/>
    </row>
    <row r="191" s="102" customFormat="1" ht="23.25" customHeight="1" spans="1:11">
      <c r="A191" s="108" t="s">
        <v>235</v>
      </c>
      <c r="B191" s="108"/>
      <c r="C191" s="108"/>
      <c r="D191" s="109" t="s">
        <v>357</v>
      </c>
      <c r="E191" s="110"/>
      <c r="F191" s="108"/>
      <c r="G191" s="110"/>
      <c r="H191" s="108"/>
      <c r="I191" s="108"/>
      <c r="J191" s="108"/>
      <c r="K191" s="108"/>
    </row>
    <row r="192" s="102" customFormat="1" ht="23.25" customHeight="1" spans="1:11">
      <c r="A192" s="110" t="s">
        <v>200</v>
      </c>
      <c r="B192" s="110" t="s">
        <v>201</v>
      </c>
      <c r="C192" s="111" t="s">
        <v>202</v>
      </c>
      <c r="D192" s="112" t="s">
        <v>6</v>
      </c>
      <c r="E192" s="112" t="s">
        <v>6</v>
      </c>
      <c r="F192" s="110" t="s">
        <v>6</v>
      </c>
      <c r="G192" s="110" t="s">
        <v>6</v>
      </c>
      <c r="H192" s="110" t="s">
        <v>6</v>
      </c>
      <c r="I192" s="110" t="s">
        <v>6</v>
      </c>
      <c r="J192" s="110" t="s">
        <v>203</v>
      </c>
      <c r="K192" s="110" t="s">
        <v>204</v>
      </c>
    </row>
    <row r="193" s="102" customFormat="1" ht="23.25" customHeight="1" spans="1:11">
      <c r="A193" s="115" t="s">
        <v>205</v>
      </c>
      <c r="B193" s="115">
        <v>12</v>
      </c>
      <c r="C193" s="124" t="s">
        <v>206</v>
      </c>
      <c r="D193" s="114">
        <v>12</v>
      </c>
      <c r="E193" s="114"/>
      <c r="F193" s="114"/>
      <c r="G193" s="114"/>
      <c r="H193" s="114"/>
      <c r="I193" s="115"/>
      <c r="J193" s="115"/>
      <c r="K193" s="115">
        <f t="shared" ref="K193:K213" si="8">SUM(D193:J193)</f>
        <v>12</v>
      </c>
    </row>
    <row r="194" s="102" customFormat="1" ht="23.25" customHeight="1" spans="1:11">
      <c r="A194" s="125" t="s">
        <v>207</v>
      </c>
      <c r="B194" s="115">
        <v>11.5</v>
      </c>
      <c r="C194" s="126" t="s">
        <v>208</v>
      </c>
      <c r="D194" s="114">
        <v>20</v>
      </c>
      <c r="E194" s="114"/>
      <c r="F194" s="114"/>
      <c r="G194" s="114"/>
      <c r="H194" s="114"/>
      <c r="I194" s="115"/>
      <c r="J194" s="115"/>
      <c r="K194" s="115">
        <f t="shared" si="8"/>
        <v>20</v>
      </c>
    </row>
    <row r="195" s="102" customFormat="1" ht="23.25" customHeight="1" spans="1:11">
      <c r="A195" s="125"/>
      <c r="B195" s="115"/>
      <c r="C195" s="126" t="s">
        <v>210</v>
      </c>
      <c r="D195" s="114">
        <v>11.5</v>
      </c>
      <c r="E195" s="114">
        <v>10</v>
      </c>
      <c r="F195" s="114"/>
      <c r="G195" s="114"/>
      <c r="H195" s="114"/>
      <c r="I195" s="115"/>
      <c r="J195" s="115"/>
      <c r="K195" s="115">
        <f t="shared" si="8"/>
        <v>21.5</v>
      </c>
    </row>
    <row r="196" s="102" customFormat="1" ht="23.25" customHeight="1" spans="1:11">
      <c r="A196" s="125" t="s">
        <v>211</v>
      </c>
      <c r="B196" s="115">
        <v>11.5</v>
      </c>
      <c r="C196" s="126" t="s">
        <v>212</v>
      </c>
      <c r="D196" s="114">
        <v>10</v>
      </c>
      <c r="E196" s="115">
        <v>11.5</v>
      </c>
      <c r="F196" s="115"/>
      <c r="G196" s="115"/>
      <c r="H196" s="115"/>
      <c r="I196" s="115"/>
      <c r="J196" s="115"/>
      <c r="K196" s="115">
        <f t="shared" si="8"/>
        <v>21.5</v>
      </c>
    </row>
    <row r="197" s="102" customFormat="1" ht="23.25" customHeight="1" spans="1:11">
      <c r="A197" s="125"/>
      <c r="B197" s="115"/>
      <c r="C197" s="126" t="s">
        <v>213</v>
      </c>
      <c r="D197" s="114">
        <v>20</v>
      </c>
      <c r="E197" s="115">
        <v>11.5</v>
      </c>
      <c r="F197" s="115"/>
      <c r="G197" s="115"/>
      <c r="H197" s="115"/>
      <c r="I197" s="115"/>
      <c r="J197" s="115"/>
      <c r="K197" s="115">
        <f t="shared" si="8"/>
        <v>31.5</v>
      </c>
    </row>
    <row r="198" s="102" customFormat="1" ht="23.25" customHeight="1" spans="1:11">
      <c r="A198" s="125"/>
      <c r="B198" s="115"/>
      <c r="C198" s="115" t="s">
        <v>214</v>
      </c>
      <c r="D198" s="114">
        <v>10</v>
      </c>
      <c r="E198" s="115">
        <v>11.5</v>
      </c>
      <c r="F198" s="115"/>
      <c r="G198" s="115"/>
      <c r="H198" s="115"/>
      <c r="I198" s="115"/>
      <c r="J198" s="115"/>
      <c r="K198" s="115">
        <f t="shared" si="8"/>
        <v>21.5</v>
      </c>
    </row>
    <row r="199" s="102" customFormat="1" ht="23.25" customHeight="1" spans="1:11">
      <c r="A199" s="125"/>
      <c r="B199" s="115"/>
      <c r="C199" s="126" t="s">
        <v>215</v>
      </c>
      <c r="D199" s="114">
        <v>10</v>
      </c>
      <c r="E199" s="115">
        <v>11.5</v>
      </c>
      <c r="F199" s="115"/>
      <c r="G199" s="115"/>
      <c r="H199" s="115"/>
      <c r="I199" s="114"/>
      <c r="J199" s="115"/>
      <c r="K199" s="115">
        <f t="shared" si="8"/>
        <v>21.5</v>
      </c>
    </row>
    <row r="200" s="102" customFormat="1" ht="23.25" customHeight="1" spans="1:11">
      <c r="A200" s="125"/>
      <c r="B200" s="115"/>
      <c r="C200" s="126" t="s">
        <v>216</v>
      </c>
      <c r="D200" s="114">
        <v>10</v>
      </c>
      <c r="E200" s="115">
        <v>10</v>
      </c>
      <c r="F200" s="115"/>
      <c r="G200" s="115"/>
      <c r="H200" s="115"/>
      <c r="I200" s="114"/>
      <c r="J200" s="115"/>
      <c r="K200" s="115">
        <f t="shared" si="8"/>
        <v>20</v>
      </c>
    </row>
    <row r="201" s="102" customFormat="1" ht="23.25" customHeight="1" spans="1:11">
      <c r="A201" s="115" t="s">
        <v>217</v>
      </c>
      <c r="B201" s="115">
        <v>10.5</v>
      </c>
      <c r="C201" s="115" t="s">
        <v>218</v>
      </c>
      <c r="D201" s="114">
        <v>10</v>
      </c>
      <c r="E201" s="115"/>
      <c r="F201" s="115"/>
      <c r="G201" s="115"/>
      <c r="H201" s="115"/>
      <c r="I201" s="115"/>
      <c r="J201" s="115"/>
      <c r="K201" s="115">
        <f t="shared" si="8"/>
        <v>10</v>
      </c>
    </row>
    <row r="202" s="102" customFormat="1" ht="23.25" customHeight="1" spans="1:11">
      <c r="A202" s="115"/>
      <c r="B202" s="115"/>
      <c r="C202" s="115" t="s">
        <v>219</v>
      </c>
      <c r="D202" s="115">
        <v>7.5</v>
      </c>
      <c r="E202" s="115"/>
      <c r="F202" s="115"/>
      <c r="G202" s="115"/>
      <c r="H202" s="115"/>
      <c r="I202" s="115"/>
      <c r="J202" s="115"/>
      <c r="K202" s="115">
        <f t="shared" si="8"/>
        <v>7.5</v>
      </c>
    </row>
    <row r="203" s="102" customFormat="1" ht="23.25" customHeight="1" spans="1:11">
      <c r="A203" s="115" t="s">
        <v>220</v>
      </c>
      <c r="B203" s="115">
        <v>11.5</v>
      </c>
      <c r="C203" s="126" t="s">
        <v>221</v>
      </c>
      <c r="D203" s="115">
        <v>24</v>
      </c>
      <c r="E203" s="127"/>
      <c r="F203" s="115"/>
      <c r="G203" s="115"/>
      <c r="H203" s="115"/>
      <c r="I203" s="115"/>
      <c r="J203" s="115"/>
      <c r="K203" s="115">
        <f t="shared" si="8"/>
        <v>24</v>
      </c>
    </row>
    <row r="204" s="102" customFormat="1" ht="23.25" customHeight="1" spans="1:11">
      <c r="A204" s="115"/>
      <c r="B204" s="115"/>
      <c r="C204" s="126" t="s">
        <v>222</v>
      </c>
      <c r="D204" s="118">
        <v>11.5</v>
      </c>
      <c r="E204" s="118"/>
      <c r="F204" s="118"/>
      <c r="G204" s="118"/>
      <c r="H204" s="118"/>
      <c r="I204" s="115"/>
      <c r="J204" s="115"/>
      <c r="K204" s="115">
        <f t="shared" si="8"/>
        <v>11.5</v>
      </c>
    </row>
    <row r="205" s="102" customFormat="1" ht="23.25" customHeight="1" spans="1:11">
      <c r="A205" s="115"/>
      <c r="B205" s="115"/>
      <c r="C205" s="126" t="s">
        <v>223</v>
      </c>
      <c r="D205" s="118">
        <v>17</v>
      </c>
      <c r="E205" s="118"/>
      <c r="F205" s="118"/>
      <c r="G205" s="118"/>
      <c r="H205" s="118"/>
      <c r="I205" s="115"/>
      <c r="J205" s="115"/>
      <c r="K205" s="115">
        <f t="shared" si="8"/>
        <v>17</v>
      </c>
    </row>
    <row r="206" s="102" customFormat="1" ht="23.25" customHeight="1" spans="1:11">
      <c r="A206" s="115"/>
      <c r="B206" s="115"/>
      <c r="C206" s="126" t="s">
        <v>224</v>
      </c>
      <c r="D206" s="114">
        <v>108.5</v>
      </c>
      <c r="E206" s="115"/>
      <c r="F206" s="115"/>
      <c r="G206" s="114"/>
      <c r="H206" s="114"/>
      <c r="I206" s="115"/>
      <c r="J206" s="115"/>
      <c r="K206" s="115">
        <f t="shared" si="8"/>
        <v>108.5</v>
      </c>
    </row>
    <row r="207" s="102" customFormat="1" ht="23.25" customHeight="1" spans="1:11">
      <c r="A207" s="128"/>
      <c r="B207" s="128"/>
      <c r="C207" s="115" t="s">
        <v>228</v>
      </c>
      <c r="D207" s="114">
        <v>12</v>
      </c>
      <c r="E207" s="115"/>
      <c r="F207" s="115"/>
      <c r="G207" s="114"/>
      <c r="H207" s="114"/>
      <c r="I207" s="115"/>
      <c r="J207" s="115"/>
      <c r="K207" s="115">
        <f t="shared" si="8"/>
        <v>12</v>
      </c>
    </row>
    <row r="208" s="102" customFormat="1" ht="23.25" customHeight="1" spans="1:11">
      <c r="A208" s="128"/>
      <c r="B208" s="128"/>
      <c r="C208" s="115" t="s">
        <v>226</v>
      </c>
      <c r="D208" s="114">
        <v>12</v>
      </c>
      <c r="E208" s="115"/>
      <c r="F208" s="115"/>
      <c r="G208" s="114"/>
      <c r="H208" s="114"/>
      <c r="I208" s="115"/>
      <c r="J208" s="115"/>
      <c r="K208" s="115">
        <f t="shared" si="8"/>
        <v>12</v>
      </c>
    </row>
    <row r="209" s="102" customFormat="1" ht="23.25" customHeight="1" spans="1:11">
      <c r="A209" s="128"/>
      <c r="B209" s="128"/>
      <c r="C209" s="115" t="s">
        <v>227</v>
      </c>
      <c r="D209" s="114">
        <v>13</v>
      </c>
      <c r="E209" s="115"/>
      <c r="F209" s="115"/>
      <c r="G209" s="114"/>
      <c r="H209" s="114"/>
      <c r="I209" s="115"/>
      <c r="J209" s="120"/>
      <c r="K209" s="115">
        <f t="shared" si="8"/>
        <v>13</v>
      </c>
    </row>
    <row r="210" s="102" customFormat="1" ht="23.25" customHeight="1" spans="1:11">
      <c r="A210" s="128"/>
      <c r="B210" s="128"/>
      <c r="C210" s="115" t="s">
        <v>240</v>
      </c>
      <c r="D210" s="114">
        <v>17</v>
      </c>
      <c r="E210" s="115"/>
      <c r="F210" s="115"/>
      <c r="G210" s="114"/>
      <c r="H210" s="114"/>
      <c r="I210" s="115"/>
      <c r="J210" s="120"/>
      <c r="K210" s="115">
        <f t="shared" si="8"/>
        <v>17</v>
      </c>
    </row>
    <row r="211" s="102" customFormat="1" ht="23.25" customHeight="1" spans="1:11">
      <c r="A211" s="128"/>
      <c r="B211" s="128"/>
      <c r="C211" s="115" t="s">
        <v>229</v>
      </c>
      <c r="D211" s="114">
        <v>17</v>
      </c>
      <c r="E211" s="115"/>
      <c r="F211" s="115"/>
      <c r="G211" s="114"/>
      <c r="H211" s="114"/>
      <c r="I211" s="115"/>
      <c r="J211" s="120"/>
      <c r="K211" s="115">
        <f t="shared" si="8"/>
        <v>17</v>
      </c>
    </row>
    <row r="212" s="102" customFormat="1" ht="23.25" customHeight="1" spans="1:11">
      <c r="A212" s="114" t="s">
        <v>230</v>
      </c>
      <c r="B212" s="114">
        <v>10.5</v>
      </c>
      <c r="C212" s="115" t="s">
        <v>231</v>
      </c>
      <c r="D212" s="115">
        <v>10.5</v>
      </c>
      <c r="E212" s="127"/>
      <c r="F212" s="115"/>
      <c r="G212" s="115"/>
      <c r="H212" s="115"/>
      <c r="I212" s="115"/>
      <c r="J212" s="120"/>
      <c r="K212" s="115">
        <f t="shared" si="8"/>
        <v>10.5</v>
      </c>
    </row>
    <row r="213" s="102" customFormat="1" ht="23.25" customHeight="1" spans="1:11">
      <c r="A213" s="115" t="s">
        <v>232</v>
      </c>
      <c r="B213" s="115">
        <v>12</v>
      </c>
      <c r="C213" s="115" t="s">
        <v>233</v>
      </c>
      <c r="D213" s="115">
        <v>12</v>
      </c>
      <c r="E213" s="115"/>
      <c r="F213" s="115"/>
      <c r="G213" s="115"/>
      <c r="H213" s="115"/>
      <c r="I213" s="115"/>
      <c r="J213" s="120"/>
      <c r="K213" s="115">
        <f t="shared" si="8"/>
        <v>12</v>
      </c>
    </row>
    <row r="214" s="103" customFormat="1" ht="16.5" spans="1:11">
      <c r="A214" s="129"/>
      <c r="B214" s="130"/>
      <c r="C214" s="130"/>
      <c r="D214" s="130"/>
      <c r="E214" s="130"/>
      <c r="F214" s="130"/>
      <c r="G214" s="130"/>
      <c r="H214" s="130"/>
      <c r="I214" s="130"/>
      <c r="J214" s="131"/>
      <c r="K214" s="132">
        <f>SUM(K193:K213)</f>
        <v>441.5</v>
      </c>
    </row>
    <row r="217" s="3" customFormat="1" ht="21" customHeight="1" spans="1:11">
      <c r="A217" s="133" t="s">
        <v>358</v>
      </c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</row>
    <row r="218" s="3" customFormat="1" ht="21" customHeight="1" spans="1:11">
      <c r="A218" s="134" t="s">
        <v>235</v>
      </c>
      <c r="B218" s="134"/>
      <c r="C218" s="134"/>
      <c r="D218" s="134" t="s">
        <v>359</v>
      </c>
      <c r="E218" s="134"/>
      <c r="F218" s="134"/>
      <c r="G218" s="134"/>
      <c r="H218" s="134"/>
      <c r="I218" s="134"/>
      <c r="J218" s="134"/>
      <c r="K218" s="134"/>
    </row>
    <row r="219" s="3" customFormat="1" ht="21" customHeight="1" spans="1:11">
      <c r="A219" s="135" t="s">
        <v>200</v>
      </c>
      <c r="B219" s="135" t="s">
        <v>201</v>
      </c>
      <c r="C219" s="136" t="s">
        <v>202</v>
      </c>
      <c r="D219" s="137" t="s">
        <v>6</v>
      </c>
      <c r="E219" s="137" t="s">
        <v>6</v>
      </c>
      <c r="F219" s="135" t="s">
        <v>6</v>
      </c>
      <c r="G219" s="135" t="s">
        <v>6</v>
      </c>
      <c r="H219" s="135" t="s">
        <v>6</v>
      </c>
      <c r="I219" s="135" t="s">
        <v>6</v>
      </c>
      <c r="J219" s="135" t="s">
        <v>203</v>
      </c>
      <c r="K219" s="135" t="s">
        <v>204</v>
      </c>
    </row>
    <row r="220" s="3" customFormat="1" ht="21" customHeight="1" spans="1:11">
      <c r="A220" s="68" t="s">
        <v>205</v>
      </c>
      <c r="B220" s="68">
        <v>12</v>
      </c>
      <c r="C220" s="113" t="s">
        <v>206</v>
      </c>
      <c r="D220" s="11">
        <v>12</v>
      </c>
      <c r="E220" s="11"/>
      <c r="F220" s="11"/>
      <c r="G220" s="11"/>
      <c r="H220" s="121"/>
      <c r="I220" s="68"/>
      <c r="J220" s="68"/>
      <c r="K220" s="56">
        <f t="shared" ref="K220:K241" si="9">SUM(D220:J220)</f>
        <v>12</v>
      </c>
    </row>
    <row r="221" s="3" customFormat="1" ht="21" customHeight="1" spans="1:11">
      <c r="A221" s="116" t="s">
        <v>207</v>
      </c>
      <c r="B221" s="68">
        <v>11.5</v>
      </c>
      <c r="C221" s="117" t="s">
        <v>208</v>
      </c>
      <c r="D221" s="11">
        <v>23</v>
      </c>
      <c r="E221" s="11"/>
      <c r="F221" s="11"/>
      <c r="G221" s="11"/>
      <c r="H221" s="121"/>
      <c r="I221" s="68"/>
      <c r="J221" s="68"/>
      <c r="K221" s="56">
        <f t="shared" si="9"/>
        <v>23</v>
      </c>
    </row>
    <row r="222" s="3" customFormat="1" ht="21" customHeight="1" spans="1:11">
      <c r="A222" s="116"/>
      <c r="B222" s="68"/>
      <c r="C222" s="68" t="s">
        <v>209</v>
      </c>
      <c r="D222" s="11">
        <v>16.5</v>
      </c>
      <c r="E222" s="11"/>
      <c r="F222" s="11"/>
      <c r="G222" s="11"/>
      <c r="H222" s="121"/>
      <c r="I222" s="68"/>
      <c r="J222" s="68"/>
      <c r="K222" s="56">
        <f t="shared" si="9"/>
        <v>16.5</v>
      </c>
    </row>
    <row r="223" s="3" customFormat="1" ht="21" customHeight="1" spans="1:11">
      <c r="A223" s="116"/>
      <c r="B223" s="68"/>
      <c r="C223" s="117" t="s">
        <v>210</v>
      </c>
      <c r="D223" s="11">
        <v>16.5</v>
      </c>
      <c r="E223" s="11"/>
      <c r="F223" s="11"/>
      <c r="G223" s="11"/>
      <c r="H223" s="121"/>
      <c r="I223" s="68"/>
      <c r="J223" s="68"/>
      <c r="K223" s="56">
        <f t="shared" si="9"/>
        <v>16.5</v>
      </c>
    </row>
    <row r="224" s="3" customFormat="1" ht="21" customHeight="1" spans="1:11">
      <c r="A224" s="79" t="s">
        <v>237</v>
      </c>
      <c r="B224" s="56">
        <v>11.5</v>
      </c>
      <c r="C224" s="61" t="s">
        <v>212</v>
      </c>
      <c r="D224" s="11">
        <v>40</v>
      </c>
      <c r="E224" s="11"/>
      <c r="F224" s="11"/>
      <c r="G224" s="11"/>
      <c r="H224" s="121"/>
      <c r="I224" s="68"/>
      <c r="J224" s="68"/>
      <c r="K224" s="56">
        <f t="shared" si="9"/>
        <v>40</v>
      </c>
    </row>
    <row r="225" s="3" customFormat="1" ht="21" customHeight="1" spans="1:11">
      <c r="A225" s="80"/>
      <c r="B225" s="56"/>
      <c r="C225" s="3" t="s">
        <v>215</v>
      </c>
      <c r="D225" s="11">
        <v>30</v>
      </c>
      <c r="E225" s="11"/>
      <c r="F225" s="11"/>
      <c r="G225" s="11"/>
      <c r="H225" s="121"/>
      <c r="I225" s="68"/>
      <c r="J225" s="68"/>
      <c r="K225" s="56">
        <f t="shared" si="9"/>
        <v>30</v>
      </c>
    </row>
    <row r="226" s="3" customFormat="1" ht="21" customHeight="1" spans="1:11">
      <c r="A226" s="81" t="s">
        <v>238</v>
      </c>
      <c r="B226" s="56"/>
      <c r="C226" s="61" t="s">
        <v>213</v>
      </c>
      <c r="D226" s="11">
        <v>30</v>
      </c>
      <c r="E226" s="11"/>
      <c r="F226" s="11"/>
      <c r="G226" s="11"/>
      <c r="H226" s="121"/>
      <c r="I226" s="68"/>
      <c r="J226" s="68"/>
      <c r="K226" s="56">
        <f t="shared" si="9"/>
        <v>30</v>
      </c>
    </row>
    <row r="227" s="3" customFormat="1" ht="21" customHeight="1" spans="1:11">
      <c r="A227" s="82"/>
      <c r="B227" s="56"/>
      <c r="C227" s="61" t="s">
        <v>216</v>
      </c>
      <c r="D227" s="11">
        <v>30</v>
      </c>
      <c r="E227" s="11"/>
      <c r="F227" s="11"/>
      <c r="G227" s="11"/>
      <c r="H227" s="121"/>
      <c r="I227" s="121"/>
      <c r="J227" s="68"/>
      <c r="K227" s="56">
        <f t="shared" si="9"/>
        <v>30</v>
      </c>
    </row>
    <row r="228" s="3" customFormat="1" ht="21" customHeight="1" spans="1:11">
      <c r="A228" s="84" t="s">
        <v>239</v>
      </c>
      <c r="B228" s="56"/>
      <c r="C228" s="56" t="s">
        <v>214</v>
      </c>
      <c r="D228" s="11">
        <v>23</v>
      </c>
      <c r="E228" s="11"/>
      <c r="F228" s="11"/>
      <c r="G228" s="11"/>
      <c r="H228" s="121"/>
      <c r="I228" s="121"/>
      <c r="J228" s="68"/>
      <c r="K228" s="56">
        <f t="shared" si="9"/>
        <v>23</v>
      </c>
    </row>
    <row r="229" s="3" customFormat="1" ht="21" customHeight="1" spans="1:11">
      <c r="A229" s="68" t="s">
        <v>217</v>
      </c>
      <c r="B229" s="68">
        <v>10.5</v>
      </c>
      <c r="C229" s="68" t="s">
        <v>218</v>
      </c>
      <c r="D229" s="22">
        <v>30</v>
      </c>
      <c r="E229" s="22"/>
      <c r="F229" s="22"/>
      <c r="G229" s="22"/>
      <c r="H229" s="121"/>
      <c r="I229" s="68"/>
      <c r="J229" s="68"/>
      <c r="K229" s="56">
        <f t="shared" si="9"/>
        <v>30</v>
      </c>
    </row>
    <row r="230" s="3" customFormat="1" ht="21" customHeight="1" spans="1:11">
      <c r="A230" s="68"/>
      <c r="B230" s="68"/>
      <c r="C230" s="68" t="s">
        <v>219</v>
      </c>
      <c r="D230" s="11">
        <v>41</v>
      </c>
      <c r="E230" s="11"/>
      <c r="F230" s="11"/>
      <c r="G230" s="11"/>
      <c r="H230" s="121"/>
      <c r="I230" s="68"/>
      <c r="J230" s="68"/>
      <c r="K230" s="56">
        <f t="shared" si="9"/>
        <v>41</v>
      </c>
    </row>
    <row r="231" s="3" customFormat="1" ht="21" customHeight="1" spans="1:11">
      <c r="A231" s="68" t="s">
        <v>220</v>
      </c>
      <c r="B231" s="68">
        <v>11.5</v>
      </c>
      <c r="C231" s="117" t="s">
        <v>221</v>
      </c>
      <c r="D231" s="11">
        <v>41</v>
      </c>
      <c r="E231" s="11"/>
      <c r="F231" s="11"/>
      <c r="G231" s="11"/>
      <c r="H231" s="121"/>
      <c r="I231" s="68"/>
      <c r="J231" s="68"/>
      <c r="K231" s="56">
        <f t="shared" si="9"/>
        <v>41</v>
      </c>
    </row>
    <row r="232" s="3" customFormat="1" ht="21" customHeight="1" spans="1:11">
      <c r="A232" s="68"/>
      <c r="B232" s="68"/>
      <c r="C232" s="117" t="s">
        <v>222</v>
      </c>
      <c r="D232" s="11">
        <v>20.5</v>
      </c>
      <c r="E232" s="11"/>
      <c r="F232" s="11"/>
      <c r="G232" s="11"/>
      <c r="H232" s="121"/>
      <c r="I232" s="68"/>
      <c r="J232" s="68"/>
      <c r="K232" s="56">
        <f t="shared" si="9"/>
        <v>20.5</v>
      </c>
    </row>
    <row r="233" s="3" customFormat="1" ht="21" customHeight="1" spans="1:11">
      <c r="A233" s="68"/>
      <c r="B233" s="68"/>
      <c r="C233" s="117" t="s">
        <v>223</v>
      </c>
      <c r="D233" s="23">
        <v>19</v>
      </c>
      <c r="E233" s="23"/>
      <c r="F233" s="23"/>
      <c r="G233" s="23"/>
      <c r="H233" s="121"/>
      <c r="I233" s="68"/>
      <c r="J233" s="68"/>
      <c r="K233" s="56">
        <f t="shared" si="9"/>
        <v>19</v>
      </c>
    </row>
    <row r="234" s="3" customFormat="1" ht="21" customHeight="1" spans="1:11">
      <c r="A234" s="68"/>
      <c r="B234" s="68"/>
      <c r="C234" s="117" t="s">
        <v>224</v>
      </c>
      <c r="D234" s="24">
        <v>154</v>
      </c>
      <c r="E234" s="24"/>
      <c r="F234" s="24"/>
      <c r="G234" s="24"/>
      <c r="H234" s="121"/>
      <c r="I234" s="68"/>
      <c r="J234" s="68"/>
      <c r="K234" s="56">
        <f t="shared" si="9"/>
        <v>154</v>
      </c>
    </row>
    <row r="235" s="3" customFormat="1" ht="21" customHeight="1" spans="1:11">
      <c r="A235" s="119" t="s">
        <v>225</v>
      </c>
      <c r="B235" s="119">
        <v>10.5</v>
      </c>
      <c r="C235" s="68" t="s">
        <v>226</v>
      </c>
      <c r="D235" s="11">
        <v>24</v>
      </c>
      <c r="E235" s="11"/>
      <c r="F235" s="11"/>
      <c r="G235" s="11"/>
      <c r="H235" s="121"/>
      <c r="I235" s="68"/>
      <c r="J235" s="68"/>
      <c r="K235" s="56">
        <f t="shared" si="9"/>
        <v>24</v>
      </c>
    </row>
    <row r="236" s="3" customFormat="1" ht="21" customHeight="1" spans="1:11">
      <c r="A236" s="119"/>
      <c r="B236" s="119"/>
      <c r="C236" s="68" t="s">
        <v>228</v>
      </c>
      <c r="D236" s="11">
        <v>24</v>
      </c>
      <c r="E236" s="11"/>
      <c r="F236" s="11"/>
      <c r="G236" s="11"/>
      <c r="H236" s="121"/>
      <c r="I236" s="68"/>
      <c r="J236" s="68"/>
      <c r="K236" s="56">
        <f t="shared" si="9"/>
        <v>24</v>
      </c>
    </row>
    <row r="237" s="3" customFormat="1" ht="21" customHeight="1" spans="1:11">
      <c r="A237" s="119"/>
      <c r="B237" s="119"/>
      <c r="C237" s="68" t="s">
        <v>227</v>
      </c>
      <c r="D237" s="11">
        <v>24</v>
      </c>
      <c r="E237" s="11"/>
      <c r="F237" s="11"/>
      <c r="G237" s="11"/>
      <c r="H237" s="121"/>
      <c r="I237" s="68"/>
      <c r="J237" s="68"/>
      <c r="K237" s="56">
        <f t="shared" si="9"/>
        <v>24</v>
      </c>
    </row>
    <row r="238" s="3" customFormat="1" ht="21" customHeight="1" spans="1:11">
      <c r="A238" s="119"/>
      <c r="B238" s="119"/>
      <c r="C238" s="68" t="s">
        <v>229</v>
      </c>
      <c r="D238" s="11">
        <v>24</v>
      </c>
      <c r="E238" s="11"/>
      <c r="F238" s="11"/>
      <c r="G238" s="11"/>
      <c r="H238" s="121"/>
      <c r="I238" s="68"/>
      <c r="J238" s="141"/>
      <c r="K238" s="56">
        <f t="shared" si="9"/>
        <v>24</v>
      </c>
    </row>
    <row r="239" s="3" customFormat="1" ht="21" customHeight="1" spans="1:11">
      <c r="A239" s="119"/>
      <c r="B239" s="119"/>
      <c r="C239" s="68" t="s">
        <v>240</v>
      </c>
      <c r="D239" s="11">
        <v>24</v>
      </c>
      <c r="E239" s="11"/>
      <c r="F239" s="11"/>
      <c r="G239" s="11"/>
      <c r="H239" s="121"/>
      <c r="I239" s="68"/>
      <c r="J239" s="141"/>
      <c r="K239" s="56">
        <f t="shared" si="9"/>
        <v>24</v>
      </c>
    </row>
    <row r="240" s="3" customFormat="1" ht="21" customHeight="1" spans="1:11">
      <c r="A240" s="121" t="s">
        <v>230</v>
      </c>
      <c r="B240" s="121">
        <v>10.5</v>
      </c>
      <c r="C240" s="68" t="s">
        <v>231</v>
      </c>
      <c r="D240" s="11">
        <v>10</v>
      </c>
      <c r="E240" s="11"/>
      <c r="F240" s="11"/>
      <c r="G240" s="11"/>
      <c r="H240" s="68"/>
      <c r="I240" s="68"/>
      <c r="J240" s="141"/>
      <c r="K240" s="56">
        <f t="shared" si="9"/>
        <v>10</v>
      </c>
    </row>
    <row r="241" s="3" customFormat="1" ht="21" customHeight="1" spans="1:11">
      <c r="A241" s="121" t="s">
        <v>232</v>
      </c>
      <c r="B241" s="121">
        <v>12</v>
      </c>
      <c r="C241" s="121" t="s">
        <v>233</v>
      </c>
      <c r="D241" s="89">
        <v>12</v>
      </c>
      <c r="E241" s="89"/>
      <c r="F241" s="146"/>
      <c r="G241" s="146"/>
      <c r="H241" s="121"/>
      <c r="I241" s="121"/>
      <c r="J241" s="139"/>
      <c r="K241" s="86">
        <f t="shared" si="9"/>
        <v>12</v>
      </c>
    </row>
    <row r="242" s="3" customFormat="1" ht="21" customHeight="1" spans="1:11">
      <c r="A242" s="61"/>
      <c r="B242" s="87"/>
      <c r="C242" s="87"/>
      <c r="D242" s="87"/>
      <c r="E242" s="87"/>
      <c r="F242" s="87"/>
      <c r="G242" s="87"/>
      <c r="H242" s="87"/>
      <c r="I242" s="87"/>
      <c r="J242" s="87"/>
      <c r="K242" s="145">
        <f>SUM(K220:K241)</f>
        <v>668.5</v>
      </c>
    </row>
    <row r="245" s="2" customFormat="1" ht="21.75" customHeight="1" spans="1:11">
      <c r="A245" s="42" t="s">
        <v>342</v>
      </c>
      <c r="B245" s="42"/>
      <c r="C245" s="42"/>
      <c r="D245" s="42"/>
      <c r="E245" s="42"/>
      <c r="F245" s="42"/>
      <c r="G245" s="42"/>
      <c r="H245" s="42"/>
      <c r="I245" s="42"/>
      <c r="J245" s="42"/>
      <c r="K245" s="42"/>
    </row>
    <row r="246" s="2" customFormat="1" ht="21.75" customHeight="1" spans="1:11">
      <c r="A246" s="35" t="s">
        <v>235</v>
      </c>
      <c r="B246" s="36"/>
      <c r="C246" s="36"/>
      <c r="D246" s="37" t="s">
        <v>360</v>
      </c>
      <c r="E246" s="36"/>
      <c r="F246" s="36"/>
      <c r="G246" s="36"/>
      <c r="H246" s="36"/>
      <c r="I246" s="36"/>
      <c r="J246" s="36"/>
      <c r="K246" s="36"/>
    </row>
    <row r="247" s="2" customFormat="1" ht="21.75" customHeight="1" spans="1:11">
      <c r="A247" s="27" t="s">
        <v>200</v>
      </c>
      <c r="B247" s="27" t="s">
        <v>201</v>
      </c>
      <c r="C247" s="38" t="s">
        <v>202</v>
      </c>
      <c r="D247" s="12" t="s">
        <v>6</v>
      </c>
      <c r="E247" s="12" t="s">
        <v>6</v>
      </c>
      <c r="F247" s="27" t="s">
        <v>6</v>
      </c>
      <c r="G247" s="27" t="s">
        <v>6</v>
      </c>
      <c r="H247" s="27" t="s">
        <v>6</v>
      </c>
      <c r="I247" s="27" t="s">
        <v>6</v>
      </c>
      <c r="J247" s="27" t="s">
        <v>203</v>
      </c>
      <c r="K247" s="27" t="s">
        <v>204</v>
      </c>
    </row>
    <row r="248" s="2" customFormat="1" ht="21.75" customHeight="1" spans="1:11">
      <c r="A248" s="27" t="s">
        <v>205</v>
      </c>
      <c r="B248" s="27">
        <v>12</v>
      </c>
      <c r="C248" s="38" t="s">
        <v>206</v>
      </c>
      <c r="D248" s="12">
        <v>12</v>
      </c>
      <c r="E248" s="12">
        <v>0</v>
      </c>
      <c r="F248" s="11"/>
      <c r="G248" s="11"/>
      <c r="H248" s="12"/>
      <c r="I248" s="27"/>
      <c r="J248" s="27"/>
      <c r="K248" s="27">
        <f t="shared" ref="K248:K268" si="10">SUM(D248:J248)</f>
        <v>12</v>
      </c>
    </row>
    <row r="249" s="2" customFormat="1" ht="21.75" customHeight="1" spans="1:11">
      <c r="A249" s="43" t="s">
        <v>207</v>
      </c>
      <c r="B249" s="12">
        <v>11.5</v>
      </c>
      <c r="C249" s="38" t="s">
        <v>208</v>
      </c>
      <c r="D249" s="12">
        <v>17.5</v>
      </c>
      <c r="E249" s="12">
        <v>0</v>
      </c>
      <c r="F249" s="11"/>
      <c r="G249" s="11"/>
      <c r="H249" s="12"/>
      <c r="I249" s="27"/>
      <c r="J249" s="27"/>
      <c r="K249" s="27">
        <f t="shared" si="10"/>
        <v>17.5</v>
      </c>
    </row>
    <row r="250" s="2" customFormat="1" ht="21.75" customHeight="1" spans="1:11">
      <c r="A250" s="44"/>
      <c r="B250" s="39"/>
      <c r="C250" s="38" t="s">
        <v>210</v>
      </c>
      <c r="D250" s="12">
        <v>17.5</v>
      </c>
      <c r="E250" s="12">
        <v>0</v>
      </c>
      <c r="F250" s="11"/>
      <c r="G250" s="11"/>
      <c r="H250" s="12"/>
      <c r="I250" s="27"/>
      <c r="J250" s="27"/>
      <c r="K250" s="27">
        <f t="shared" si="10"/>
        <v>17.5</v>
      </c>
    </row>
    <row r="251" s="2" customFormat="1" ht="21.75" customHeight="1" spans="1:11">
      <c r="A251" s="79" t="s">
        <v>237</v>
      </c>
      <c r="B251" s="56">
        <v>11.5</v>
      </c>
      <c r="C251" s="61" t="s">
        <v>212</v>
      </c>
      <c r="D251" s="12">
        <v>11.5</v>
      </c>
      <c r="E251" s="12">
        <v>0</v>
      </c>
      <c r="F251" s="11"/>
      <c r="G251" s="11"/>
      <c r="H251" s="12"/>
      <c r="I251" s="27"/>
      <c r="J251" s="27"/>
      <c r="K251" s="27">
        <f t="shared" si="10"/>
        <v>11.5</v>
      </c>
    </row>
    <row r="252" s="2" customFormat="1" ht="21.75" customHeight="1" spans="1:11">
      <c r="A252" s="80"/>
      <c r="B252" s="56"/>
      <c r="C252" s="3" t="s">
        <v>215</v>
      </c>
      <c r="D252" s="12">
        <v>23</v>
      </c>
      <c r="E252" s="12">
        <v>0</v>
      </c>
      <c r="F252" s="11"/>
      <c r="G252" s="11"/>
      <c r="H252" s="12"/>
      <c r="I252" s="27"/>
      <c r="J252" s="27"/>
      <c r="K252" s="27">
        <f t="shared" si="10"/>
        <v>23</v>
      </c>
    </row>
    <row r="253" s="2" customFormat="1" ht="21.75" customHeight="1" spans="1:11">
      <c r="A253" s="81" t="s">
        <v>238</v>
      </c>
      <c r="B253" s="56"/>
      <c r="C253" s="61" t="s">
        <v>213</v>
      </c>
      <c r="D253" s="12">
        <v>23</v>
      </c>
      <c r="E253" s="12">
        <v>0</v>
      </c>
      <c r="F253" s="11"/>
      <c r="G253" s="11"/>
      <c r="H253" s="12"/>
      <c r="I253" s="27"/>
      <c r="J253" s="27"/>
      <c r="K253" s="27">
        <f t="shared" si="10"/>
        <v>23</v>
      </c>
    </row>
    <row r="254" s="2" customFormat="1" ht="21.75" customHeight="1" spans="1:11">
      <c r="A254" s="82"/>
      <c r="B254" s="56"/>
      <c r="C254" s="61" t="s">
        <v>216</v>
      </c>
      <c r="D254" s="12">
        <v>23</v>
      </c>
      <c r="E254" s="12">
        <v>0</v>
      </c>
      <c r="F254" s="11"/>
      <c r="G254" s="11"/>
      <c r="H254" s="12"/>
      <c r="I254" s="12"/>
      <c r="J254" s="27"/>
      <c r="K254" s="27">
        <f t="shared" si="10"/>
        <v>23</v>
      </c>
    </row>
    <row r="255" s="2" customFormat="1" ht="21.75" customHeight="1" spans="1:11">
      <c r="A255" s="84" t="s">
        <v>239</v>
      </c>
      <c r="B255" s="56"/>
      <c r="C255" s="56" t="s">
        <v>214</v>
      </c>
      <c r="D255" s="12">
        <v>11.5</v>
      </c>
      <c r="E255" s="12">
        <v>7.5</v>
      </c>
      <c r="F255" s="11"/>
      <c r="G255" s="11"/>
      <c r="H255" s="12"/>
      <c r="I255" s="12"/>
      <c r="J255" s="27"/>
      <c r="K255" s="27">
        <f t="shared" si="10"/>
        <v>19</v>
      </c>
    </row>
    <row r="256" s="2" customFormat="1" ht="21.75" customHeight="1" spans="1:11">
      <c r="A256" s="27" t="s">
        <v>217</v>
      </c>
      <c r="B256" s="27">
        <v>10.5</v>
      </c>
      <c r="C256" s="27" t="s">
        <v>218</v>
      </c>
      <c r="D256" s="12">
        <v>0</v>
      </c>
      <c r="E256" s="12">
        <v>15</v>
      </c>
      <c r="F256" s="22"/>
      <c r="G256" s="22"/>
      <c r="H256" s="12"/>
      <c r="I256" s="27"/>
      <c r="J256" s="27"/>
      <c r="K256" s="27">
        <f t="shared" si="10"/>
        <v>15</v>
      </c>
    </row>
    <row r="257" s="2" customFormat="1" ht="21.75" customHeight="1" spans="1:11">
      <c r="A257" s="27"/>
      <c r="B257" s="27"/>
      <c r="C257" s="27" t="s">
        <v>219</v>
      </c>
      <c r="D257" s="12">
        <v>0</v>
      </c>
      <c r="E257" s="12">
        <v>15</v>
      </c>
      <c r="F257" s="11"/>
      <c r="G257" s="11"/>
      <c r="H257" s="12"/>
      <c r="I257" s="27"/>
      <c r="J257" s="27"/>
      <c r="K257" s="27">
        <f t="shared" si="10"/>
        <v>15</v>
      </c>
    </row>
    <row r="258" s="2" customFormat="1" ht="21.75" customHeight="1" spans="1:11">
      <c r="A258" s="27" t="s">
        <v>220</v>
      </c>
      <c r="B258" s="27">
        <v>11.5</v>
      </c>
      <c r="C258" s="38" t="s">
        <v>221</v>
      </c>
      <c r="D258" s="12">
        <v>20</v>
      </c>
      <c r="E258" s="12">
        <v>0</v>
      </c>
      <c r="F258" s="11"/>
      <c r="G258" s="11"/>
      <c r="H258" s="12"/>
      <c r="I258" s="27"/>
      <c r="J258" s="27"/>
      <c r="K258" s="27">
        <f t="shared" si="10"/>
        <v>20</v>
      </c>
    </row>
    <row r="259" s="2" customFormat="1" ht="21.75" customHeight="1" spans="1:11">
      <c r="A259" s="27"/>
      <c r="B259" s="27"/>
      <c r="C259" s="38" t="s">
        <v>222</v>
      </c>
      <c r="D259" s="12">
        <v>10</v>
      </c>
      <c r="E259" s="12">
        <v>7.5</v>
      </c>
      <c r="F259" s="11"/>
      <c r="G259" s="11"/>
      <c r="H259" s="12"/>
      <c r="I259" s="27"/>
      <c r="J259" s="27"/>
      <c r="K259" s="27">
        <f t="shared" si="10"/>
        <v>17.5</v>
      </c>
    </row>
    <row r="260" s="2" customFormat="1" ht="21.75" customHeight="1" spans="1:11">
      <c r="A260" s="27"/>
      <c r="B260" s="27"/>
      <c r="C260" s="38" t="s">
        <v>223</v>
      </c>
      <c r="D260" s="12">
        <v>10</v>
      </c>
      <c r="E260" s="12">
        <v>10</v>
      </c>
      <c r="F260" s="23"/>
      <c r="G260" s="23"/>
      <c r="H260" s="12"/>
      <c r="I260" s="27"/>
      <c r="J260" s="27"/>
      <c r="K260" s="27">
        <f t="shared" si="10"/>
        <v>20</v>
      </c>
    </row>
    <row r="261" s="2" customFormat="1" ht="21.75" customHeight="1" spans="1:11">
      <c r="A261" s="27"/>
      <c r="B261" s="27"/>
      <c r="C261" s="38" t="s">
        <v>224</v>
      </c>
      <c r="D261" s="12">
        <v>42</v>
      </c>
      <c r="E261" s="12">
        <v>15</v>
      </c>
      <c r="F261" s="24"/>
      <c r="G261" s="24"/>
      <c r="H261" s="12"/>
      <c r="I261" s="27"/>
      <c r="J261" s="27"/>
      <c r="K261" s="27">
        <f t="shared" si="10"/>
        <v>57</v>
      </c>
    </row>
    <row r="262" s="2" customFormat="1" ht="21.75" customHeight="1" spans="1:11">
      <c r="A262" s="39" t="s">
        <v>225</v>
      </c>
      <c r="B262" s="39">
        <v>10.5</v>
      </c>
      <c r="C262" s="27" t="s">
        <v>226</v>
      </c>
      <c r="D262" s="12">
        <v>5</v>
      </c>
      <c r="E262" s="12">
        <v>0</v>
      </c>
      <c r="F262" s="11"/>
      <c r="G262" s="11"/>
      <c r="H262" s="12"/>
      <c r="I262" s="27"/>
      <c r="J262" s="27"/>
      <c r="K262" s="27">
        <f t="shared" si="10"/>
        <v>5</v>
      </c>
    </row>
    <row r="263" s="2" customFormat="1" ht="21.75" customHeight="1" spans="1:11">
      <c r="A263" s="39"/>
      <c r="B263" s="39"/>
      <c r="C263" s="27" t="s">
        <v>228</v>
      </c>
      <c r="D263" s="12">
        <v>5</v>
      </c>
      <c r="E263" s="12">
        <v>15</v>
      </c>
      <c r="F263" s="11"/>
      <c r="G263" s="11"/>
      <c r="H263" s="12"/>
      <c r="I263" s="27"/>
      <c r="J263" s="27"/>
      <c r="K263" s="27">
        <f t="shared" si="10"/>
        <v>20</v>
      </c>
    </row>
    <row r="264" s="2" customFormat="1" ht="21.75" customHeight="1" spans="1:11">
      <c r="A264" s="39"/>
      <c r="B264" s="39"/>
      <c r="C264" s="27" t="s">
        <v>227</v>
      </c>
      <c r="D264" s="12">
        <v>5</v>
      </c>
      <c r="E264" s="12">
        <v>15</v>
      </c>
      <c r="F264" s="11"/>
      <c r="G264" s="11"/>
      <c r="H264" s="12"/>
      <c r="I264" s="27"/>
      <c r="J264" s="27"/>
      <c r="K264" s="27">
        <f t="shared" si="10"/>
        <v>20</v>
      </c>
    </row>
    <row r="265" s="2" customFormat="1" ht="21.75" customHeight="1" spans="1:11">
      <c r="A265" s="39"/>
      <c r="B265" s="39"/>
      <c r="C265" s="27" t="s">
        <v>229</v>
      </c>
      <c r="D265" s="12">
        <v>5</v>
      </c>
      <c r="E265" s="12">
        <v>0</v>
      </c>
      <c r="F265" s="11"/>
      <c r="G265" s="11"/>
      <c r="H265" s="12"/>
      <c r="I265" s="27"/>
      <c r="J265" s="40"/>
      <c r="K265" s="27">
        <f t="shared" si="10"/>
        <v>5</v>
      </c>
    </row>
    <row r="266" s="2" customFormat="1" ht="21.75" customHeight="1" spans="1:11">
      <c r="A266" s="39"/>
      <c r="B266" s="39"/>
      <c r="C266" s="27" t="s">
        <v>240</v>
      </c>
      <c r="D266" s="12">
        <v>5</v>
      </c>
      <c r="E266" s="12">
        <v>15</v>
      </c>
      <c r="F266" s="11"/>
      <c r="G266" s="11"/>
      <c r="H266" s="12"/>
      <c r="I266" s="27"/>
      <c r="J266" s="40"/>
      <c r="K266" s="27">
        <f t="shared" si="10"/>
        <v>20</v>
      </c>
    </row>
    <row r="267" s="2" customFormat="1" ht="21.75" customHeight="1" spans="1:11">
      <c r="A267" s="12" t="s">
        <v>230</v>
      </c>
      <c r="B267" s="12">
        <v>10.5</v>
      </c>
      <c r="C267" s="27" t="s">
        <v>231</v>
      </c>
      <c r="D267" s="12">
        <v>10.5</v>
      </c>
      <c r="E267" s="12">
        <v>0</v>
      </c>
      <c r="F267" s="11"/>
      <c r="G267" s="11"/>
      <c r="H267" s="27"/>
      <c r="I267" s="27"/>
      <c r="J267" s="40"/>
      <c r="K267" s="27">
        <f t="shared" si="10"/>
        <v>10.5</v>
      </c>
    </row>
    <row r="268" s="2" customFormat="1" ht="21.75" customHeight="1" spans="1:11">
      <c r="A268" s="27" t="s">
        <v>232</v>
      </c>
      <c r="B268" s="27">
        <v>12</v>
      </c>
      <c r="C268" s="27" t="s">
        <v>233</v>
      </c>
      <c r="D268" s="12">
        <v>12</v>
      </c>
      <c r="E268" s="12">
        <v>0</v>
      </c>
      <c r="F268" s="11"/>
      <c r="G268" s="22"/>
      <c r="H268" s="27"/>
      <c r="I268" s="27"/>
      <c r="J268" s="40"/>
      <c r="K268" s="27">
        <f t="shared" si="10"/>
        <v>12</v>
      </c>
    </row>
    <row r="269" s="2" customFormat="1" ht="21.75" customHeight="1" spans="1:11">
      <c r="A269" s="38"/>
      <c r="B269" s="41"/>
      <c r="C269" s="41"/>
      <c r="D269" s="41"/>
      <c r="E269" s="41"/>
      <c r="F269" s="41"/>
      <c r="G269" s="41"/>
      <c r="H269" s="41"/>
      <c r="I269" s="41"/>
      <c r="J269" s="40"/>
      <c r="K269" s="47">
        <f>SUM(K248:K268)</f>
        <v>383.5</v>
      </c>
    </row>
    <row r="272" s="2" customFormat="1" ht="21.75" customHeight="1" spans="1:11">
      <c r="A272" s="42" t="s">
        <v>342</v>
      </c>
      <c r="B272" s="42"/>
      <c r="C272" s="42"/>
      <c r="D272" s="42"/>
      <c r="E272" s="42"/>
      <c r="F272" s="42"/>
      <c r="G272" s="42"/>
      <c r="H272" s="42"/>
      <c r="I272" s="42"/>
      <c r="J272" s="42"/>
      <c r="K272" s="42"/>
    </row>
    <row r="273" s="2" customFormat="1" ht="21.75" customHeight="1" spans="1:16">
      <c r="A273" s="35" t="s">
        <v>235</v>
      </c>
      <c r="B273" s="36"/>
      <c r="C273" s="36"/>
      <c r="D273" s="37" t="s">
        <v>361</v>
      </c>
      <c r="E273" s="36"/>
      <c r="F273" s="36"/>
      <c r="G273" s="36"/>
      <c r="H273" s="36"/>
      <c r="I273" s="36"/>
      <c r="J273" s="36"/>
      <c r="K273" s="36"/>
    </row>
    <row r="274" s="2" customFormat="1" ht="21.75" customHeight="1" spans="1:16">
      <c r="A274" s="27" t="s">
        <v>200</v>
      </c>
      <c r="B274" s="27" t="s">
        <v>201</v>
      </c>
      <c r="C274" s="38" t="s">
        <v>202</v>
      </c>
      <c r="D274" s="12" t="s">
        <v>6</v>
      </c>
      <c r="E274" s="12" t="s">
        <v>6</v>
      </c>
      <c r="F274" s="27" t="s">
        <v>6</v>
      </c>
      <c r="G274" s="27" t="s">
        <v>6</v>
      </c>
      <c r="H274" s="27" t="s">
        <v>6</v>
      </c>
      <c r="I274" s="27" t="s">
        <v>6</v>
      </c>
      <c r="J274" s="27" t="s">
        <v>203</v>
      </c>
      <c r="K274" s="27" t="s">
        <v>204</v>
      </c>
    </row>
    <row r="275" s="2" customFormat="1" ht="21.75" customHeight="1" spans="1:16">
      <c r="A275" s="27" t="s">
        <v>205</v>
      </c>
      <c r="B275" s="27">
        <v>12</v>
      </c>
      <c r="C275" s="38" t="s">
        <v>206</v>
      </c>
      <c r="D275" s="11">
        <v>0</v>
      </c>
      <c r="E275" s="11"/>
      <c r="F275" s="11"/>
      <c r="G275" s="11"/>
      <c r="H275" s="12"/>
      <c r="I275" s="27"/>
      <c r="J275" s="27"/>
      <c r="K275" s="27">
        <f t="shared" ref="K275:K295" si="11">SUM(D275:J275)</f>
        <v>0</v>
      </c>
    </row>
    <row r="276" s="2" customFormat="1" ht="21.75" customHeight="1" spans="1:16">
      <c r="A276" s="43" t="s">
        <v>207</v>
      </c>
      <c r="B276" s="12">
        <v>11.5</v>
      </c>
      <c r="C276" s="38" t="s">
        <v>208</v>
      </c>
      <c r="D276" s="11">
        <v>0</v>
      </c>
      <c r="E276" s="11"/>
      <c r="F276" s="11"/>
      <c r="G276" s="11"/>
      <c r="H276" s="12"/>
      <c r="I276" s="27"/>
      <c r="J276" s="27"/>
      <c r="K276" s="27">
        <f t="shared" si="11"/>
        <v>0</v>
      </c>
    </row>
    <row r="277" s="2" customFormat="1" ht="21.75" customHeight="1" spans="1:16">
      <c r="A277" s="44"/>
      <c r="B277" s="39"/>
      <c r="C277" s="38" t="s">
        <v>210</v>
      </c>
      <c r="D277" s="11">
        <v>0</v>
      </c>
      <c r="E277" s="11"/>
      <c r="F277" s="11"/>
      <c r="G277" s="11"/>
      <c r="H277" s="12"/>
      <c r="I277" s="27"/>
      <c r="J277" s="27"/>
      <c r="K277" s="27">
        <f t="shared" si="11"/>
        <v>0</v>
      </c>
      <c r="P277" s="2" t="s">
        <v>318</v>
      </c>
    </row>
    <row r="278" s="2" customFormat="1" ht="21.75" customHeight="1" spans="1:16">
      <c r="A278" s="79" t="s">
        <v>237</v>
      </c>
      <c r="B278" s="56">
        <v>11.5</v>
      </c>
      <c r="C278" s="61" t="s">
        <v>212</v>
      </c>
      <c r="D278" s="11">
        <v>0</v>
      </c>
      <c r="E278" s="11"/>
      <c r="F278" s="11"/>
      <c r="G278" s="11"/>
      <c r="H278" s="12"/>
      <c r="I278" s="27"/>
      <c r="J278" s="27"/>
      <c r="K278" s="27">
        <f t="shared" si="11"/>
        <v>0</v>
      </c>
    </row>
    <row r="279" s="2" customFormat="1" ht="21.75" customHeight="1" spans="1:16">
      <c r="A279" s="80"/>
      <c r="B279" s="56"/>
      <c r="C279" s="3" t="s">
        <v>215</v>
      </c>
      <c r="D279" s="11">
        <v>0</v>
      </c>
      <c r="E279" s="11"/>
      <c r="F279" s="11"/>
      <c r="G279" s="11"/>
      <c r="H279" s="12"/>
      <c r="I279" s="27"/>
      <c r="J279" s="27"/>
      <c r="K279" s="27">
        <f t="shared" si="11"/>
        <v>0</v>
      </c>
    </row>
    <row r="280" s="2" customFormat="1" ht="21.75" customHeight="1" spans="1:16">
      <c r="A280" s="81" t="s">
        <v>238</v>
      </c>
      <c r="B280" s="56"/>
      <c r="C280" s="61" t="s">
        <v>213</v>
      </c>
      <c r="D280" s="11">
        <v>0</v>
      </c>
      <c r="E280" s="11"/>
      <c r="F280" s="11"/>
      <c r="G280" s="11"/>
      <c r="H280" s="12"/>
      <c r="I280" s="27"/>
      <c r="J280" s="27"/>
      <c r="K280" s="27">
        <f t="shared" si="11"/>
        <v>0</v>
      </c>
    </row>
    <row r="281" s="2" customFormat="1" ht="21.75" customHeight="1" spans="1:16">
      <c r="A281" s="82"/>
      <c r="B281" s="56"/>
      <c r="C281" s="61" t="s">
        <v>216</v>
      </c>
      <c r="D281" s="11">
        <v>0</v>
      </c>
      <c r="E281" s="11"/>
      <c r="F281" s="11"/>
      <c r="G281" s="11"/>
      <c r="H281" s="12"/>
      <c r="I281" s="12"/>
      <c r="J281" s="27"/>
      <c r="K281" s="27">
        <f t="shared" si="11"/>
        <v>0</v>
      </c>
    </row>
    <row r="282" s="2" customFormat="1" ht="21.75" customHeight="1" spans="1:16">
      <c r="A282" s="84" t="s">
        <v>239</v>
      </c>
      <c r="B282" s="56"/>
      <c r="C282" s="56" t="s">
        <v>214</v>
      </c>
      <c r="D282" s="11">
        <v>0</v>
      </c>
      <c r="E282" s="11"/>
      <c r="F282" s="11"/>
      <c r="G282" s="11"/>
      <c r="H282" s="12"/>
      <c r="I282" s="12"/>
      <c r="J282" s="27"/>
      <c r="K282" s="27">
        <f t="shared" si="11"/>
        <v>0</v>
      </c>
    </row>
    <row r="283" s="2" customFormat="1" ht="21.75" customHeight="1" spans="1:16">
      <c r="A283" s="27" t="s">
        <v>217</v>
      </c>
      <c r="B283" s="27">
        <v>10.5</v>
      </c>
      <c r="C283" s="27" t="s">
        <v>218</v>
      </c>
      <c r="D283" s="22">
        <v>10</v>
      </c>
      <c r="E283" s="22"/>
      <c r="F283" s="22"/>
      <c r="G283" s="22"/>
      <c r="H283" s="12"/>
      <c r="I283" s="27"/>
      <c r="J283" s="27"/>
      <c r="K283" s="27">
        <f t="shared" si="11"/>
        <v>10</v>
      </c>
    </row>
    <row r="284" s="2" customFormat="1" ht="21.75" customHeight="1" spans="1:16">
      <c r="A284" s="27"/>
      <c r="B284" s="27"/>
      <c r="C284" s="27" t="s">
        <v>219</v>
      </c>
      <c r="D284" s="11">
        <v>37.2</v>
      </c>
      <c r="E284" s="11"/>
      <c r="F284" s="11"/>
      <c r="G284" s="11"/>
      <c r="H284" s="12"/>
      <c r="I284" s="27"/>
      <c r="J284" s="27"/>
      <c r="K284" s="27">
        <f t="shared" si="11"/>
        <v>37.2</v>
      </c>
    </row>
    <row r="285" s="2" customFormat="1" ht="21.75" customHeight="1" spans="1:16">
      <c r="A285" s="27" t="s">
        <v>220</v>
      </c>
      <c r="B285" s="27">
        <v>11.5</v>
      </c>
      <c r="C285" s="38" t="s">
        <v>221</v>
      </c>
      <c r="D285" s="11">
        <v>19</v>
      </c>
      <c r="E285" s="11"/>
      <c r="F285" s="11"/>
      <c r="G285" s="11"/>
      <c r="H285" s="12"/>
      <c r="I285" s="27"/>
      <c r="J285" s="27"/>
      <c r="K285" s="27">
        <f t="shared" si="11"/>
        <v>19</v>
      </c>
    </row>
    <row r="286" s="2" customFormat="1" ht="21.75" customHeight="1" spans="1:16">
      <c r="A286" s="27"/>
      <c r="B286" s="27"/>
      <c r="C286" s="38" t="s">
        <v>222</v>
      </c>
      <c r="D286" s="11">
        <v>9</v>
      </c>
      <c r="E286" s="11"/>
      <c r="F286" s="11"/>
      <c r="G286" s="11"/>
      <c r="H286" s="12"/>
      <c r="I286" s="27"/>
      <c r="J286" s="27"/>
      <c r="K286" s="27">
        <f t="shared" si="11"/>
        <v>9</v>
      </c>
    </row>
    <row r="287" s="2" customFormat="1" ht="21.75" customHeight="1" spans="1:16">
      <c r="A287" s="27"/>
      <c r="B287" s="27"/>
      <c r="C287" s="38" t="s">
        <v>223</v>
      </c>
      <c r="D287" s="23">
        <v>11.6</v>
      </c>
      <c r="E287" s="23"/>
      <c r="F287" s="23"/>
      <c r="G287" s="23"/>
      <c r="H287" s="12"/>
      <c r="I287" s="27"/>
      <c r="J287" s="27"/>
      <c r="K287" s="27">
        <f t="shared" si="11"/>
        <v>11.6</v>
      </c>
    </row>
    <row r="288" s="2" customFormat="1" ht="21.75" customHeight="1" spans="1:16">
      <c r="A288" s="27"/>
      <c r="B288" s="27"/>
      <c r="C288" s="38" t="s">
        <v>224</v>
      </c>
      <c r="D288" s="24">
        <v>83.5</v>
      </c>
      <c r="E288" s="24"/>
      <c r="F288" s="24"/>
      <c r="G288" s="24"/>
      <c r="H288" s="12"/>
      <c r="I288" s="27"/>
      <c r="J288" s="27"/>
      <c r="K288" s="27">
        <f t="shared" si="11"/>
        <v>83.5</v>
      </c>
    </row>
    <row r="289" s="2" customFormat="1" ht="21.75" customHeight="1" spans="1:11">
      <c r="A289" s="39" t="s">
        <v>225</v>
      </c>
      <c r="B289" s="39">
        <v>10.5</v>
      </c>
      <c r="C289" s="27" t="s">
        <v>226</v>
      </c>
      <c r="D289" s="11">
        <v>11.6</v>
      </c>
      <c r="E289" s="11"/>
      <c r="F289" s="11"/>
      <c r="G289" s="11"/>
      <c r="H289" s="12"/>
      <c r="I289" s="27"/>
      <c r="J289" s="27"/>
      <c r="K289" s="27">
        <f t="shared" si="11"/>
        <v>11.6</v>
      </c>
    </row>
    <row r="290" s="2" customFormat="1" ht="21.75" customHeight="1" spans="1:11">
      <c r="A290" s="39"/>
      <c r="B290" s="39"/>
      <c r="C290" s="27" t="s">
        <v>228</v>
      </c>
      <c r="D290" s="11">
        <v>11.6</v>
      </c>
      <c r="E290" s="11"/>
      <c r="F290" s="11"/>
      <c r="G290" s="11"/>
      <c r="H290" s="12"/>
      <c r="I290" s="27"/>
      <c r="J290" s="27"/>
      <c r="K290" s="27">
        <f t="shared" si="11"/>
        <v>11.6</v>
      </c>
    </row>
    <row r="291" s="2" customFormat="1" ht="21.75" customHeight="1" spans="1:11">
      <c r="A291" s="39"/>
      <c r="B291" s="39"/>
      <c r="C291" s="27" t="s">
        <v>227</v>
      </c>
      <c r="D291" s="11">
        <v>10</v>
      </c>
      <c r="E291" s="11"/>
      <c r="F291" s="11"/>
      <c r="G291" s="11"/>
      <c r="H291" s="12"/>
      <c r="I291" s="27"/>
      <c r="J291" s="27"/>
      <c r="K291" s="27">
        <f t="shared" si="11"/>
        <v>10</v>
      </c>
    </row>
    <row r="292" s="2" customFormat="1" ht="21.75" customHeight="1" spans="1:11">
      <c r="A292" s="39"/>
      <c r="B292" s="39"/>
      <c r="C292" s="27" t="s">
        <v>229</v>
      </c>
      <c r="D292" s="11">
        <v>11.6</v>
      </c>
      <c r="E292" s="11"/>
      <c r="F292" s="11"/>
      <c r="G292" s="11"/>
      <c r="H292" s="12"/>
      <c r="I292" s="27"/>
      <c r="J292" s="40"/>
      <c r="K292" s="27">
        <f t="shared" si="11"/>
        <v>11.6</v>
      </c>
    </row>
    <row r="293" s="2" customFormat="1" ht="21.75" customHeight="1" spans="1:11">
      <c r="A293" s="39"/>
      <c r="B293" s="39"/>
      <c r="C293" s="27" t="s">
        <v>240</v>
      </c>
      <c r="D293" s="11">
        <v>11.6</v>
      </c>
      <c r="E293" s="11"/>
      <c r="F293" s="11"/>
      <c r="G293" s="11"/>
      <c r="H293" s="12"/>
      <c r="I293" s="27"/>
      <c r="J293" s="40"/>
      <c r="K293" s="27">
        <f t="shared" si="11"/>
        <v>11.6</v>
      </c>
    </row>
    <row r="294" s="2" customFormat="1" ht="21.75" customHeight="1" spans="1:11">
      <c r="A294" s="12" t="s">
        <v>230</v>
      </c>
      <c r="B294" s="12">
        <v>10.5</v>
      </c>
      <c r="C294" s="27" t="s">
        <v>231</v>
      </c>
      <c r="D294" s="11">
        <v>10</v>
      </c>
      <c r="E294" s="11"/>
      <c r="F294" s="11"/>
      <c r="G294" s="11"/>
      <c r="H294" s="27"/>
      <c r="I294" s="27"/>
      <c r="J294" s="40"/>
      <c r="K294" s="27">
        <f t="shared" si="11"/>
        <v>10</v>
      </c>
    </row>
    <row r="295" s="2" customFormat="1" ht="21.75" customHeight="1" spans="1:11">
      <c r="A295" s="27" t="s">
        <v>232</v>
      </c>
      <c r="B295" s="27">
        <v>12</v>
      </c>
      <c r="C295" s="27" t="s">
        <v>233</v>
      </c>
      <c r="D295" s="22">
        <v>0</v>
      </c>
      <c r="E295" s="22"/>
      <c r="F295" s="11"/>
      <c r="G295" s="22"/>
      <c r="H295" s="27"/>
      <c r="I295" s="27"/>
      <c r="J295" s="40"/>
      <c r="K295" s="27">
        <f t="shared" si="11"/>
        <v>0</v>
      </c>
    </row>
    <row r="296" s="2" customFormat="1" ht="21.75" customHeight="1" spans="1:11">
      <c r="A296" s="38"/>
      <c r="B296" s="41"/>
      <c r="C296" s="41"/>
      <c r="D296" s="41"/>
      <c r="E296" s="41"/>
      <c r="F296" s="41"/>
      <c r="G296" s="41"/>
      <c r="H296" s="41"/>
      <c r="I296" s="41"/>
      <c r="J296" s="40"/>
      <c r="K296" s="47">
        <f>SUM(K275:K295)</f>
        <v>236.7</v>
      </c>
    </row>
    <row r="299" s="1" customFormat="1" ht="21" customHeight="1" spans="1:11">
      <c r="A299" s="4" t="s">
        <v>342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s="1" customFormat="1" ht="21" customHeight="1" spans="1:11">
      <c r="A300" s="5" t="s">
        <v>235</v>
      </c>
      <c r="B300" s="5"/>
      <c r="C300" s="5"/>
      <c r="D300" s="5" t="s">
        <v>362</v>
      </c>
      <c r="E300" s="5"/>
      <c r="F300" s="5"/>
      <c r="G300" s="5"/>
      <c r="H300" s="5"/>
      <c r="I300" s="5"/>
      <c r="J300" s="5"/>
      <c r="K300" s="5"/>
    </row>
    <row r="301" s="1" customFormat="1" ht="21" customHeight="1" spans="1:11">
      <c r="A301" s="6" t="s">
        <v>200</v>
      </c>
      <c r="B301" s="6" t="s">
        <v>201</v>
      </c>
      <c r="C301" s="7" t="s">
        <v>202</v>
      </c>
      <c r="D301" s="8" t="s">
        <v>6</v>
      </c>
      <c r="E301" s="8" t="s">
        <v>6</v>
      </c>
      <c r="F301" s="6" t="s">
        <v>6</v>
      </c>
      <c r="G301" s="6" t="s">
        <v>6</v>
      </c>
      <c r="H301" s="6" t="s">
        <v>6</v>
      </c>
      <c r="I301" s="6" t="s">
        <v>6</v>
      </c>
      <c r="J301" s="6" t="s">
        <v>203</v>
      </c>
      <c r="K301" s="6" t="s">
        <v>204</v>
      </c>
    </row>
    <row r="302" s="1" customFormat="1" ht="21" customHeight="1" spans="1:11">
      <c r="A302" s="9" t="s">
        <v>205</v>
      </c>
      <c r="B302" s="9">
        <v>12</v>
      </c>
      <c r="C302" s="10" t="s">
        <v>206</v>
      </c>
      <c r="D302" s="11">
        <v>12</v>
      </c>
      <c r="E302" s="11">
        <v>12</v>
      </c>
      <c r="F302" s="11"/>
      <c r="G302" s="11"/>
      <c r="H302" s="26"/>
      <c r="I302" s="9"/>
      <c r="J302" s="9"/>
      <c r="K302" s="13">
        <f t="shared" ref="K302:K322" si="12">SUM(D302:J302)</f>
        <v>24</v>
      </c>
    </row>
    <row r="303" s="1" customFormat="1" ht="21" customHeight="1" spans="1:11">
      <c r="A303" s="14" t="s">
        <v>207</v>
      </c>
      <c r="B303" s="9">
        <v>11.5</v>
      </c>
      <c r="C303" s="15" t="s">
        <v>208</v>
      </c>
      <c r="D303" s="11">
        <v>30</v>
      </c>
      <c r="E303" s="11">
        <v>30</v>
      </c>
      <c r="F303" s="11"/>
      <c r="G303" s="11"/>
      <c r="H303" s="26"/>
      <c r="I303" s="9"/>
      <c r="J303" s="9"/>
      <c r="K303" s="13">
        <f t="shared" si="12"/>
        <v>60</v>
      </c>
    </row>
    <row r="304" s="1" customFormat="1" ht="21" customHeight="1" spans="1:11">
      <c r="A304" s="14"/>
      <c r="B304" s="9"/>
      <c r="C304" s="15" t="s">
        <v>210</v>
      </c>
      <c r="D304" s="11">
        <v>26.5</v>
      </c>
      <c r="E304" s="11">
        <v>26.5</v>
      </c>
      <c r="F304" s="22"/>
      <c r="G304" s="11"/>
      <c r="H304" s="26"/>
      <c r="I304" s="9"/>
      <c r="J304" s="9"/>
      <c r="K304" s="13">
        <f t="shared" si="12"/>
        <v>53</v>
      </c>
    </row>
    <row r="305" s="1" customFormat="1" ht="21" customHeight="1" spans="1:11">
      <c r="A305" s="16" t="s">
        <v>237</v>
      </c>
      <c r="B305" s="13">
        <v>11.5</v>
      </c>
      <c r="C305" s="17" t="s">
        <v>212</v>
      </c>
      <c r="D305" s="11">
        <v>23</v>
      </c>
      <c r="E305" s="11">
        <v>11.5</v>
      </c>
      <c r="F305" s="11"/>
      <c r="G305" s="11"/>
      <c r="H305" s="26"/>
      <c r="I305" s="9"/>
      <c r="J305" s="9"/>
      <c r="K305" s="13">
        <f t="shared" si="12"/>
        <v>34.5</v>
      </c>
    </row>
    <row r="306" s="1" customFormat="1" ht="21" customHeight="1" spans="1:11">
      <c r="A306" s="18"/>
      <c r="B306" s="13"/>
      <c r="C306" s="1" t="s">
        <v>215</v>
      </c>
      <c r="D306" s="11">
        <v>23</v>
      </c>
      <c r="E306" s="11">
        <v>23</v>
      </c>
      <c r="F306" s="11"/>
      <c r="G306" s="11"/>
      <c r="H306" s="26"/>
      <c r="I306" s="9"/>
      <c r="J306" s="9"/>
      <c r="K306" s="13">
        <f t="shared" si="12"/>
        <v>46</v>
      </c>
    </row>
    <row r="307" s="1" customFormat="1" ht="21" customHeight="1" spans="1:11">
      <c r="A307" s="19" t="s">
        <v>238</v>
      </c>
      <c r="B307" s="13"/>
      <c r="C307" s="17" t="s">
        <v>213</v>
      </c>
      <c r="D307" s="11">
        <v>23</v>
      </c>
      <c r="E307" s="11">
        <v>23</v>
      </c>
      <c r="F307" s="11"/>
      <c r="G307" s="11"/>
      <c r="H307" s="26"/>
      <c r="I307" s="9"/>
      <c r="J307" s="9"/>
      <c r="K307" s="13">
        <f t="shared" si="12"/>
        <v>46</v>
      </c>
    </row>
    <row r="308" s="1" customFormat="1" ht="21" customHeight="1" spans="1:11">
      <c r="A308" s="20"/>
      <c r="B308" s="13"/>
      <c r="C308" s="17" t="s">
        <v>216</v>
      </c>
      <c r="D308" s="11">
        <v>23</v>
      </c>
      <c r="E308" s="11">
        <v>23</v>
      </c>
      <c r="F308" s="11"/>
      <c r="G308" s="11"/>
      <c r="H308" s="26"/>
      <c r="I308" s="26"/>
      <c r="J308" s="9"/>
      <c r="K308" s="13">
        <f t="shared" si="12"/>
        <v>46</v>
      </c>
    </row>
    <row r="309" s="1" customFormat="1" ht="21" customHeight="1" spans="1:11">
      <c r="A309" s="21" t="s">
        <v>239</v>
      </c>
      <c r="B309" s="13"/>
      <c r="C309" s="13" t="s">
        <v>214</v>
      </c>
      <c r="D309" s="11">
        <v>21.5</v>
      </c>
      <c r="E309" s="11">
        <v>11.5</v>
      </c>
      <c r="F309" s="22"/>
      <c r="G309" s="11"/>
      <c r="H309" s="26"/>
      <c r="I309" s="26"/>
      <c r="J309" s="9"/>
      <c r="K309" s="13">
        <f t="shared" si="12"/>
        <v>33</v>
      </c>
    </row>
    <row r="310" s="1" customFormat="1" ht="21" customHeight="1" spans="1:11">
      <c r="A310" s="9" t="s">
        <v>217</v>
      </c>
      <c r="B310" s="9">
        <v>10.5</v>
      </c>
      <c r="C310" s="9" t="s">
        <v>218</v>
      </c>
      <c r="D310" s="22">
        <v>21</v>
      </c>
      <c r="E310" s="22">
        <v>20</v>
      </c>
      <c r="F310" s="11"/>
      <c r="G310" s="22"/>
      <c r="H310" s="26"/>
      <c r="I310" s="9"/>
      <c r="J310" s="9"/>
      <c r="K310" s="13">
        <f t="shared" si="12"/>
        <v>41</v>
      </c>
    </row>
    <row r="311" s="1" customFormat="1" ht="21" customHeight="1" spans="1:11">
      <c r="A311" s="9"/>
      <c r="B311" s="9"/>
      <c r="C311" s="9" t="s">
        <v>219</v>
      </c>
      <c r="D311" s="11">
        <v>21</v>
      </c>
      <c r="E311" s="11">
        <v>20</v>
      </c>
      <c r="F311" s="11"/>
      <c r="G311" s="11"/>
      <c r="H311" s="26"/>
      <c r="I311" s="9"/>
      <c r="J311" s="9"/>
      <c r="K311" s="13">
        <f t="shared" si="12"/>
        <v>41</v>
      </c>
    </row>
    <row r="312" s="1" customFormat="1" ht="21" customHeight="1" spans="1:11">
      <c r="A312" s="9" t="s">
        <v>220</v>
      </c>
      <c r="B312" s="9">
        <v>11.5</v>
      </c>
      <c r="C312" s="15" t="s">
        <v>221</v>
      </c>
      <c r="D312" s="11">
        <v>28</v>
      </c>
      <c r="E312" s="11">
        <v>28</v>
      </c>
      <c r="F312" s="11"/>
      <c r="G312" s="11"/>
      <c r="H312" s="26"/>
      <c r="I312" s="9"/>
      <c r="J312" s="9"/>
      <c r="K312" s="13">
        <f t="shared" si="12"/>
        <v>56</v>
      </c>
    </row>
    <row r="313" s="1" customFormat="1" ht="21" customHeight="1" spans="1:11">
      <c r="A313" s="9"/>
      <c r="B313" s="9"/>
      <c r="C313" s="15" t="s">
        <v>222</v>
      </c>
      <c r="D313" s="11">
        <v>18</v>
      </c>
      <c r="E313" s="11">
        <v>18</v>
      </c>
      <c r="F313" s="11"/>
      <c r="G313" s="11"/>
      <c r="H313" s="26"/>
      <c r="I313" s="9"/>
      <c r="J313" s="9"/>
      <c r="K313" s="13">
        <f t="shared" si="12"/>
        <v>36</v>
      </c>
    </row>
    <row r="314" s="1" customFormat="1" ht="21" customHeight="1" spans="1:11">
      <c r="A314" s="9"/>
      <c r="B314" s="9"/>
      <c r="C314" s="15" t="s">
        <v>223</v>
      </c>
      <c r="D314" s="23">
        <v>41</v>
      </c>
      <c r="E314" s="23">
        <v>41</v>
      </c>
      <c r="F314" s="22"/>
      <c r="G314" s="23"/>
      <c r="H314" s="26"/>
      <c r="I314" s="9"/>
      <c r="J314" s="9"/>
      <c r="K314" s="13">
        <f t="shared" si="12"/>
        <v>82</v>
      </c>
    </row>
    <row r="315" s="1" customFormat="1" ht="21" customHeight="1" spans="1:11">
      <c r="A315" s="9"/>
      <c r="B315" s="9"/>
      <c r="C315" s="15" t="s">
        <v>224</v>
      </c>
      <c r="D315" s="24">
        <v>155.7</v>
      </c>
      <c r="E315" s="24">
        <v>157</v>
      </c>
      <c r="F315" s="11"/>
      <c r="G315" s="24"/>
      <c r="H315" s="26"/>
      <c r="I315" s="9"/>
      <c r="J315" s="9"/>
      <c r="K315" s="13">
        <f t="shared" si="12"/>
        <v>312.7</v>
      </c>
    </row>
    <row r="316" s="1" customFormat="1" ht="21" customHeight="1" spans="1:11">
      <c r="A316" s="25" t="s">
        <v>225</v>
      </c>
      <c r="B316" s="25">
        <v>10.5</v>
      </c>
      <c r="C316" s="9" t="s">
        <v>226</v>
      </c>
      <c r="D316" s="11">
        <v>25</v>
      </c>
      <c r="E316" s="11"/>
      <c r="F316" s="11"/>
      <c r="G316" s="11"/>
      <c r="H316" s="26"/>
      <c r="I316" s="9"/>
      <c r="J316" s="9"/>
      <c r="K316" s="13">
        <f t="shared" si="12"/>
        <v>25</v>
      </c>
    </row>
    <row r="317" s="1" customFormat="1" ht="21" customHeight="1" spans="1:11">
      <c r="A317" s="25"/>
      <c r="B317" s="25"/>
      <c r="C317" s="9" t="s">
        <v>228</v>
      </c>
      <c r="D317" s="11">
        <v>50</v>
      </c>
      <c r="E317" s="11"/>
      <c r="F317" s="11"/>
      <c r="G317" s="11"/>
      <c r="H317" s="26"/>
      <c r="I317" s="9"/>
      <c r="J317" s="9"/>
      <c r="K317" s="13">
        <f t="shared" si="12"/>
        <v>50</v>
      </c>
    </row>
    <row r="318" s="1" customFormat="1" ht="21" customHeight="1" spans="1:11">
      <c r="A318" s="25"/>
      <c r="B318" s="25"/>
      <c r="C318" s="9" t="s">
        <v>227</v>
      </c>
      <c r="D318" s="11">
        <v>24.6</v>
      </c>
      <c r="E318" s="11"/>
      <c r="F318" s="11"/>
      <c r="G318" s="11"/>
      <c r="H318" s="26"/>
      <c r="I318" s="9"/>
      <c r="J318" s="9"/>
      <c r="K318" s="13">
        <f t="shared" si="12"/>
        <v>24.6</v>
      </c>
    </row>
    <row r="319" s="1" customFormat="1" ht="21" customHeight="1" spans="1:11">
      <c r="A319" s="25"/>
      <c r="B319" s="25"/>
      <c r="C319" s="9" t="s">
        <v>229</v>
      </c>
      <c r="D319" s="11">
        <v>24.6</v>
      </c>
      <c r="E319" s="11"/>
      <c r="F319" s="22"/>
      <c r="G319" s="11"/>
      <c r="H319" s="26"/>
      <c r="I319" s="9"/>
      <c r="J319" s="106"/>
      <c r="K319" s="13">
        <f t="shared" si="12"/>
        <v>24.6</v>
      </c>
    </row>
    <row r="320" s="1" customFormat="1" ht="21" customHeight="1" spans="1:11">
      <c r="A320" s="25"/>
      <c r="B320" s="25"/>
      <c r="C320" s="9" t="s">
        <v>240</v>
      </c>
      <c r="D320" s="11">
        <v>24.6</v>
      </c>
      <c r="E320" s="11"/>
      <c r="F320" s="11"/>
      <c r="G320" s="11"/>
      <c r="H320" s="26"/>
      <c r="I320" s="9"/>
      <c r="J320" s="106"/>
      <c r="K320" s="13">
        <f t="shared" si="12"/>
        <v>24.6</v>
      </c>
    </row>
    <row r="321" s="1" customFormat="1" ht="21" customHeight="1" spans="1:11">
      <c r="A321" s="26" t="s">
        <v>230</v>
      </c>
      <c r="B321" s="26">
        <v>10.5</v>
      </c>
      <c r="C321" s="9" t="s">
        <v>231</v>
      </c>
      <c r="D321" s="11">
        <v>10.5</v>
      </c>
      <c r="E321" s="11"/>
      <c r="F321" s="11"/>
      <c r="G321" s="11"/>
      <c r="H321" s="9"/>
      <c r="I321" s="9"/>
      <c r="J321" s="106"/>
      <c r="K321" s="13">
        <f t="shared" si="12"/>
        <v>10.5</v>
      </c>
    </row>
    <row r="322" s="1" customFormat="1" ht="21" customHeight="1" spans="1:11">
      <c r="A322" s="26" t="s">
        <v>232</v>
      </c>
      <c r="B322" s="26">
        <v>12</v>
      </c>
      <c r="C322" s="26" t="s">
        <v>233</v>
      </c>
      <c r="D322" s="89">
        <v>12</v>
      </c>
      <c r="E322" s="89"/>
      <c r="F322" s="11"/>
      <c r="G322" s="146"/>
      <c r="H322" s="26"/>
      <c r="I322" s="26"/>
      <c r="J322" s="107"/>
      <c r="K322" s="28">
        <f t="shared" si="12"/>
        <v>12</v>
      </c>
    </row>
    <row r="323" s="1" customFormat="1" ht="21" customHeight="1" spans="1:11">
      <c r="A323" s="17"/>
      <c r="B323" s="29"/>
      <c r="C323" s="29"/>
      <c r="D323" s="30">
        <f>SUM(D302:D322)</f>
        <v>638</v>
      </c>
      <c r="E323" s="30">
        <f>SUM(E302:E322)</f>
        <v>444.5</v>
      </c>
      <c r="F323" s="236">
        <f>SUM(D316:D322)</f>
        <v>171.3</v>
      </c>
      <c r="G323" s="29"/>
      <c r="H323" s="29"/>
      <c r="I323" s="29"/>
      <c r="J323" s="29"/>
      <c r="K323" s="31">
        <f>SUM(K302:K322)</f>
        <v>1082.5</v>
      </c>
    </row>
    <row r="326" s="1" customFormat="1" ht="21" customHeight="1" spans="1:11">
      <c r="A326" s="32" t="s">
        <v>342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4"/>
    </row>
    <row r="327" s="1" customFormat="1" ht="21" customHeight="1" spans="1:11">
      <c r="A327" s="35" t="s">
        <v>253</v>
      </c>
      <c r="B327" s="36"/>
      <c r="C327" s="36"/>
      <c r="D327" s="37" t="s">
        <v>363</v>
      </c>
      <c r="E327" s="36"/>
      <c r="F327" s="36"/>
      <c r="G327" s="36"/>
      <c r="H327" s="36"/>
      <c r="I327" s="36"/>
      <c r="J327" s="36"/>
      <c r="K327" s="36"/>
    </row>
    <row r="328" s="1" customFormat="1" ht="21" customHeight="1" spans="1:11">
      <c r="A328" s="27" t="s">
        <v>200</v>
      </c>
      <c r="B328" s="27" t="s">
        <v>201</v>
      </c>
      <c r="C328" s="38" t="s">
        <v>202</v>
      </c>
      <c r="D328" s="12" t="s">
        <v>6</v>
      </c>
      <c r="E328" s="12" t="s">
        <v>6</v>
      </c>
      <c r="F328" s="27" t="s">
        <v>6</v>
      </c>
      <c r="G328" s="27" t="s">
        <v>6</v>
      </c>
      <c r="H328" s="27" t="s">
        <v>6</v>
      </c>
      <c r="I328" s="27" t="s">
        <v>6</v>
      </c>
      <c r="J328" s="27" t="s">
        <v>203</v>
      </c>
      <c r="K328" s="27" t="s">
        <v>204</v>
      </c>
    </row>
    <row r="329" s="1" customFormat="1" ht="21" customHeight="1" spans="1:11">
      <c r="A329" s="27" t="s">
        <v>205</v>
      </c>
      <c r="B329" s="27">
        <v>12</v>
      </c>
      <c r="C329" s="38" t="s">
        <v>206</v>
      </c>
      <c r="D329" s="12">
        <v>15</v>
      </c>
      <c r="E329" s="12">
        <v>10</v>
      </c>
      <c r="F329" s="12"/>
      <c r="G329" s="12"/>
      <c r="H329" s="12"/>
      <c r="I329" s="27"/>
      <c r="J329" s="27"/>
      <c r="K329" s="13">
        <f t="shared" ref="K329:K351" si="13">SUM(D329:J329)</f>
        <v>25</v>
      </c>
    </row>
    <row r="330" s="1" customFormat="1" ht="21" customHeight="1" spans="1:11">
      <c r="A330" s="21" t="s">
        <v>207</v>
      </c>
      <c r="B330" s="27">
        <v>11.5</v>
      </c>
      <c r="C330" s="38" t="s">
        <v>208</v>
      </c>
      <c r="D330" s="12">
        <v>14.3</v>
      </c>
      <c r="E330" s="12">
        <v>10</v>
      </c>
      <c r="F330" s="12"/>
      <c r="G330" s="12"/>
      <c r="H330" s="12"/>
      <c r="I330" s="27"/>
      <c r="J330" s="27"/>
      <c r="K330" s="13">
        <f t="shared" si="13"/>
        <v>24.3</v>
      </c>
    </row>
    <row r="331" s="1" customFormat="1" ht="21" customHeight="1" spans="1:11">
      <c r="A331" s="21"/>
      <c r="B331" s="27"/>
      <c r="C331" s="27" t="s">
        <v>209</v>
      </c>
      <c r="D331" s="12">
        <v>14.3</v>
      </c>
      <c r="E331" s="12">
        <v>10</v>
      </c>
      <c r="F331" s="12"/>
      <c r="G331" s="12"/>
      <c r="H331" s="12"/>
      <c r="I331" s="27"/>
      <c r="J331" s="27"/>
      <c r="K331" s="13">
        <f t="shared" si="13"/>
        <v>24.3</v>
      </c>
    </row>
    <row r="332" s="1" customFormat="1" ht="21" customHeight="1" spans="1:11">
      <c r="A332" s="21"/>
      <c r="B332" s="27"/>
      <c r="C332" s="38" t="s">
        <v>210</v>
      </c>
      <c r="D332" s="12">
        <v>14.3</v>
      </c>
      <c r="E332" s="12">
        <v>10</v>
      </c>
      <c r="F332" s="12"/>
      <c r="G332" s="12"/>
      <c r="H332" s="12"/>
      <c r="I332" s="27"/>
      <c r="J332" s="27"/>
      <c r="K332" s="13">
        <f t="shared" si="13"/>
        <v>24.3</v>
      </c>
    </row>
    <row r="333" s="1" customFormat="1" ht="21" customHeight="1" spans="1:11">
      <c r="A333" s="16" t="s">
        <v>237</v>
      </c>
      <c r="B333" s="13">
        <v>11.5</v>
      </c>
      <c r="C333" s="17" t="s">
        <v>212</v>
      </c>
      <c r="D333" s="12">
        <v>14.3</v>
      </c>
      <c r="E333" s="12">
        <v>11</v>
      </c>
      <c r="F333" s="12"/>
      <c r="G333" s="12"/>
      <c r="H333" s="12"/>
      <c r="I333" s="27"/>
      <c r="J333" s="27"/>
      <c r="K333" s="13">
        <f t="shared" si="13"/>
        <v>25.3</v>
      </c>
    </row>
    <row r="334" s="1" customFormat="1" ht="21" customHeight="1" spans="1:11">
      <c r="A334" s="18"/>
      <c r="B334" s="13"/>
      <c r="C334" s="1" t="s">
        <v>215</v>
      </c>
      <c r="D334" s="12">
        <v>14.3</v>
      </c>
      <c r="E334" s="12">
        <v>11</v>
      </c>
      <c r="F334" s="12"/>
      <c r="G334" s="12"/>
      <c r="H334" s="12"/>
      <c r="I334" s="27"/>
      <c r="J334" s="27"/>
      <c r="K334" s="13">
        <f t="shared" si="13"/>
        <v>25.3</v>
      </c>
    </row>
    <row r="335" s="1" customFormat="1" ht="21" customHeight="1" spans="1:11">
      <c r="A335" s="19" t="s">
        <v>238</v>
      </c>
      <c r="B335" s="13"/>
      <c r="C335" s="17" t="s">
        <v>213</v>
      </c>
      <c r="D335" s="12">
        <v>14.3</v>
      </c>
      <c r="E335" s="12">
        <v>11</v>
      </c>
      <c r="F335" s="12"/>
      <c r="G335" s="12"/>
      <c r="H335" s="12"/>
      <c r="I335" s="27"/>
      <c r="J335" s="27"/>
      <c r="K335" s="13">
        <f t="shared" si="13"/>
        <v>25.3</v>
      </c>
    </row>
    <row r="336" s="1" customFormat="1" ht="21" customHeight="1" spans="1:11">
      <c r="A336" s="20"/>
      <c r="B336" s="13"/>
      <c r="C336" s="17" t="s">
        <v>216</v>
      </c>
      <c r="D336" s="12">
        <v>14.3</v>
      </c>
      <c r="E336" s="12">
        <v>11</v>
      </c>
      <c r="F336" s="12"/>
      <c r="G336" s="12"/>
      <c r="H336" s="12"/>
      <c r="I336" s="12"/>
      <c r="J336" s="27"/>
      <c r="K336" s="13">
        <f t="shared" si="13"/>
        <v>25.3</v>
      </c>
    </row>
    <row r="337" s="1" customFormat="1" ht="21" customHeight="1" spans="1:11">
      <c r="A337" s="21" t="s">
        <v>239</v>
      </c>
      <c r="B337" s="13"/>
      <c r="C337" s="13" t="s">
        <v>214</v>
      </c>
      <c r="D337" s="12">
        <v>14.3</v>
      </c>
      <c r="E337" s="12">
        <v>11</v>
      </c>
      <c r="F337" s="12"/>
      <c r="G337" s="12"/>
      <c r="H337" s="12"/>
      <c r="I337" s="12"/>
      <c r="J337" s="27"/>
      <c r="K337" s="13">
        <f t="shared" si="13"/>
        <v>25.3</v>
      </c>
    </row>
    <row r="338" s="1" customFormat="1" ht="21" customHeight="1" spans="1:11">
      <c r="A338" s="27" t="s">
        <v>217</v>
      </c>
      <c r="B338" s="27">
        <v>10.5</v>
      </c>
      <c r="C338" s="27" t="s">
        <v>218</v>
      </c>
      <c r="D338" s="12">
        <v>16.7</v>
      </c>
      <c r="E338" s="12">
        <v>10</v>
      </c>
      <c r="F338" s="12"/>
      <c r="G338" s="12"/>
      <c r="H338" s="12"/>
      <c r="I338" s="27"/>
      <c r="J338" s="27"/>
      <c r="K338" s="13">
        <f t="shared" si="13"/>
        <v>26.7</v>
      </c>
    </row>
    <row r="339" s="1" customFormat="1" ht="21" customHeight="1" spans="1:11">
      <c r="A339" s="27"/>
      <c r="B339" s="27"/>
      <c r="C339" s="27" t="s">
        <v>219</v>
      </c>
      <c r="D339" s="12">
        <v>16.7</v>
      </c>
      <c r="E339" s="12">
        <v>10</v>
      </c>
      <c r="F339" s="12"/>
      <c r="G339" s="12"/>
      <c r="H339" s="12"/>
      <c r="I339" s="27"/>
      <c r="J339" s="27"/>
      <c r="K339" s="13">
        <f t="shared" si="13"/>
        <v>26.7</v>
      </c>
    </row>
    <row r="340" s="1" customFormat="1" ht="21" customHeight="1" spans="1:11">
      <c r="A340" s="27" t="s">
        <v>220</v>
      </c>
      <c r="B340" s="27">
        <v>11.5</v>
      </c>
      <c r="C340" s="38" t="s">
        <v>221</v>
      </c>
      <c r="D340" s="12">
        <v>16.7</v>
      </c>
      <c r="E340" s="12">
        <v>10</v>
      </c>
      <c r="F340" s="12"/>
      <c r="G340" s="12"/>
      <c r="H340" s="12"/>
      <c r="I340" s="27"/>
      <c r="J340" s="27"/>
      <c r="K340" s="13">
        <f t="shared" si="13"/>
        <v>26.7</v>
      </c>
    </row>
    <row r="341" s="1" customFormat="1" ht="21" customHeight="1" spans="1:11">
      <c r="A341" s="27"/>
      <c r="B341" s="27"/>
      <c r="C341" s="38" t="s">
        <v>222</v>
      </c>
      <c r="D341" s="12">
        <v>16.7</v>
      </c>
      <c r="E341" s="12">
        <v>10</v>
      </c>
      <c r="F341" s="12"/>
      <c r="G341" s="12"/>
      <c r="H341" s="12"/>
      <c r="I341" s="27"/>
      <c r="J341" s="27"/>
      <c r="K341" s="13">
        <f t="shared" si="13"/>
        <v>26.7</v>
      </c>
    </row>
    <row r="342" s="1" customFormat="1" ht="21" customHeight="1" spans="1:11">
      <c r="A342" s="27"/>
      <c r="B342" s="27"/>
      <c r="C342" s="38" t="s">
        <v>223</v>
      </c>
      <c r="D342" s="12">
        <v>16.7</v>
      </c>
      <c r="E342" s="12">
        <v>5</v>
      </c>
      <c r="F342" s="12"/>
      <c r="G342" s="12"/>
      <c r="H342" s="12"/>
      <c r="I342" s="27"/>
      <c r="J342" s="27"/>
      <c r="K342" s="13">
        <f t="shared" si="13"/>
        <v>21.7</v>
      </c>
    </row>
    <row r="343" s="1" customFormat="1" ht="21" customHeight="1" spans="1:11">
      <c r="A343" s="27"/>
      <c r="B343" s="27"/>
      <c r="C343" s="38" t="s">
        <v>224</v>
      </c>
      <c r="D343" s="12">
        <v>0</v>
      </c>
      <c r="E343" s="12">
        <v>0</v>
      </c>
      <c r="F343" s="12"/>
      <c r="G343" s="12"/>
      <c r="H343" s="12"/>
      <c r="I343" s="27"/>
      <c r="J343" s="27"/>
      <c r="K343" s="13">
        <f t="shared" si="13"/>
        <v>0</v>
      </c>
    </row>
    <row r="344" s="1" customFormat="1" ht="21" customHeight="1" spans="1:11">
      <c r="A344" s="39" t="s">
        <v>225</v>
      </c>
      <c r="B344" s="39">
        <v>10.5</v>
      </c>
      <c r="C344" s="27" t="s">
        <v>226</v>
      </c>
      <c r="D344" s="12">
        <v>16.7</v>
      </c>
      <c r="E344" s="12">
        <v>5</v>
      </c>
      <c r="F344" s="12"/>
      <c r="G344" s="12"/>
      <c r="H344" s="12"/>
      <c r="I344" s="27"/>
      <c r="J344" s="27"/>
      <c r="K344" s="13">
        <f t="shared" si="13"/>
        <v>21.7</v>
      </c>
    </row>
    <row r="345" s="1" customFormat="1" ht="21" customHeight="1" spans="1:11">
      <c r="A345" s="39"/>
      <c r="B345" s="39"/>
      <c r="C345" s="27" t="s">
        <v>250</v>
      </c>
      <c r="D345" s="12">
        <v>16.7</v>
      </c>
      <c r="E345" s="12">
        <v>5</v>
      </c>
      <c r="F345" s="12"/>
      <c r="G345" s="12"/>
      <c r="H345" s="12"/>
      <c r="I345" s="27"/>
      <c r="J345" s="27"/>
      <c r="K345" s="13">
        <f t="shared" si="13"/>
        <v>21.7</v>
      </c>
    </row>
    <row r="346" s="1" customFormat="1" ht="21" customHeight="1" spans="1:11">
      <c r="A346" s="39"/>
      <c r="B346" s="39"/>
      <c r="C346" s="27" t="s">
        <v>228</v>
      </c>
      <c r="D346" s="12">
        <v>16.7</v>
      </c>
      <c r="E346" s="12">
        <v>5</v>
      </c>
      <c r="F346" s="12"/>
      <c r="G346" s="12"/>
      <c r="H346" s="12"/>
      <c r="I346" s="27"/>
      <c r="J346" s="27"/>
      <c r="K346" s="13">
        <f t="shared" si="13"/>
        <v>21.7</v>
      </c>
    </row>
    <row r="347" s="1" customFormat="1" ht="21" customHeight="1" spans="1:11">
      <c r="A347" s="39"/>
      <c r="B347" s="39"/>
      <c r="C347" s="27" t="s">
        <v>227</v>
      </c>
      <c r="D347" s="12">
        <v>0</v>
      </c>
      <c r="E347" s="12">
        <v>0</v>
      </c>
      <c r="F347" s="12"/>
      <c r="G347" s="12"/>
      <c r="H347" s="12"/>
      <c r="I347" s="27"/>
      <c r="J347" s="27"/>
      <c r="K347" s="13">
        <f t="shared" si="13"/>
        <v>0</v>
      </c>
    </row>
    <row r="348" s="1" customFormat="1" ht="21" customHeight="1" spans="1:11">
      <c r="A348" s="39"/>
      <c r="B348" s="39"/>
      <c r="C348" s="27" t="s">
        <v>229</v>
      </c>
      <c r="D348" s="12">
        <v>0</v>
      </c>
      <c r="E348" s="12">
        <v>0</v>
      </c>
      <c r="F348" s="12"/>
      <c r="G348" s="12"/>
      <c r="H348" s="12"/>
      <c r="I348" s="27"/>
      <c r="J348" s="40"/>
      <c r="K348" s="13">
        <f t="shared" si="13"/>
        <v>0</v>
      </c>
    </row>
    <row r="349" s="1" customFormat="1" ht="21" customHeight="1" spans="1:11">
      <c r="A349" s="39"/>
      <c r="B349" s="39"/>
      <c r="C349" s="27" t="s">
        <v>240</v>
      </c>
      <c r="D349" s="12">
        <v>16.7</v>
      </c>
      <c r="E349" s="12">
        <v>5</v>
      </c>
      <c r="F349" s="12"/>
      <c r="G349" s="12"/>
      <c r="H349" s="12"/>
      <c r="I349" s="27"/>
      <c r="J349" s="40"/>
      <c r="K349" s="13">
        <f t="shared" si="13"/>
        <v>21.7</v>
      </c>
    </row>
    <row r="350" s="1" customFormat="1" ht="21" customHeight="1" spans="1:11">
      <c r="A350" s="12" t="s">
        <v>230</v>
      </c>
      <c r="B350" s="12">
        <v>10.5</v>
      </c>
      <c r="C350" s="27" t="s">
        <v>231</v>
      </c>
      <c r="D350" s="27">
        <v>10</v>
      </c>
      <c r="E350" s="27">
        <v>10</v>
      </c>
      <c r="F350" s="27"/>
      <c r="G350" s="27"/>
      <c r="H350" s="27"/>
      <c r="I350" s="27"/>
      <c r="J350" s="40"/>
      <c r="K350" s="13">
        <f t="shared" si="13"/>
        <v>20</v>
      </c>
    </row>
    <row r="351" s="1" customFormat="1" ht="21" customHeight="1" spans="1:11">
      <c r="A351" s="27" t="s">
        <v>232</v>
      </c>
      <c r="B351" s="27">
        <v>12</v>
      </c>
      <c r="C351" s="27" t="s">
        <v>233</v>
      </c>
      <c r="D351" s="27">
        <v>12</v>
      </c>
      <c r="E351" s="27">
        <v>12</v>
      </c>
      <c r="F351" s="27"/>
      <c r="G351" s="27"/>
      <c r="H351" s="27"/>
      <c r="I351" s="27"/>
      <c r="J351" s="40"/>
      <c r="K351" s="13">
        <f t="shared" si="13"/>
        <v>24</v>
      </c>
    </row>
    <row r="352" s="1" customFormat="1" ht="21" customHeight="1" spans="1:11">
      <c r="A352" s="38"/>
      <c r="B352" s="41"/>
      <c r="C352" s="41"/>
      <c r="D352" s="41"/>
      <c r="E352" s="41"/>
      <c r="F352" s="30"/>
      <c r="G352" s="41"/>
      <c r="H352" s="41"/>
      <c r="I352" s="41"/>
      <c r="J352" s="41"/>
      <c r="K352" s="31">
        <f>SUM(K329:K351)</f>
        <v>483.7</v>
      </c>
    </row>
    <row r="355" s="2" customFormat="1" ht="21.75" customHeight="1" spans="1:11">
      <c r="A355" s="88" t="s">
        <v>342</v>
      </c>
      <c r="B355" s="88"/>
      <c r="C355" s="88"/>
      <c r="D355" s="88"/>
      <c r="E355" s="88"/>
      <c r="F355" s="88"/>
      <c r="G355" s="88"/>
      <c r="H355" s="88"/>
      <c r="I355" s="88"/>
      <c r="J355" s="88"/>
      <c r="K355" s="88"/>
    </row>
    <row r="356" s="2" customFormat="1" ht="21.75" customHeight="1" spans="1:11">
      <c r="A356" s="35" t="s">
        <v>320</v>
      </c>
      <c r="B356" s="36"/>
      <c r="C356" s="36"/>
      <c r="D356" s="37" t="s">
        <v>364</v>
      </c>
      <c r="E356" s="36"/>
      <c r="F356" s="36"/>
      <c r="G356" s="36"/>
      <c r="H356" s="36"/>
      <c r="I356" s="36"/>
      <c r="J356" s="36"/>
      <c r="K356" s="36"/>
    </row>
    <row r="357" s="2" customFormat="1" ht="21.75" customHeight="1" spans="1:11">
      <c r="A357" s="27" t="s">
        <v>200</v>
      </c>
      <c r="B357" s="27" t="s">
        <v>201</v>
      </c>
      <c r="C357" s="38" t="s">
        <v>202</v>
      </c>
      <c r="D357" s="12" t="s">
        <v>6</v>
      </c>
      <c r="E357" s="12" t="s">
        <v>6</v>
      </c>
      <c r="F357" s="27" t="s">
        <v>6</v>
      </c>
      <c r="G357" s="27" t="s">
        <v>6</v>
      </c>
      <c r="H357" s="27" t="s">
        <v>6</v>
      </c>
      <c r="I357" s="27" t="s">
        <v>6</v>
      </c>
      <c r="J357" s="27" t="s">
        <v>203</v>
      </c>
      <c r="K357" s="27" t="s">
        <v>204</v>
      </c>
    </row>
    <row r="358" s="2" customFormat="1" ht="21.75" customHeight="1" spans="1:11">
      <c r="A358" s="27" t="s">
        <v>205</v>
      </c>
      <c r="B358" s="27">
        <v>12</v>
      </c>
      <c r="C358" s="38" t="s">
        <v>206</v>
      </c>
      <c r="D358" s="12">
        <v>12</v>
      </c>
      <c r="E358" s="12">
        <v>12</v>
      </c>
      <c r="F358" s="12">
        <v>12</v>
      </c>
      <c r="G358" s="12">
        <v>12</v>
      </c>
      <c r="H358" s="12">
        <v>12</v>
      </c>
      <c r="I358" s="12">
        <v>10</v>
      </c>
      <c r="J358" s="27"/>
      <c r="K358" s="27">
        <f>SUM(D358:J358)</f>
        <v>70</v>
      </c>
    </row>
    <row r="359" s="2" customFormat="1" ht="21.75" customHeight="1" spans="1:11">
      <c r="A359" s="43" t="s">
        <v>207</v>
      </c>
      <c r="B359" s="12">
        <v>11.5</v>
      </c>
      <c r="C359" s="38" t="s">
        <v>208</v>
      </c>
      <c r="D359" s="12">
        <v>17.5</v>
      </c>
      <c r="E359" s="12">
        <v>17.5</v>
      </c>
      <c r="F359" s="12">
        <v>17.5</v>
      </c>
      <c r="G359" s="12">
        <v>17.5</v>
      </c>
      <c r="H359" s="12">
        <v>17.5</v>
      </c>
      <c r="I359" s="12">
        <v>15</v>
      </c>
      <c r="J359" s="27"/>
      <c r="K359" s="27">
        <f>SUM(D359:J359)</f>
        <v>102.5</v>
      </c>
    </row>
    <row r="360" s="2" customFormat="1" ht="21.75" customHeight="1" spans="1:11">
      <c r="A360" s="44"/>
      <c r="B360" s="39"/>
      <c r="C360" s="38" t="s">
        <v>210</v>
      </c>
      <c r="D360" s="12">
        <v>17.5</v>
      </c>
      <c r="E360" s="12">
        <v>17.5</v>
      </c>
      <c r="F360" s="12">
        <v>17.5</v>
      </c>
      <c r="G360" s="12">
        <v>17.5</v>
      </c>
      <c r="H360" s="12">
        <v>17.5</v>
      </c>
      <c r="I360" s="12">
        <v>15</v>
      </c>
      <c r="J360" s="27"/>
      <c r="K360" s="27">
        <f t="shared" ref="K358:K378" si="14">SUM(D360:J360)</f>
        <v>102.5</v>
      </c>
    </row>
    <row r="361" s="2" customFormat="1" ht="21.75" customHeight="1" spans="1:11">
      <c r="A361" s="43" t="s">
        <v>211</v>
      </c>
      <c r="B361" s="12">
        <v>11.5</v>
      </c>
      <c r="C361" s="38" t="s">
        <v>212</v>
      </c>
      <c r="D361" s="27">
        <v>11.5</v>
      </c>
      <c r="E361" s="27">
        <v>11.5</v>
      </c>
      <c r="F361" s="27">
        <v>11.5</v>
      </c>
      <c r="G361" s="27">
        <v>11.5</v>
      </c>
      <c r="H361" s="27">
        <v>11.5</v>
      </c>
      <c r="I361" s="27">
        <v>11</v>
      </c>
      <c r="J361" s="27"/>
      <c r="K361" s="27">
        <f t="shared" si="14"/>
        <v>68.5</v>
      </c>
    </row>
    <row r="362" s="2" customFormat="1" ht="21.75" customHeight="1" spans="1:11">
      <c r="A362" s="44"/>
      <c r="B362" s="39"/>
      <c r="C362" s="38" t="s">
        <v>213</v>
      </c>
      <c r="D362" s="12">
        <v>11.5</v>
      </c>
      <c r="E362" s="12">
        <v>11.5</v>
      </c>
      <c r="F362" s="12">
        <v>11.5</v>
      </c>
      <c r="G362" s="12">
        <v>11.5</v>
      </c>
      <c r="H362" s="12">
        <v>11.5</v>
      </c>
      <c r="I362" s="12">
        <v>11.5</v>
      </c>
      <c r="J362" s="27"/>
      <c r="K362" s="27">
        <f t="shared" si="14"/>
        <v>69</v>
      </c>
    </row>
    <row r="363" s="2" customFormat="1" ht="21.75" customHeight="1" spans="1:11">
      <c r="A363" s="44"/>
      <c r="B363" s="39"/>
      <c r="C363" s="27" t="s">
        <v>214</v>
      </c>
      <c r="D363" s="27">
        <v>0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/>
      <c r="K363" s="27">
        <f t="shared" si="14"/>
        <v>0</v>
      </c>
    </row>
    <row r="364" s="2" customFormat="1" ht="21.75" customHeight="1" spans="1:11">
      <c r="A364" s="44"/>
      <c r="B364" s="39"/>
      <c r="C364" s="38" t="s">
        <v>216</v>
      </c>
      <c r="D364" s="27">
        <v>0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/>
      <c r="K364" s="27">
        <f t="shared" si="14"/>
        <v>0</v>
      </c>
    </row>
    <row r="365" s="2" customFormat="1" ht="21.75" customHeight="1" spans="1:11">
      <c r="A365" s="45"/>
      <c r="B365" s="46"/>
      <c r="C365" s="38" t="s">
        <v>215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27"/>
      <c r="K365" s="27">
        <f t="shared" si="14"/>
        <v>0</v>
      </c>
    </row>
    <row r="366" s="2" customFormat="1" ht="21.75" customHeight="1" spans="1:11">
      <c r="A366" s="27" t="s">
        <v>217</v>
      </c>
      <c r="B366" s="27">
        <v>10.5</v>
      </c>
      <c r="C366" s="27" t="s">
        <v>218</v>
      </c>
      <c r="D366" s="12">
        <v>10.5</v>
      </c>
      <c r="E366" s="12">
        <v>10.5</v>
      </c>
      <c r="F366" s="12">
        <v>10.5</v>
      </c>
      <c r="G366" s="12">
        <v>10.5</v>
      </c>
      <c r="H366" s="12">
        <v>10.5</v>
      </c>
      <c r="I366" s="12">
        <v>5</v>
      </c>
      <c r="J366" s="27"/>
      <c r="K366" s="27">
        <f t="shared" si="14"/>
        <v>57.5</v>
      </c>
    </row>
    <row r="367" s="2" customFormat="1" ht="21.75" customHeight="1" spans="1:11">
      <c r="A367" s="27"/>
      <c r="B367" s="27"/>
      <c r="C367" s="27" t="s">
        <v>219</v>
      </c>
      <c r="D367" s="27">
        <v>10.5</v>
      </c>
      <c r="E367" s="27">
        <v>10.5</v>
      </c>
      <c r="F367" s="27">
        <v>10.5</v>
      </c>
      <c r="G367" s="27">
        <v>10.5</v>
      </c>
      <c r="H367" s="27">
        <v>10.5</v>
      </c>
      <c r="I367" s="27">
        <v>5</v>
      </c>
      <c r="J367" s="27"/>
      <c r="K367" s="27">
        <f t="shared" si="14"/>
        <v>57.5</v>
      </c>
    </row>
    <row r="368" s="2" customFormat="1" ht="21.75" customHeight="1" spans="1:11">
      <c r="A368" s="27" t="s">
        <v>220</v>
      </c>
      <c r="B368" s="27">
        <v>11.5</v>
      </c>
      <c r="C368" s="38" t="s">
        <v>221</v>
      </c>
      <c r="D368" s="27">
        <v>0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/>
      <c r="K368" s="27">
        <f t="shared" si="14"/>
        <v>0</v>
      </c>
    </row>
    <row r="369" s="2" customFormat="1" ht="21.75" customHeight="1" spans="1:11">
      <c r="A369" s="27"/>
      <c r="B369" s="27"/>
      <c r="C369" s="38" t="s">
        <v>222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27"/>
      <c r="K369" s="27">
        <f t="shared" si="14"/>
        <v>0</v>
      </c>
    </row>
    <row r="370" s="2" customFormat="1" ht="21.75" customHeight="1" spans="1:11">
      <c r="A370" s="27"/>
      <c r="B370" s="27"/>
      <c r="C370" s="38" t="s">
        <v>223</v>
      </c>
      <c r="D370" s="12">
        <v>10.5</v>
      </c>
      <c r="E370" s="12">
        <v>10.5</v>
      </c>
      <c r="F370" s="12">
        <v>10.5</v>
      </c>
      <c r="G370" s="12">
        <v>10.5</v>
      </c>
      <c r="H370" s="12">
        <v>10.5</v>
      </c>
      <c r="I370" s="12">
        <v>5</v>
      </c>
      <c r="J370" s="27"/>
      <c r="K370" s="27">
        <f t="shared" si="14"/>
        <v>57.5</v>
      </c>
    </row>
    <row r="371" s="2" customFormat="1" ht="21.75" customHeight="1" spans="1:11">
      <c r="A371" s="27"/>
      <c r="B371" s="27"/>
      <c r="C371" s="38" t="s">
        <v>224</v>
      </c>
      <c r="D371" s="27">
        <v>0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/>
      <c r="K371" s="27">
        <f t="shared" si="14"/>
        <v>0</v>
      </c>
    </row>
    <row r="372" s="2" customFormat="1" ht="21.75" customHeight="1" spans="1:11">
      <c r="A372" s="39" t="s">
        <v>225</v>
      </c>
      <c r="B372" s="39">
        <v>10.5</v>
      </c>
      <c r="C372" s="27" t="s">
        <v>226</v>
      </c>
      <c r="D372" s="12">
        <v>10.5</v>
      </c>
      <c r="E372" s="12">
        <v>10.5</v>
      </c>
      <c r="F372" s="12">
        <v>10.5</v>
      </c>
      <c r="G372" s="12">
        <v>10.5</v>
      </c>
      <c r="H372" s="12">
        <v>10.5</v>
      </c>
      <c r="I372" s="12">
        <v>5</v>
      </c>
      <c r="J372" s="27"/>
      <c r="K372" s="27">
        <f t="shared" si="14"/>
        <v>57.5</v>
      </c>
    </row>
    <row r="373" s="2" customFormat="1" ht="21.75" customHeight="1" spans="1:11">
      <c r="A373" s="39"/>
      <c r="B373" s="39"/>
      <c r="C373" s="27" t="s">
        <v>228</v>
      </c>
      <c r="D373" s="12">
        <v>10.5</v>
      </c>
      <c r="E373" s="12">
        <v>10.5</v>
      </c>
      <c r="F373" s="12">
        <v>10.5</v>
      </c>
      <c r="G373" s="12">
        <v>10.5</v>
      </c>
      <c r="H373" s="12">
        <v>10.5</v>
      </c>
      <c r="I373" s="12">
        <v>5</v>
      </c>
      <c r="J373" s="27"/>
      <c r="K373" s="27">
        <f t="shared" si="14"/>
        <v>57.5</v>
      </c>
    </row>
    <row r="374" s="2" customFormat="1" ht="21.75" customHeight="1" spans="1:11">
      <c r="A374" s="39"/>
      <c r="B374" s="39"/>
      <c r="C374" s="27" t="s">
        <v>227</v>
      </c>
      <c r="D374" s="12">
        <v>10.5</v>
      </c>
      <c r="E374" s="12">
        <v>10.5</v>
      </c>
      <c r="F374" s="12">
        <v>10.5</v>
      </c>
      <c r="G374" s="12">
        <v>10.5</v>
      </c>
      <c r="H374" s="12">
        <v>10.5</v>
      </c>
      <c r="I374" s="12">
        <v>5</v>
      </c>
      <c r="J374" s="27"/>
      <c r="K374" s="27">
        <f t="shared" si="14"/>
        <v>57.5</v>
      </c>
    </row>
    <row r="375" s="2" customFormat="1" ht="21.75" customHeight="1" spans="1:11">
      <c r="A375" s="39"/>
      <c r="B375" s="39"/>
      <c r="C375" s="27" t="s">
        <v>229</v>
      </c>
      <c r="D375" s="27">
        <v>0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40"/>
      <c r="K375" s="27">
        <f t="shared" si="14"/>
        <v>0</v>
      </c>
    </row>
    <row r="376" s="2" customFormat="1" ht="21.75" customHeight="1" spans="1:11">
      <c r="A376" s="39"/>
      <c r="B376" s="39"/>
      <c r="C376" s="27" t="s">
        <v>240</v>
      </c>
      <c r="D376" s="27">
        <v>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40"/>
      <c r="K376" s="27">
        <f t="shared" si="14"/>
        <v>0</v>
      </c>
    </row>
    <row r="377" s="2" customFormat="1" ht="21.75" customHeight="1" spans="1:11">
      <c r="A377" s="12" t="s">
        <v>230</v>
      </c>
      <c r="B377" s="12">
        <v>10.5</v>
      </c>
      <c r="C377" s="27" t="s">
        <v>231</v>
      </c>
      <c r="D377" s="27">
        <v>10</v>
      </c>
      <c r="E377" s="27">
        <v>10</v>
      </c>
      <c r="F377" s="27">
        <v>10</v>
      </c>
      <c r="G377" s="27">
        <v>10</v>
      </c>
      <c r="H377" s="27">
        <v>10</v>
      </c>
      <c r="I377" s="27">
        <v>10</v>
      </c>
      <c r="J377" s="40"/>
      <c r="K377" s="27">
        <f t="shared" si="14"/>
        <v>60</v>
      </c>
    </row>
    <row r="378" s="2" customFormat="1" ht="21.75" customHeight="1" spans="1:11">
      <c r="A378" s="12" t="s">
        <v>232</v>
      </c>
      <c r="B378" s="12">
        <v>12</v>
      </c>
      <c r="C378" s="12" t="s">
        <v>233</v>
      </c>
      <c r="D378" s="12">
        <v>12</v>
      </c>
      <c r="E378" s="12">
        <v>12</v>
      </c>
      <c r="F378" s="12">
        <v>12</v>
      </c>
      <c r="G378" s="12">
        <v>12</v>
      </c>
      <c r="H378" s="12">
        <v>12</v>
      </c>
      <c r="I378" s="12">
        <v>12</v>
      </c>
      <c r="J378" s="90"/>
      <c r="K378" s="27">
        <f t="shared" si="14"/>
        <v>72</v>
      </c>
    </row>
    <row r="379" s="2" customFormat="1" ht="21.75" customHeight="1" spans="1:11">
      <c r="A379" s="38"/>
      <c r="B379" s="41"/>
      <c r="C379" s="41"/>
      <c r="D379" s="41"/>
      <c r="E379" s="41"/>
      <c r="F379" s="41"/>
      <c r="G379" s="41"/>
      <c r="H379" s="41"/>
      <c r="I379" s="41"/>
      <c r="J379" s="40"/>
      <c r="K379" s="27">
        <f>SUM(K358:K378)</f>
        <v>889.5</v>
      </c>
    </row>
    <row r="382" s="2" customFormat="1" ht="24" customHeight="1" spans="1:11">
      <c r="A382" s="48" t="s">
        <v>342</v>
      </c>
      <c r="B382" s="49"/>
      <c r="C382" s="49"/>
      <c r="D382" s="49"/>
      <c r="E382" s="49"/>
      <c r="F382" s="49"/>
      <c r="G382" s="49"/>
      <c r="H382" s="49"/>
      <c r="I382" s="49"/>
      <c r="J382" s="49"/>
      <c r="K382" s="50"/>
    </row>
    <row r="383" s="2" customFormat="1" ht="24" customHeight="1" spans="1:11">
      <c r="A383" s="51" t="s">
        <v>257</v>
      </c>
      <c r="B383" s="52"/>
      <c r="C383" s="52"/>
      <c r="D383" s="53" t="s">
        <v>365</v>
      </c>
      <c r="E383" s="52"/>
      <c r="F383" s="52"/>
      <c r="G383" s="52"/>
      <c r="H383" s="52"/>
      <c r="I383" s="52"/>
      <c r="J383" s="52"/>
      <c r="K383" s="52"/>
    </row>
    <row r="384" s="2" customFormat="1" ht="24" customHeight="1" spans="1:11">
      <c r="A384" s="47" t="s">
        <v>200</v>
      </c>
      <c r="B384" s="47" t="s">
        <v>201</v>
      </c>
      <c r="C384" s="54" t="s">
        <v>202</v>
      </c>
      <c r="D384" s="55" t="s">
        <v>6</v>
      </c>
      <c r="E384" s="55" t="s">
        <v>6</v>
      </c>
      <c r="F384" s="47" t="s">
        <v>6</v>
      </c>
      <c r="G384" s="47" t="s">
        <v>6</v>
      </c>
      <c r="H384" s="47" t="s">
        <v>6</v>
      </c>
      <c r="I384" s="47" t="s">
        <v>6</v>
      </c>
      <c r="J384" s="47" t="s">
        <v>203</v>
      </c>
      <c r="K384" s="47" t="s">
        <v>204</v>
      </c>
    </row>
    <row r="385" s="2" customFormat="1" ht="24" customHeight="1" spans="1:11">
      <c r="A385" s="55" t="s">
        <v>205</v>
      </c>
      <c r="B385" s="47">
        <v>12</v>
      </c>
      <c r="C385" s="54" t="s">
        <v>206</v>
      </c>
      <c r="D385" s="12">
        <v>12</v>
      </c>
      <c r="E385" s="12">
        <v>10</v>
      </c>
      <c r="F385" s="13">
        <v>0</v>
      </c>
      <c r="G385" s="55"/>
      <c r="H385" s="55"/>
      <c r="I385" s="47"/>
      <c r="J385" s="47"/>
      <c r="K385" s="56">
        <f t="shared" ref="K385:K405" si="15">SUM(D385:J385)</f>
        <v>22</v>
      </c>
    </row>
    <row r="386" s="2" customFormat="1" ht="24" customHeight="1" spans="1:11">
      <c r="A386" s="57" t="s">
        <v>207</v>
      </c>
      <c r="B386" s="58">
        <v>11.5</v>
      </c>
      <c r="C386" s="54" t="s">
        <v>208</v>
      </c>
      <c r="D386" s="12">
        <v>11.5</v>
      </c>
      <c r="E386" s="12">
        <v>10</v>
      </c>
      <c r="F386" s="13">
        <v>10</v>
      </c>
      <c r="G386" s="55"/>
      <c r="H386" s="55"/>
      <c r="I386" s="47"/>
      <c r="J386" s="47"/>
      <c r="K386" s="56">
        <f t="shared" si="15"/>
        <v>31.5</v>
      </c>
    </row>
    <row r="387" s="2" customFormat="1" ht="24" customHeight="1" spans="1:11">
      <c r="A387" s="57"/>
      <c r="B387" s="58"/>
      <c r="C387" s="54" t="s">
        <v>210</v>
      </c>
      <c r="D387" s="12">
        <v>23</v>
      </c>
      <c r="E387" s="12">
        <v>20</v>
      </c>
      <c r="F387" s="13">
        <v>5</v>
      </c>
      <c r="G387" s="55"/>
      <c r="H387" s="55"/>
      <c r="I387" s="47"/>
      <c r="J387" s="47"/>
      <c r="K387" s="56">
        <f t="shared" si="15"/>
        <v>48</v>
      </c>
    </row>
    <row r="388" s="2" customFormat="1" ht="24" customHeight="1" spans="1:11">
      <c r="A388" s="59" t="s">
        <v>237</v>
      </c>
      <c r="B388" s="60">
        <v>11.5</v>
      </c>
      <c r="C388" s="61" t="s">
        <v>212</v>
      </c>
      <c r="D388" s="27">
        <v>11.5</v>
      </c>
      <c r="E388" s="12">
        <v>11</v>
      </c>
      <c r="F388" s="13">
        <v>10</v>
      </c>
      <c r="G388" s="55"/>
      <c r="H388" s="55"/>
      <c r="I388" s="47"/>
      <c r="J388" s="47"/>
      <c r="K388" s="56">
        <f t="shared" si="15"/>
        <v>32.5</v>
      </c>
    </row>
    <row r="389" s="2" customFormat="1" ht="24" customHeight="1" spans="1:11">
      <c r="A389" s="59"/>
      <c r="B389" s="60"/>
      <c r="C389" s="3" t="s">
        <v>215</v>
      </c>
      <c r="D389" s="27">
        <v>10</v>
      </c>
      <c r="E389" s="12">
        <v>0</v>
      </c>
      <c r="F389" s="13">
        <v>5</v>
      </c>
      <c r="G389" s="55"/>
      <c r="H389" s="55"/>
      <c r="I389" s="47"/>
      <c r="J389" s="47"/>
      <c r="K389" s="56">
        <f t="shared" si="15"/>
        <v>15</v>
      </c>
    </row>
    <row r="390" s="2" customFormat="1" ht="24" customHeight="1" spans="1:11">
      <c r="A390" s="62" t="s">
        <v>238</v>
      </c>
      <c r="B390" s="60"/>
      <c r="C390" s="61" t="s">
        <v>213</v>
      </c>
      <c r="D390" s="27">
        <v>11.5</v>
      </c>
      <c r="E390" s="12">
        <v>11</v>
      </c>
      <c r="F390" s="13">
        <v>10</v>
      </c>
      <c r="G390" s="55"/>
      <c r="H390" s="55"/>
      <c r="I390" s="47"/>
      <c r="J390" s="47"/>
      <c r="K390" s="56">
        <f t="shared" si="15"/>
        <v>32.5</v>
      </c>
    </row>
    <row r="391" s="2" customFormat="1" ht="24" customHeight="1" spans="1:11">
      <c r="A391" s="62"/>
      <c r="B391" s="60"/>
      <c r="C391" s="61" t="s">
        <v>216</v>
      </c>
      <c r="D391" s="27">
        <v>10</v>
      </c>
      <c r="E391" s="12">
        <v>5</v>
      </c>
      <c r="F391" s="13">
        <v>0</v>
      </c>
      <c r="G391" s="55"/>
      <c r="H391" s="55"/>
      <c r="I391" s="55"/>
      <c r="J391" s="47"/>
      <c r="K391" s="56">
        <f t="shared" si="15"/>
        <v>15</v>
      </c>
    </row>
    <row r="392" s="2" customFormat="1" ht="24" customHeight="1" spans="1:11">
      <c r="A392" s="57" t="s">
        <v>239</v>
      </c>
      <c r="B392" s="60"/>
      <c r="C392" s="56" t="s">
        <v>214</v>
      </c>
      <c r="D392" s="27">
        <v>10</v>
      </c>
      <c r="E392" s="12">
        <v>0</v>
      </c>
      <c r="F392" s="13">
        <v>5</v>
      </c>
      <c r="G392" s="55"/>
      <c r="H392" s="55"/>
      <c r="I392" s="55"/>
      <c r="J392" s="47"/>
      <c r="K392" s="56">
        <f t="shared" si="15"/>
        <v>15</v>
      </c>
    </row>
    <row r="393" s="2" customFormat="1" ht="24" customHeight="1" spans="1:11">
      <c r="A393" s="63" t="s">
        <v>217</v>
      </c>
      <c r="B393" s="47">
        <v>10.5</v>
      </c>
      <c r="C393" s="47" t="s">
        <v>218</v>
      </c>
      <c r="D393" s="27">
        <v>10</v>
      </c>
      <c r="E393" s="12">
        <v>0</v>
      </c>
      <c r="F393" s="13">
        <v>5</v>
      </c>
      <c r="G393" s="55"/>
      <c r="H393" s="55"/>
      <c r="I393" s="47"/>
      <c r="J393" s="47"/>
      <c r="K393" s="56">
        <f t="shared" si="15"/>
        <v>15</v>
      </c>
    </row>
    <row r="394" s="2" customFormat="1" ht="24" customHeight="1" spans="1:11">
      <c r="A394" s="47"/>
      <c r="B394" s="47"/>
      <c r="C394" s="47" t="s">
        <v>219</v>
      </c>
      <c r="D394" s="27">
        <v>10</v>
      </c>
      <c r="E394" s="12">
        <v>0</v>
      </c>
      <c r="F394" s="13">
        <v>0</v>
      </c>
      <c r="G394" s="55"/>
      <c r="H394" s="55"/>
      <c r="I394" s="47"/>
      <c r="J394" s="47"/>
      <c r="K394" s="56">
        <f t="shared" si="15"/>
        <v>10</v>
      </c>
    </row>
    <row r="395" s="2" customFormat="1" ht="24" customHeight="1" spans="1:11">
      <c r="A395" s="47" t="s">
        <v>220</v>
      </c>
      <c r="B395" s="47">
        <v>11.5</v>
      </c>
      <c r="C395" s="54" t="s">
        <v>221</v>
      </c>
      <c r="D395" s="12">
        <v>20</v>
      </c>
      <c r="E395" s="12">
        <v>5</v>
      </c>
      <c r="F395" s="13">
        <v>0</v>
      </c>
      <c r="G395" s="55"/>
      <c r="H395" s="55"/>
      <c r="I395" s="47"/>
      <c r="J395" s="47"/>
      <c r="K395" s="56">
        <f t="shared" si="15"/>
        <v>25</v>
      </c>
    </row>
    <row r="396" s="2" customFormat="1" ht="24" customHeight="1" spans="1:11">
      <c r="A396" s="47"/>
      <c r="B396" s="47"/>
      <c r="C396" s="54" t="s">
        <v>222</v>
      </c>
      <c r="D396" s="12">
        <v>10</v>
      </c>
      <c r="E396" s="12">
        <v>0</v>
      </c>
      <c r="F396" s="13">
        <v>5</v>
      </c>
      <c r="G396" s="55"/>
      <c r="H396" s="55"/>
      <c r="I396" s="47"/>
      <c r="J396" s="47"/>
      <c r="K396" s="56">
        <f t="shared" si="15"/>
        <v>15</v>
      </c>
    </row>
    <row r="397" s="2" customFormat="1" ht="24" customHeight="1" spans="1:11">
      <c r="A397" s="47"/>
      <c r="B397" s="47"/>
      <c r="C397" s="54" t="s">
        <v>223</v>
      </c>
      <c r="D397" s="12">
        <v>10</v>
      </c>
      <c r="E397" s="12">
        <v>5</v>
      </c>
      <c r="F397" s="13">
        <v>0</v>
      </c>
      <c r="G397" s="55"/>
      <c r="H397" s="55"/>
      <c r="I397" s="47"/>
      <c r="J397" s="47"/>
      <c r="K397" s="56">
        <f t="shared" si="15"/>
        <v>15</v>
      </c>
    </row>
    <row r="398" s="2" customFormat="1" ht="24" customHeight="1" spans="1:11">
      <c r="A398" s="47"/>
      <c r="B398" s="47"/>
      <c r="C398" s="54" t="s">
        <v>224</v>
      </c>
      <c r="D398" s="12">
        <v>30</v>
      </c>
      <c r="E398" s="12">
        <v>5</v>
      </c>
      <c r="F398" s="13">
        <v>5</v>
      </c>
      <c r="G398" s="55"/>
      <c r="H398" s="55"/>
      <c r="I398" s="47"/>
      <c r="J398" s="47"/>
      <c r="K398" s="56">
        <f t="shared" si="15"/>
        <v>40</v>
      </c>
    </row>
    <row r="399" s="2" customFormat="1" ht="24" customHeight="1" spans="1:11">
      <c r="A399" s="64" t="s">
        <v>225</v>
      </c>
      <c r="B399" s="64">
        <v>10.5</v>
      </c>
      <c r="C399" s="47" t="s">
        <v>226</v>
      </c>
      <c r="D399" s="12">
        <v>6</v>
      </c>
      <c r="E399" s="12">
        <v>5</v>
      </c>
      <c r="F399" s="28">
        <v>5</v>
      </c>
      <c r="G399" s="55"/>
      <c r="H399" s="55"/>
      <c r="I399" s="47"/>
      <c r="J399" s="47"/>
      <c r="K399" s="56">
        <f t="shared" si="15"/>
        <v>16</v>
      </c>
    </row>
    <row r="400" s="2" customFormat="1" ht="24" customHeight="1" spans="1:11">
      <c r="A400" s="64"/>
      <c r="B400" s="64"/>
      <c r="C400" s="47" t="s">
        <v>228</v>
      </c>
      <c r="D400" s="12">
        <v>6</v>
      </c>
      <c r="E400" s="12">
        <v>0</v>
      </c>
      <c r="F400" s="13">
        <v>5</v>
      </c>
      <c r="G400" s="55"/>
      <c r="H400" s="55"/>
      <c r="I400" s="47"/>
      <c r="J400" s="47"/>
      <c r="K400" s="56">
        <f t="shared" si="15"/>
        <v>11</v>
      </c>
    </row>
    <row r="401" s="2" customFormat="1" ht="24" customHeight="1" spans="1:11">
      <c r="A401" s="64"/>
      <c r="B401" s="64"/>
      <c r="C401" s="47" t="s">
        <v>227</v>
      </c>
      <c r="D401" s="12">
        <v>5</v>
      </c>
      <c r="E401" s="12">
        <v>0</v>
      </c>
      <c r="F401" s="13">
        <v>5</v>
      </c>
      <c r="G401" s="55"/>
      <c r="H401" s="55"/>
      <c r="I401" s="47"/>
      <c r="J401" s="47"/>
      <c r="K401" s="56">
        <f t="shared" si="15"/>
        <v>10</v>
      </c>
    </row>
    <row r="402" s="2" customFormat="1" ht="24" customHeight="1" spans="1:11">
      <c r="A402" s="64"/>
      <c r="B402" s="64"/>
      <c r="C402" s="47" t="s">
        <v>229</v>
      </c>
      <c r="D402" s="12">
        <v>6</v>
      </c>
      <c r="E402" s="12">
        <v>5</v>
      </c>
      <c r="F402" s="13">
        <v>5</v>
      </c>
      <c r="G402" s="55"/>
      <c r="H402" s="55"/>
      <c r="I402" s="47"/>
      <c r="J402" s="58"/>
      <c r="K402" s="56">
        <f t="shared" si="15"/>
        <v>16</v>
      </c>
    </row>
    <row r="403" s="2" customFormat="1" ht="24" customHeight="1" spans="1:11">
      <c r="A403" s="64"/>
      <c r="B403" s="64"/>
      <c r="C403" s="47" t="s">
        <v>240</v>
      </c>
      <c r="D403" s="12">
        <v>6</v>
      </c>
      <c r="E403" s="12">
        <v>5</v>
      </c>
      <c r="F403" s="13">
        <v>5</v>
      </c>
      <c r="G403" s="55"/>
      <c r="H403" s="55"/>
      <c r="I403" s="47"/>
      <c r="J403" s="58"/>
      <c r="K403" s="56">
        <f t="shared" si="15"/>
        <v>16</v>
      </c>
    </row>
    <row r="404" s="2" customFormat="1" ht="24" customHeight="1" spans="1:11">
      <c r="A404" s="55" t="s">
        <v>230</v>
      </c>
      <c r="B404" s="55">
        <v>10.5</v>
      </c>
      <c r="C404" s="47" t="s">
        <v>231</v>
      </c>
      <c r="D404" s="27">
        <v>10.5</v>
      </c>
      <c r="E404" s="27">
        <v>10.5</v>
      </c>
      <c r="F404" s="13">
        <v>0</v>
      </c>
      <c r="G404" s="47"/>
      <c r="H404" s="47"/>
      <c r="I404" s="47"/>
      <c r="J404" s="58"/>
      <c r="K404" s="56">
        <f t="shared" si="15"/>
        <v>21</v>
      </c>
    </row>
    <row r="405" s="2" customFormat="1" ht="24" customHeight="1" spans="1:11">
      <c r="A405" s="47" t="s">
        <v>232</v>
      </c>
      <c r="B405" s="47">
        <v>12</v>
      </c>
      <c r="C405" s="47" t="s">
        <v>233</v>
      </c>
      <c r="D405" s="27">
        <v>12</v>
      </c>
      <c r="E405" s="27">
        <v>12</v>
      </c>
      <c r="F405" s="13">
        <v>0</v>
      </c>
      <c r="G405" s="47"/>
      <c r="H405" s="47"/>
      <c r="I405" s="47"/>
      <c r="J405" s="58"/>
      <c r="K405" s="56">
        <f t="shared" si="15"/>
        <v>24</v>
      </c>
    </row>
    <row r="406" s="2" customFormat="1" ht="24" customHeight="1" spans="1:11">
      <c r="A406" s="54"/>
      <c r="B406" s="65"/>
      <c r="C406" s="65"/>
      <c r="D406" s="66">
        <f t="shared" ref="D406:F406" si="16">SUM(D385:D405)</f>
        <v>241</v>
      </c>
      <c r="E406" s="66">
        <f t="shared" si="16"/>
        <v>119.5</v>
      </c>
      <c r="F406" s="66">
        <f t="shared" si="16"/>
        <v>85</v>
      </c>
      <c r="G406" s="65"/>
      <c r="H406" s="65"/>
      <c r="I406" s="65"/>
      <c r="J406" s="67"/>
      <c r="K406" s="68">
        <f>SUM(K385:K405)</f>
        <v>445.5</v>
      </c>
    </row>
    <row r="409" s="1" customFormat="1" ht="21" customHeight="1" spans="1:11">
      <c r="A409" s="32" t="s">
        <v>342</v>
      </c>
      <c r="B409" s="33"/>
      <c r="C409" s="33"/>
      <c r="D409" s="33"/>
      <c r="E409" s="33"/>
      <c r="F409" s="33"/>
      <c r="G409" s="33"/>
      <c r="H409" s="33"/>
      <c r="I409" s="33"/>
      <c r="J409" s="33"/>
      <c r="K409" s="34"/>
    </row>
    <row r="410" s="1" customFormat="1" ht="21" customHeight="1" spans="1:11">
      <c r="A410" s="35" t="s">
        <v>265</v>
      </c>
      <c r="B410" s="36"/>
      <c r="C410" s="36"/>
      <c r="D410" s="37" t="s">
        <v>366</v>
      </c>
      <c r="E410" s="36"/>
      <c r="F410" s="36"/>
      <c r="G410" s="36"/>
      <c r="H410" s="36"/>
      <c r="I410" s="36"/>
      <c r="J410" s="36"/>
      <c r="K410" s="36"/>
    </row>
    <row r="411" s="1" customFormat="1" ht="21" customHeight="1" spans="1:11">
      <c r="A411" s="27" t="s">
        <v>200</v>
      </c>
      <c r="B411" s="27" t="s">
        <v>201</v>
      </c>
      <c r="C411" s="38" t="s">
        <v>202</v>
      </c>
      <c r="D411" s="12" t="s">
        <v>6</v>
      </c>
      <c r="E411" s="12" t="s">
        <v>6</v>
      </c>
      <c r="F411" s="27" t="s">
        <v>6</v>
      </c>
      <c r="G411" s="27" t="s">
        <v>6</v>
      </c>
      <c r="H411" s="27" t="s">
        <v>6</v>
      </c>
      <c r="I411" s="27" t="s">
        <v>6</v>
      </c>
      <c r="J411" s="27" t="s">
        <v>203</v>
      </c>
      <c r="K411" s="27" t="s">
        <v>204</v>
      </c>
    </row>
    <row r="412" s="1" customFormat="1" ht="21" customHeight="1" spans="1:11">
      <c r="A412" s="27" t="s">
        <v>205</v>
      </c>
      <c r="B412" s="27">
        <v>12</v>
      </c>
      <c r="C412" s="38" t="s">
        <v>206</v>
      </c>
      <c r="D412" s="12">
        <v>15</v>
      </c>
      <c r="E412" s="12">
        <v>10</v>
      </c>
      <c r="F412" s="12">
        <v>10</v>
      </c>
      <c r="G412" s="12"/>
      <c r="H412" s="12"/>
      <c r="I412" s="27"/>
      <c r="J412" s="27"/>
      <c r="K412" s="13">
        <f t="shared" ref="K412:K432" si="17">SUM(D412:J412)</f>
        <v>35</v>
      </c>
    </row>
    <row r="413" s="1" customFormat="1" ht="21" customHeight="1" spans="1:11">
      <c r="A413" s="21" t="s">
        <v>207</v>
      </c>
      <c r="B413" s="27">
        <v>11.5</v>
      </c>
      <c r="C413" s="38" t="s">
        <v>208</v>
      </c>
      <c r="D413" s="12">
        <v>22</v>
      </c>
      <c r="E413" s="12">
        <v>15</v>
      </c>
      <c r="F413" s="12">
        <v>15</v>
      </c>
      <c r="G413" s="12"/>
      <c r="H413" s="12"/>
      <c r="I413" s="27"/>
      <c r="J413" s="27"/>
      <c r="K413" s="13">
        <f t="shared" si="17"/>
        <v>52</v>
      </c>
    </row>
    <row r="414" s="1" customFormat="1" ht="21" customHeight="1" spans="1:11">
      <c r="A414" s="21"/>
      <c r="B414" s="27"/>
      <c r="C414" s="38" t="s">
        <v>210</v>
      </c>
      <c r="D414" s="12">
        <v>22</v>
      </c>
      <c r="E414" s="12">
        <v>15</v>
      </c>
      <c r="F414" s="12">
        <v>15</v>
      </c>
      <c r="G414" s="12"/>
      <c r="H414" s="12"/>
      <c r="I414" s="27"/>
      <c r="J414" s="27"/>
      <c r="K414" s="13">
        <f t="shared" si="17"/>
        <v>52</v>
      </c>
    </row>
    <row r="415" s="1" customFormat="1" ht="21" customHeight="1" spans="1:11">
      <c r="A415" s="16" t="s">
        <v>237</v>
      </c>
      <c r="B415" s="13">
        <v>11.5</v>
      </c>
      <c r="C415" s="17" t="s">
        <v>212</v>
      </c>
      <c r="D415" s="12">
        <v>14.3</v>
      </c>
      <c r="E415" s="12">
        <v>11</v>
      </c>
      <c r="F415" s="12">
        <v>10</v>
      </c>
      <c r="G415" s="12"/>
      <c r="H415" s="12"/>
      <c r="I415" s="27"/>
      <c r="J415" s="27"/>
      <c r="K415" s="13">
        <f t="shared" si="17"/>
        <v>35.3</v>
      </c>
    </row>
    <row r="416" s="1" customFormat="1" ht="21" customHeight="1" spans="1:11">
      <c r="A416" s="18"/>
      <c r="B416" s="13"/>
      <c r="C416" s="1" t="s">
        <v>215</v>
      </c>
      <c r="D416" s="12">
        <v>14.3</v>
      </c>
      <c r="E416" s="12">
        <v>11</v>
      </c>
      <c r="F416" s="12">
        <v>10</v>
      </c>
      <c r="G416" s="12"/>
      <c r="H416" s="12"/>
      <c r="I416" s="27"/>
      <c r="J416" s="27"/>
      <c r="K416" s="13">
        <f t="shared" si="17"/>
        <v>35.3</v>
      </c>
    </row>
    <row r="417" s="1" customFormat="1" ht="21" customHeight="1" spans="1:11">
      <c r="A417" s="19" t="s">
        <v>238</v>
      </c>
      <c r="B417" s="13"/>
      <c r="C417" s="17" t="s">
        <v>213</v>
      </c>
      <c r="D417" s="12">
        <v>14.3</v>
      </c>
      <c r="E417" s="12">
        <v>11</v>
      </c>
      <c r="F417" s="12">
        <v>10</v>
      </c>
      <c r="G417" s="12"/>
      <c r="H417" s="12"/>
      <c r="I417" s="27"/>
      <c r="J417" s="27"/>
      <c r="K417" s="13">
        <f t="shared" si="17"/>
        <v>35.3</v>
      </c>
    </row>
    <row r="418" s="1" customFormat="1" ht="21" customHeight="1" spans="1:11">
      <c r="A418" s="20"/>
      <c r="B418" s="13"/>
      <c r="C418" s="17" t="s">
        <v>216</v>
      </c>
      <c r="D418" s="12">
        <v>14.3</v>
      </c>
      <c r="E418" s="12">
        <v>11</v>
      </c>
      <c r="F418" s="12">
        <v>5</v>
      </c>
      <c r="G418" s="12"/>
      <c r="H418" s="12"/>
      <c r="I418" s="12"/>
      <c r="J418" s="27"/>
      <c r="K418" s="13">
        <f t="shared" si="17"/>
        <v>30.3</v>
      </c>
    </row>
    <row r="419" s="1" customFormat="1" ht="21" customHeight="1" spans="1:11">
      <c r="A419" s="21" t="s">
        <v>239</v>
      </c>
      <c r="B419" s="13"/>
      <c r="C419" s="13" t="s">
        <v>214</v>
      </c>
      <c r="D419" s="12">
        <v>14.3</v>
      </c>
      <c r="E419" s="12">
        <v>11</v>
      </c>
      <c r="F419" s="12">
        <v>5</v>
      </c>
      <c r="G419" s="12"/>
      <c r="H419" s="12"/>
      <c r="I419" s="12"/>
      <c r="J419" s="27"/>
      <c r="K419" s="13">
        <f t="shared" si="17"/>
        <v>30.3</v>
      </c>
    </row>
    <row r="420" s="1" customFormat="1" ht="21" customHeight="1" spans="1:11">
      <c r="A420" s="27" t="s">
        <v>217</v>
      </c>
      <c r="B420" s="27">
        <v>10.5</v>
      </c>
      <c r="C420" s="27" t="s">
        <v>218</v>
      </c>
      <c r="D420" s="12">
        <v>16.7</v>
      </c>
      <c r="E420" s="12">
        <v>10</v>
      </c>
      <c r="F420" s="12">
        <v>5</v>
      </c>
      <c r="G420" s="12"/>
      <c r="H420" s="12"/>
      <c r="I420" s="27"/>
      <c r="J420" s="27"/>
      <c r="K420" s="13">
        <f t="shared" si="17"/>
        <v>31.7</v>
      </c>
    </row>
    <row r="421" s="1" customFormat="1" ht="21" customHeight="1" spans="1:11">
      <c r="A421" s="27"/>
      <c r="B421" s="27"/>
      <c r="C421" s="27" t="s">
        <v>219</v>
      </c>
      <c r="D421" s="12">
        <v>16.7</v>
      </c>
      <c r="E421" s="12">
        <v>10</v>
      </c>
      <c r="F421" s="12">
        <v>5</v>
      </c>
      <c r="G421" s="12"/>
      <c r="H421" s="12"/>
      <c r="I421" s="27"/>
      <c r="J421" s="27"/>
      <c r="K421" s="13">
        <f t="shared" si="17"/>
        <v>31.7</v>
      </c>
    </row>
    <row r="422" s="1" customFormat="1" ht="21" customHeight="1" spans="1:11">
      <c r="A422" s="27" t="s">
        <v>220</v>
      </c>
      <c r="B422" s="27">
        <v>11.5</v>
      </c>
      <c r="C422" s="38" t="s">
        <v>221</v>
      </c>
      <c r="D422" s="12">
        <v>0</v>
      </c>
      <c r="E422" s="12">
        <v>0</v>
      </c>
      <c r="F422" s="12">
        <v>5</v>
      </c>
      <c r="G422" s="12"/>
      <c r="H422" s="12"/>
      <c r="I422" s="27"/>
      <c r="J422" s="27"/>
      <c r="K422" s="13">
        <f t="shared" si="17"/>
        <v>5</v>
      </c>
    </row>
    <row r="423" s="1" customFormat="1" ht="21" customHeight="1" spans="1:11">
      <c r="A423" s="27"/>
      <c r="B423" s="27"/>
      <c r="C423" s="38" t="s">
        <v>222</v>
      </c>
      <c r="D423" s="12">
        <v>16.7</v>
      </c>
      <c r="E423" s="12">
        <v>10</v>
      </c>
      <c r="F423" s="12">
        <v>5</v>
      </c>
      <c r="G423" s="12"/>
      <c r="H423" s="12"/>
      <c r="I423" s="27"/>
      <c r="J423" s="27"/>
      <c r="K423" s="13">
        <f t="shared" si="17"/>
        <v>31.7</v>
      </c>
    </row>
    <row r="424" s="1" customFormat="1" ht="21" customHeight="1" spans="1:11">
      <c r="A424" s="27"/>
      <c r="B424" s="27"/>
      <c r="C424" s="38" t="s">
        <v>223</v>
      </c>
      <c r="D424" s="12">
        <v>16.7</v>
      </c>
      <c r="E424" s="12">
        <v>5</v>
      </c>
      <c r="F424" s="12">
        <v>5</v>
      </c>
      <c r="G424" s="12"/>
      <c r="H424" s="12"/>
      <c r="I424" s="27"/>
      <c r="J424" s="27"/>
      <c r="K424" s="13">
        <f t="shared" si="17"/>
        <v>26.7</v>
      </c>
    </row>
    <row r="425" s="1" customFormat="1" ht="21" customHeight="1" spans="1:11">
      <c r="A425" s="27"/>
      <c r="B425" s="27"/>
      <c r="C425" s="38" t="s">
        <v>224</v>
      </c>
      <c r="D425" s="12">
        <v>0</v>
      </c>
      <c r="E425" s="12">
        <v>0</v>
      </c>
      <c r="F425" s="12">
        <v>5</v>
      </c>
      <c r="G425" s="12"/>
      <c r="H425" s="12"/>
      <c r="I425" s="27"/>
      <c r="J425" s="27"/>
      <c r="K425" s="13">
        <f t="shared" si="17"/>
        <v>5</v>
      </c>
    </row>
    <row r="426" s="1" customFormat="1" ht="21" customHeight="1" spans="1:11">
      <c r="A426" s="39" t="s">
        <v>225</v>
      </c>
      <c r="B426" s="39">
        <v>10.5</v>
      </c>
      <c r="C426" s="27" t="s">
        <v>226</v>
      </c>
      <c r="D426" s="12">
        <v>16.7</v>
      </c>
      <c r="E426" s="12">
        <v>5</v>
      </c>
      <c r="F426" s="12">
        <v>5</v>
      </c>
      <c r="G426" s="12"/>
      <c r="H426" s="12"/>
      <c r="I426" s="27"/>
      <c r="J426" s="27"/>
      <c r="K426" s="13">
        <f t="shared" si="17"/>
        <v>26.7</v>
      </c>
    </row>
    <row r="427" s="1" customFormat="1" ht="21" customHeight="1" spans="1:11">
      <c r="A427" s="39"/>
      <c r="B427" s="39"/>
      <c r="C427" s="27" t="s">
        <v>228</v>
      </c>
      <c r="D427" s="12">
        <v>16.7</v>
      </c>
      <c r="E427" s="12">
        <v>5</v>
      </c>
      <c r="F427" s="12">
        <v>5</v>
      </c>
      <c r="G427" s="12"/>
      <c r="H427" s="12"/>
      <c r="I427" s="27"/>
      <c r="J427" s="27"/>
      <c r="K427" s="13">
        <f t="shared" si="17"/>
        <v>26.7</v>
      </c>
    </row>
    <row r="428" s="1" customFormat="1" ht="21" customHeight="1" spans="1:11">
      <c r="A428" s="39"/>
      <c r="B428" s="39"/>
      <c r="C428" s="27" t="s">
        <v>227</v>
      </c>
      <c r="D428" s="12">
        <v>16.7</v>
      </c>
      <c r="E428" s="12">
        <v>5</v>
      </c>
      <c r="F428" s="12">
        <v>5</v>
      </c>
      <c r="G428" s="12"/>
      <c r="H428" s="12"/>
      <c r="I428" s="27"/>
      <c r="J428" s="27"/>
      <c r="K428" s="13">
        <f t="shared" si="17"/>
        <v>26.7</v>
      </c>
    </row>
    <row r="429" s="1" customFormat="1" ht="21" customHeight="1" spans="1:11">
      <c r="A429" s="39"/>
      <c r="B429" s="39"/>
      <c r="C429" s="27" t="s">
        <v>229</v>
      </c>
      <c r="D429" s="12">
        <v>0</v>
      </c>
      <c r="E429" s="12">
        <v>5</v>
      </c>
      <c r="F429" s="12">
        <v>5</v>
      </c>
      <c r="G429" s="12"/>
      <c r="H429" s="12"/>
      <c r="I429" s="27"/>
      <c r="J429" s="40"/>
      <c r="K429" s="13">
        <f t="shared" si="17"/>
        <v>10</v>
      </c>
    </row>
    <row r="430" s="1" customFormat="1" ht="21" customHeight="1" spans="1:11">
      <c r="A430" s="39"/>
      <c r="B430" s="39"/>
      <c r="C430" s="27" t="s">
        <v>240</v>
      </c>
      <c r="D430" s="12">
        <v>16.7</v>
      </c>
      <c r="E430" s="12">
        <v>5</v>
      </c>
      <c r="F430" s="12">
        <v>5</v>
      </c>
      <c r="G430" s="12"/>
      <c r="H430" s="12"/>
      <c r="I430" s="27"/>
      <c r="J430" s="40"/>
      <c r="K430" s="13">
        <f t="shared" si="17"/>
        <v>26.7</v>
      </c>
    </row>
    <row r="431" s="1" customFormat="1" ht="21" customHeight="1" spans="1:11">
      <c r="A431" s="12" t="s">
        <v>230</v>
      </c>
      <c r="B431" s="12">
        <v>10.5</v>
      </c>
      <c r="C431" s="27" t="s">
        <v>231</v>
      </c>
      <c r="D431" s="27">
        <v>10.5</v>
      </c>
      <c r="E431" s="27">
        <v>10.5</v>
      </c>
      <c r="F431" s="12">
        <v>5</v>
      </c>
      <c r="G431" s="27"/>
      <c r="H431" s="27"/>
      <c r="I431" s="27"/>
      <c r="J431" s="40"/>
      <c r="K431" s="13">
        <f t="shared" si="17"/>
        <v>26</v>
      </c>
    </row>
    <row r="432" s="1" customFormat="1" ht="21" customHeight="1" spans="1:11">
      <c r="A432" s="27" t="s">
        <v>232</v>
      </c>
      <c r="B432" s="27">
        <v>12</v>
      </c>
      <c r="C432" s="27" t="s">
        <v>233</v>
      </c>
      <c r="D432" s="27">
        <v>12</v>
      </c>
      <c r="E432" s="27">
        <v>12</v>
      </c>
      <c r="F432" s="27">
        <v>0</v>
      </c>
      <c r="G432" s="27"/>
      <c r="H432" s="27"/>
      <c r="I432" s="27"/>
      <c r="J432" s="40"/>
      <c r="K432" s="13">
        <f t="shared" si="17"/>
        <v>24</v>
      </c>
    </row>
    <row r="433" s="1" customFormat="1" ht="21" customHeight="1" spans="1:11">
      <c r="A433" s="38"/>
      <c r="B433" s="41"/>
      <c r="C433" s="41"/>
      <c r="D433" s="41"/>
      <c r="E433" s="41"/>
      <c r="F433" s="30"/>
      <c r="G433" s="41"/>
      <c r="H433" s="41"/>
      <c r="I433" s="41"/>
      <c r="J433" s="41"/>
      <c r="K433" s="31">
        <f>SUM(K412:K432)</f>
        <v>604.1</v>
      </c>
    </row>
  </sheetData>
  <mergeCells count="229">
    <mergeCell ref="A1:K1"/>
    <mergeCell ref="A2:C2"/>
    <mergeCell ref="D2:K2"/>
    <mergeCell ref="A25:J25"/>
    <mergeCell ref="A28:K28"/>
    <mergeCell ref="A29:C29"/>
    <mergeCell ref="D29:K29"/>
    <mergeCell ref="A52:J52"/>
    <mergeCell ref="A55:K55"/>
    <mergeCell ref="A56:C56"/>
    <mergeCell ref="D56:K56"/>
    <mergeCell ref="A79:J79"/>
    <mergeCell ref="A82:K82"/>
    <mergeCell ref="A83:C83"/>
    <mergeCell ref="D83:K83"/>
    <mergeCell ref="A106:J106"/>
    <mergeCell ref="A109:K109"/>
    <mergeCell ref="A110:C110"/>
    <mergeCell ref="D110:K110"/>
    <mergeCell ref="A136:K136"/>
    <mergeCell ref="A137:C137"/>
    <mergeCell ref="D137:K137"/>
    <mergeCell ref="A160:J160"/>
    <mergeCell ref="A163:K163"/>
    <mergeCell ref="A164:C164"/>
    <mergeCell ref="D164:K164"/>
    <mergeCell ref="A190:K190"/>
    <mergeCell ref="A191:C191"/>
    <mergeCell ref="D191:K191"/>
    <mergeCell ref="A217:K217"/>
    <mergeCell ref="A218:C218"/>
    <mergeCell ref="D218:K218"/>
    <mergeCell ref="A242:J242"/>
    <mergeCell ref="A245:K245"/>
    <mergeCell ref="A246:C246"/>
    <mergeCell ref="D246:K246"/>
    <mergeCell ref="A269:J269"/>
    <mergeCell ref="A272:K272"/>
    <mergeCell ref="A273:C273"/>
    <mergeCell ref="D273:K273"/>
    <mergeCell ref="A296:J296"/>
    <mergeCell ref="A299:K299"/>
    <mergeCell ref="A300:C300"/>
    <mergeCell ref="D300:K300"/>
    <mergeCell ref="A326:K326"/>
    <mergeCell ref="A327:C327"/>
    <mergeCell ref="D327:K327"/>
    <mergeCell ref="A355:K355"/>
    <mergeCell ref="A356:C356"/>
    <mergeCell ref="D356:K356"/>
    <mergeCell ref="A382:K382"/>
    <mergeCell ref="A383:C383"/>
    <mergeCell ref="D383:K383"/>
    <mergeCell ref="A409:K409"/>
    <mergeCell ref="A410:C410"/>
    <mergeCell ref="D410:K410"/>
    <mergeCell ref="A5:A6"/>
    <mergeCell ref="A7:A11"/>
    <mergeCell ref="A12:A13"/>
    <mergeCell ref="A14:A17"/>
    <mergeCell ref="A18:A22"/>
    <mergeCell ref="A32:A33"/>
    <mergeCell ref="A34:A35"/>
    <mergeCell ref="A36:A37"/>
    <mergeCell ref="A39:A40"/>
    <mergeCell ref="A41:A44"/>
    <mergeCell ref="A45:A49"/>
    <mergeCell ref="A59:A60"/>
    <mergeCell ref="A61:A62"/>
    <mergeCell ref="A63:A64"/>
    <mergeCell ref="A66:A67"/>
    <mergeCell ref="A68:A71"/>
    <mergeCell ref="A72:A76"/>
    <mergeCell ref="A86:A87"/>
    <mergeCell ref="A88:A89"/>
    <mergeCell ref="A90:A91"/>
    <mergeCell ref="A93:A94"/>
    <mergeCell ref="A95:A98"/>
    <mergeCell ref="A99:A103"/>
    <mergeCell ref="A113:A114"/>
    <mergeCell ref="A115:A116"/>
    <mergeCell ref="A117:A118"/>
    <mergeCell ref="A120:A121"/>
    <mergeCell ref="A122:A125"/>
    <mergeCell ref="A126:A130"/>
    <mergeCell ref="A140:A141"/>
    <mergeCell ref="A142:A143"/>
    <mergeCell ref="A144:A145"/>
    <mergeCell ref="A147:A148"/>
    <mergeCell ref="A149:A152"/>
    <mergeCell ref="A153:A156"/>
    <mergeCell ref="A167:A168"/>
    <mergeCell ref="A169:A170"/>
    <mergeCell ref="A171:A172"/>
    <mergeCell ref="A174:A175"/>
    <mergeCell ref="A176:A179"/>
    <mergeCell ref="A180:A184"/>
    <mergeCell ref="A194:A195"/>
    <mergeCell ref="A196:A200"/>
    <mergeCell ref="A201:A202"/>
    <mergeCell ref="A203:A206"/>
    <mergeCell ref="A207:A211"/>
    <mergeCell ref="A221:A223"/>
    <mergeCell ref="A224:A225"/>
    <mergeCell ref="A226:A227"/>
    <mergeCell ref="A229:A230"/>
    <mergeCell ref="A231:A234"/>
    <mergeCell ref="A235:A237"/>
    <mergeCell ref="A249:A250"/>
    <mergeCell ref="A251:A252"/>
    <mergeCell ref="A253:A254"/>
    <mergeCell ref="A256:A257"/>
    <mergeCell ref="A258:A261"/>
    <mergeCell ref="A262:A266"/>
    <mergeCell ref="A276:A277"/>
    <mergeCell ref="A278:A279"/>
    <mergeCell ref="A280:A281"/>
    <mergeCell ref="A283:A284"/>
    <mergeCell ref="A285:A288"/>
    <mergeCell ref="A289:A293"/>
    <mergeCell ref="A303:A304"/>
    <mergeCell ref="A305:A306"/>
    <mergeCell ref="A307:A308"/>
    <mergeCell ref="A310:A311"/>
    <mergeCell ref="A312:A315"/>
    <mergeCell ref="A316:A318"/>
    <mergeCell ref="A330:A332"/>
    <mergeCell ref="A333:A334"/>
    <mergeCell ref="A335:A336"/>
    <mergeCell ref="A338:A339"/>
    <mergeCell ref="A340:A343"/>
    <mergeCell ref="A344:A349"/>
    <mergeCell ref="A359:A360"/>
    <mergeCell ref="A361:A365"/>
    <mergeCell ref="A366:A367"/>
    <mergeCell ref="A368:A371"/>
    <mergeCell ref="A372:A376"/>
    <mergeCell ref="A386:A387"/>
    <mergeCell ref="A388:A389"/>
    <mergeCell ref="A390:A391"/>
    <mergeCell ref="A393:A394"/>
    <mergeCell ref="A395:A398"/>
    <mergeCell ref="A399:A403"/>
    <mergeCell ref="A413:A414"/>
    <mergeCell ref="A415:A416"/>
    <mergeCell ref="A417:A418"/>
    <mergeCell ref="A420:A421"/>
    <mergeCell ref="A422:A425"/>
    <mergeCell ref="A426:A430"/>
    <mergeCell ref="B5:B6"/>
    <mergeCell ref="B7:B11"/>
    <mergeCell ref="B12:B13"/>
    <mergeCell ref="B14:B17"/>
    <mergeCell ref="B18:B22"/>
    <mergeCell ref="B32:B33"/>
    <mergeCell ref="B34:B38"/>
    <mergeCell ref="B39:B40"/>
    <mergeCell ref="B41:B44"/>
    <mergeCell ref="B45:B49"/>
    <mergeCell ref="B59:B60"/>
    <mergeCell ref="B61:B65"/>
    <mergeCell ref="B66:B67"/>
    <mergeCell ref="B68:B71"/>
    <mergeCell ref="B72:B76"/>
    <mergeCell ref="B86:B87"/>
    <mergeCell ref="B88:B92"/>
    <mergeCell ref="B93:B94"/>
    <mergeCell ref="B95:B98"/>
    <mergeCell ref="B99:B103"/>
    <mergeCell ref="B113:B114"/>
    <mergeCell ref="B115:B119"/>
    <mergeCell ref="B120:B121"/>
    <mergeCell ref="B122:B125"/>
    <mergeCell ref="B126:B130"/>
    <mergeCell ref="B140:B141"/>
    <mergeCell ref="B142:B146"/>
    <mergeCell ref="B147:B148"/>
    <mergeCell ref="B149:B152"/>
    <mergeCell ref="B153:B156"/>
    <mergeCell ref="B167:B168"/>
    <mergeCell ref="B169:B173"/>
    <mergeCell ref="B174:B175"/>
    <mergeCell ref="B176:B179"/>
    <mergeCell ref="B180:B184"/>
    <mergeCell ref="B194:B195"/>
    <mergeCell ref="B196:B200"/>
    <mergeCell ref="B201:B202"/>
    <mergeCell ref="B203:B206"/>
    <mergeCell ref="B207:B211"/>
    <mergeCell ref="B221:B223"/>
    <mergeCell ref="B224:B228"/>
    <mergeCell ref="B229:B230"/>
    <mergeCell ref="B231:B234"/>
    <mergeCell ref="B235:B237"/>
    <mergeCell ref="B249:B250"/>
    <mergeCell ref="B251:B255"/>
    <mergeCell ref="B256:B257"/>
    <mergeCell ref="B258:B261"/>
    <mergeCell ref="B262:B266"/>
    <mergeCell ref="B276:B277"/>
    <mergeCell ref="B278:B282"/>
    <mergeCell ref="B283:B284"/>
    <mergeCell ref="B285:B288"/>
    <mergeCell ref="B289:B293"/>
    <mergeCell ref="B303:B304"/>
    <mergeCell ref="B305:B309"/>
    <mergeCell ref="B310:B311"/>
    <mergeCell ref="B312:B315"/>
    <mergeCell ref="B316:B318"/>
    <mergeCell ref="B330:B332"/>
    <mergeCell ref="B333:B337"/>
    <mergeCell ref="B338:B339"/>
    <mergeCell ref="B340:B343"/>
    <mergeCell ref="B344:B349"/>
    <mergeCell ref="B359:B360"/>
    <mergeCell ref="B361:B365"/>
    <mergeCell ref="B366:B367"/>
    <mergeCell ref="B368:B371"/>
    <mergeCell ref="B372:B376"/>
    <mergeCell ref="B386:B387"/>
    <mergeCell ref="B388:B392"/>
    <mergeCell ref="B393:B394"/>
    <mergeCell ref="B395:B398"/>
    <mergeCell ref="B399:B403"/>
    <mergeCell ref="B413:B414"/>
    <mergeCell ref="B415:B419"/>
    <mergeCell ref="B420:B421"/>
    <mergeCell ref="B422:B425"/>
    <mergeCell ref="B426:B43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1"/>
  <sheetViews>
    <sheetView topLeftCell="A225" workbookViewId="0">
      <selection activeCell="A192" sqref="$A192:$XFD243"/>
    </sheetView>
  </sheetViews>
  <sheetFormatPr defaultColWidth="9" defaultRowHeight="13.5"/>
  <sheetData>
    <row r="1" s="214" customFormat="1" ht="25.5" customHeight="1" spans="1:11">
      <c r="A1" s="163" t="s">
        <v>367</v>
      </c>
      <c r="B1" s="164"/>
      <c r="C1" s="164"/>
      <c r="D1" s="164"/>
      <c r="E1" s="164"/>
      <c r="F1" s="164"/>
      <c r="G1" s="164"/>
      <c r="H1" s="164"/>
      <c r="I1" s="164"/>
      <c r="J1" s="164"/>
      <c r="K1" s="165"/>
    </row>
    <row r="2" s="214" customFormat="1" ht="25.5" customHeight="1" spans="1:11">
      <c r="A2" s="215" t="s">
        <v>350</v>
      </c>
      <c r="B2" s="215"/>
      <c r="C2" s="215"/>
      <c r="D2" s="216" t="s">
        <v>368</v>
      </c>
      <c r="E2" s="217"/>
      <c r="F2" s="218"/>
      <c r="G2" s="219"/>
      <c r="H2" s="218"/>
      <c r="I2" s="218"/>
      <c r="J2" s="218"/>
      <c r="K2" s="218"/>
    </row>
    <row r="3" s="214" customFormat="1" ht="25.5" customHeight="1" spans="1:11">
      <c r="A3" s="56" t="s">
        <v>200</v>
      </c>
      <c r="B3" s="56" t="s">
        <v>201</v>
      </c>
      <c r="C3" s="61" t="s">
        <v>202</v>
      </c>
      <c r="D3" s="220" t="s">
        <v>6</v>
      </c>
      <c r="E3" s="220" t="s">
        <v>6</v>
      </c>
      <c r="F3" s="219" t="s">
        <v>6</v>
      </c>
      <c r="G3" s="219" t="s">
        <v>6</v>
      </c>
      <c r="H3" s="219" t="s">
        <v>6</v>
      </c>
      <c r="I3" s="219" t="s">
        <v>6</v>
      </c>
      <c r="J3" s="221" t="s">
        <v>352</v>
      </c>
      <c r="K3" s="219" t="s">
        <v>353</v>
      </c>
    </row>
    <row r="4" s="214" customFormat="1" ht="25.5" customHeight="1" spans="1:11">
      <c r="A4" s="56" t="s">
        <v>205</v>
      </c>
      <c r="B4" s="56">
        <v>12</v>
      </c>
      <c r="C4" s="54" t="s">
        <v>206</v>
      </c>
      <c r="D4" s="222">
        <v>12</v>
      </c>
      <c r="E4" s="222">
        <v>5</v>
      </c>
      <c r="F4" s="222">
        <v>10</v>
      </c>
      <c r="G4" s="222"/>
      <c r="H4" s="222"/>
      <c r="I4" s="223"/>
      <c r="J4" s="223"/>
      <c r="K4" s="223">
        <f t="shared" ref="K4:K24" si="0">SUM(D4:J4)</f>
        <v>27</v>
      </c>
    </row>
    <row r="5" s="214" customFormat="1" ht="25.5" customHeight="1" spans="1:11">
      <c r="A5" s="78" t="s">
        <v>207</v>
      </c>
      <c r="B5" s="56">
        <v>11.5</v>
      </c>
      <c r="C5" s="61" t="s">
        <v>208</v>
      </c>
      <c r="D5" s="222">
        <v>17.5</v>
      </c>
      <c r="E5" s="222">
        <v>10</v>
      </c>
      <c r="F5" s="222">
        <v>10</v>
      </c>
      <c r="G5" s="222"/>
      <c r="H5" s="222"/>
      <c r="I5" s="223"/>
      <c r="J5" s="223"/>
      <c r="K5" s="223">
        <f t="shared" si="0"/>
        <v>37.5</v>
      </c>
    </row>
    <row r="6" s="214" customFormat="1" ht="25.5" customHeight="1" spans="1:11">
      <c r="A6" s="78"/>
      <c r="B6" s="56"/>
      <c r="C6" s="61" t="s">
        <v>210</v>
      </c>
      <c r="D6" s="222">
        <v>17.5</v>
      </c>
      <c r="E6" s="222">
        <v>5</v>
      </c>
      <c r="F6" s="222">
        <v>10</v>
      </c>
      <c r="G6" s="222"/>
      <c r="H6" s="222"/>
      <c r="I6" s="223"/>
      <c r="J6" s="223"/>
      <c r="K6" s="223">
        <f t="shared" si="0"/>
        <v>32.5</v>
      </c>
    </row>
    <row r="7" s="214" customFormat="1" ht="25.5" customHeight="1" spans="1:11">
      <c r="A7" s="79" t="s">
        <v>237</v>
      </c>
      <c r="B7" s="56">
        <v>11.5</v>
      </c>
      <c r="C7" s="61" t="s">
        <v>212</v>
      </c>
      <c r="D7" s="222">
        <v>11.5</v>
      </c>
      <c r="E7" s="222">
        <v>5</v>
      </c>
      <c r="F7" s="222">
        <v>10</v>
      </c>
      <c r="G7" s="222"/>
      <c r="H7" s="222"/>
      <c r="I7" s="223"/>
      <c r="J7" s="223"/>
      <c r="K7" s="223">
        <f t="shared" si="0"/>
        <v>26.5</v>
      </c>
    </row>
    <row r="8" s="214" customFormat="1" ht="25.5" customHeight="1" spans="1:11">
      <c r="A8" s="80"/>
      <c r="B8" s="56"/>
      <c r="C8" s="3" t="s">
        <v>215</v>
      </c>
      <c r="D8" s="222">
        <v>11.5</v>
      </c>
      <c r="E8" s="222">
        <v>5</v>
      </c>
      <c r="F8" s="222">
        <v>11</v>
      </c>
      <c r="G8" s="222"/>
      <c r="H8" s="222"/>
      <c r="I8" s="223"/>
      <c r="J8" s="223"/>
      <c r="K8" s="223">
        <f t="shared" si="0"/>
        <v>27.5</v>
      </c>
    </row>
    <row r="9" s="214" customFormat="1" ht="25.5" customHeight="1" spans="1:11">
      <c r="A9" s="81" t="s">
        <v>238</v>
      </c>
      <c r="B9" s="56"/>
      <c r="C9" s="61" t="s">
        <v>213</v>
      </c>
      <c r="D9" s="223">
        <v>11.5</v>
      </c>
      <c r="E9" s="223">
        <v>10</v>
      </c>
      <c r="F9" s="222">
        <v>0</v>
      </c>
      <c r="G9" s="223"/>
      <c r="H9" s="222"/>
      <c r="I9" s="223"/>
      <c r="J9" s="223"/>
      <c r="K9" s="223">
        <f t="shared" si="0"/>
        <v>21.5</v>
      </c>
    </row>
    <row r="10" s="214" customFormat="1" ht="25.5" customHeight="1" spans="1:11">
      <c r="A10" s="82"/>
      <c r="B10" s="56"/>
      <c r="C10" s="61" t="s">
        <v>216</v>
      </c>
      <c r="D10" s="223">
        <v>0</v>
      </c>
      <c r="E10" s="223">
        <v>10</v>
      </c>
      <c r="F10" s="222">
        <v>0</v>
      </c>
      <c r="G10" s="223"/>
      <c r="H10" s="222"/>
      <c r="I10" s="223"/>
      <c r="J10" s="223"/>
      <c r="K10" s="223">
        <f t="shared" si="0"/>
        <v>10</v>
      </c>
    </row>
    <row r="11" s="214" customFormat="1" ht="25.5" customHeight="1" spans="1:11">
      <c r="A11" s="84" t="s">
        <v>239</v>
      </c>
      <c r="B11" s="56"/>
      <c r="C11" s="56" t="s">
        <v>214</v>
      </c>
      <c r="D11" s="223">
        <v>0</v>
      </c>
      <c r="E11" s="223">
        <v>10</v>
      </c>
      <c r="F11" s="222">
        <v>0</v>
      </c>
      <c r="G11" s="223"/>
      <c r="H11" s="222"/>
      <c r="I11" s="223"/>
      <c r="J11" s="223"/>
      <c r="K11" s="223">
        <f t="shared" si="0"/>
        <v>10</v>
      </c>
    </row>
    <row r="12" s="214" customFormat="1" ht="25.5" customHeight="1" spans="1:11">
      <c r="A12" s="56" t="s">
        <v>217</v>
      </c>
      <c r="B12" s="56">
        <v>10.5</v>
      </c>
      <c r="C12" s="56" t="s">
        <v>218</v>
      </c>
      <c r="D12" s="222">
        <v>11.5</v>
      </c>
      <c r="E12" s="223">
        <v>5</v>
      </c>
      <c r="F12" s="222">
        <v>10</v>
      </c>
      <c r="G12" s="223"/>
      <c r="H12" s="222"/>
      <c r="I12" s="222"/>
      <c r="J12" s="223"/>
      <c r="K12" s="223">
        <f t="shared" si="0"/>
        <v>26.5</v>
      </c>
    </row>
    <row r="13" s="214" customFormat="1" ht="25.5" customHeight="1" spans="1:11">
      <c r="A13" s="56"/>
      <c r="B13" s="56"/>
      <c r="C13" s="56" t="s">
        <v>219</v>
      </c>
      <c r="D13" s="223">
        <v>10</v>
      </c>
      <c r="E13" s="223">
        <v>10</v>
      </c>
      <c r="F13" s="222">
        <v>0</v>
      </c>
      <c r="G13" s="223"/>
      <c r="H13" s="222"/>
      <c r="I13" s="223"/>
      <c r="J13" s="223"/>
      <c r="K13" s="223">
        <f t="shared" si="0"/>
        <v>20</v>
      </c>
    </row>
    <row r="14" s="214" customFormat="1" ht="25.5" customHeight="1" spans="1:11">
      <c r="A14" s="56" t="s">
        <v>220</v>
      </c>
      <c r="B14" s="56">
        <v>11.5</v>
      </c>
      <c r="C14" s="61" t="s">
        <v>221</v>
      </c>
      <c r="D14" s="223">
        <v>30.5</v>
      </c>
      <c r="E14" s="223">
        <v>10</v>
      </c>
      <c r="F14" s="222">
        <v>0</v>
      </c>
      <c r="G14" s="223"/>
      <c r="H14" s="222"/>
      <c r="I14" s="223"/>
      <c r="J14" s="223"/>
      <c r="K14" s="223">
        <f t="shared" si="0"/>
        <v>40.5</v>
      </c>
    </row>
    <row r="15" s="214" customFormat="1" ht="25.5" customHeight="1" spans="1:11">
      <c r="A15" s="56"/>
      <c r="B15" s="56"/>
      <c r="C15" s="61" t="s">
        <v>222</v>
      </c>
      <c r="D15" s="222">
        <v>19</v>
      </c>
      <c r="E15" s="222">
        <v>5</v>
      </c>
      <c r="F15" s="222">
        <v>10</v>
      </c>
      <c r="G15" s="222"/>
      <c r="H15" s="222"/>
      <c r="I15" s="223"/>
      <c r="J15" s="223"/>
      <c r="K15" s="223">
        <f t="shared" si="0"/>
        <v>34</v>
      </c>
    </row>
    <row r="16" s="214" customFormat="1" ht="25.5" customHeight="1" spans="1:11">
      <c r="A16" s="56"/>
      <c r="B16" s="56"/>
      <c r="C16" s="61" t="s">
        <v>223</v>
      </c>
      <c r="D16" s="222">
        <v>19</v>
      </c>
      <c r="E16" s="222">
        <v>5</v>
      </c>
      <c r="F16" s="222">
        <v>5</v>
      </c>
      <c r="G16" s="222"/>
      <c r="H16" s="222"/>
      <c r="I16" s="223"/>
      <c r="J16" s="223"/>
      <c r="K16" s="223">
        <f t="shared" si="0"/>
        <v>29</v>
      </c>
    </row>
    <row r="17" s="214" customFormat="1" ht="25.5" customHeight="1" spans="1:11">
      <c r="A17" s="56"/>
      <c r="B17" s="56"/>
      <c r="C17" s="61" t="s">
        <v>354</v>
      </c>
      <c r="D17" s="222">
        <v>19</v>
      </c>
      <c r="E17" s="222">
        <v>10</v>
      </c>
      <c r="F17" s="222">
        <v>5</v>
      </c>
      <c r="G17" s="222"/>
      <c r="H17" s="222"/>
      <c r="I17" s="223"/>
      <c r="J17" s="223"/>
      <c r="K17" s="223">
        <f t="shared" si="0"/>
        <v>34</v>
      </c>
    </row>
    <row r="18" s="214" customFormat="1" ht="25.5" customHeight="1" spans="1:11">
      <c r="A18" s="85" t="s">
        <v>225</v>
      </c>
      <c r="B18" s="85">
        <v>10.5</v>
      </c>
      <c r="C18" s="56" t="s">
        <v>226</v>
      </c>
      <c r="D18" s="222">
        <v>19</v>
      </c>
      <c r="E18" s="223">
        <v>10</v>
      </c>
      <c r="F18" s="222">
        <v>10</v>
      </c>
      <c r="G18" s="223"/>
      <c r="H18" s="222"/>
      <c r="I18" s="223"/>
      <c r="J18" s="223"/>
      <c r="K18" s="223">
        <f t="shared" si="0"/>
        <v>39</v>
      </c>
    </row>
    <row r="19" s="214" customFormat="1" ht="25.5" customHeight="1" spans="1:11">
      <c r="A19" s="85"/>
      <c r="B19" s="85"/>
      <c r="C19" s="56" t="s">
        <v>228</v>
      </c>
      <c r="D19" s="222">
        <v>11.5</v>
      </c>
      <c r="E19" s="223">
        <v>10</v>
      </c>
      <c r="F19" s="222">
        <v>5</v>
      </c>
      <c r="G19" s="223"/>
      <c r="H19" s="222"/>
      <c r="I19" s="223"/>
      <c r="J19" s="223"/>
      <c r="K19" s="223">
        <f t="shared" si="0"/>
        <v>26.5</v>
      </c>
    </row>
    <row r="20" s="214" customFormat="1" ht="25.5" customHeight="1" spans="1:11">
      <c r="A20" s="85"/>
      <c r="B20" s="85"/>
      <c r="C20" s="56" t="s">
        <v>227</v>
      </c>
      <c r="D20" s="222">
        <v>11.5</v>
      </c>
      <c r="E20" s="223">
        <v>5</v>
      </c>
      <c r="F20" s="222">
        <v>5</v>
      </c>
      <c r="G20" s="223"/>
      <c r="H20" s="222"/>
      <c r="I20" s="223"/>
      <c r="J20" s="223"/>
      <c r="K20" s="223">
        <f t="shared" si="0"/>
        <v>21.5</v>
      </c>
    </row>
    <row r="21" s="214" customFormat="1" ht="25.5" customHeight="1" spans="1:11">
      <c r="A21" s="85"/>
      <c r="B21" s="85"/>
      <c r="C21" s="56" t="s">
        <v>229</v>
      </c>
      <c r="D21" s="222">
        <v>11.5</v>
      </c>
      <c r="E21" s="222">
        <v>5</v>
      </c>
      <c r="F21" s="222">
        <v>10</v>
      </c>
      <c r="G21" s="222"/>
      <c r="H21" s="222"/>
      <c r="I21" s="223"/>
      <c r="J21" s="223"/>
      <c r="K21" s="223">
        <f t="shared" si="0"/>
        <v>26.5</v>
      </c>
    </row>
    <row r="22" s="214" customFormat="1" ht="25.5" customHeight="1" spans="1:11">
      <c r="A22" s="85"/>
      <c r="B22" s="85"/>
      <c r="C22" s="56" t="s">
        <v>240</v>
      </c>
      <c r="D22" s="222">
        <v>11.5</v>
      </c>
      <c r="E22" s="222">
        <v>5</v>
      </c>
      <c r="F22" s="222">
        <v>10</v>
      </c>
      <c r="G22" s="222"/>
      <c r="H22" s="222"/>
      <c r="I22" s="223"/>
      <c r="J22" s="223"/>
      <c r="K22" s="223">
        <f t="shared" si="0"/>
        <v>26.5</v>
      </c>
    </row>
    <row r="23" s="214" customFormat="1" ht="25.5" customHeight="1" spans="1:11">
      <c r="A23" s="86" t="s">
        <v>230</v>
      </c>
      <c r="B23" s="86">
        <v>10.5</v>
      </c>
      <c r="C23" s="56" t="s">
        <v>231</v>
      </c>
      <c r="D23" s="222">
        <v>10.5</v>
      </c>
      <c r="E23" s="222">
        <v>5</v>
      </c>
      <c r="F23" s="222">
        <v>0</v>
      </c>
      <c r="G23" s="222"/>
      <c r="H23" s="222"/>
      <c r="I23" s="223"/>
      <c r="J23" s="224"/>
      <c r="K23" s="223">
        <f t="shared" si="0"/>
        <v>15.5</v>
      </c>
    </row>
    <row r="24" s="214" customFormat="1" ht="25.5" customHeight="1" spans="1:11">
      <c r="A24" s="86" t="s">
        <v>232</v>
      </c>
      <c r="B24" s="86">
        <v>12</v>
      </c>
      <c r="C24" s="86" t="s">
        <v>233</v>
      </c>
      <c r="D24" s="222">
        <v>12</v>
      </c>
      <c r="E24" s="222">
        <v>5</v>
      </c>
      <c r="F24" s="222">
        <v>5</v>
      </c>
      <c r="G24" s="222"/>
      <c r="H24" s="222"/>
      <c r="I24" s="223"/>
      <c r="J24" s="224"/>
      <c r="K24" s="223">
        <f t="shared" si="0"/>
        <v>22</v>
      </c>
    </row>
    <row r="25" s="214" customFormat="1" ht="28" customHeight="1" spans="1:11">
      <c r="A25" s="225"/>
      <c r="B25" s="226"/>
      <c r="C25" s="226"/>
      <c r="D25" s="226"/>
      <c r="E25" s="227"/>
      <c r="F25" s="226"/>
      <c r="G25" s="226"/>
      <c r="H25" s="226"/>
      <c r="I25" s="226"/>
      <c r="J25" s="224"/>
      <c r="K25" s="223">
        <f>SUM(K4:K24)</f>
        <v>554</v>
      </c>
    </row>
    <row r="28" s="3" customFormat="1" ht="21" customHeight="1" spans="1:11">
      <c r="A28" s="133" t="s">
        <v>369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</row>
    <row r="29" s="3" customFormat="1" ht="21" customHeight="1" spans="1:11">
      <c r="A29" s="134" t="s">
        <v>235</v>
      </c>
      <c r="B29" s="134"/>
      <c r="C29" s="134"/>
      <c r="D29" s="134" t="s">
        <v>370</v>
      </c>
      <c r="E29" s="134"/>
      <c r="F29" s="134"/>
      <c r="G29" s="134"/>
      <c r="H29" s="134"/>
      <c r="I29" s="134"/>
      <c r="J29" s="134"/>
      <c r="K29" s="134"/>
    </row>
    <row r="30" s="3" customFormat="1" ht="21" customHeight="1" spans="1:11">
      <c r="A30" s="135" t="s">
        <v>200</v>
      </c>
      <c r="B30" s="135" t="s">
        <v>201</v>
      </c>
      <c r="C30" s="136" t="s">
        <v>202</v>
      </c>
      <c r="D30" s="137" t="s">
        <v>6</v>
      </c>
      <c r="E30" s="137" t="s">
        <v>6</v>
      </c>
      <c r="F30" s="135" t="s">
        <v>6</v>
      </c>
      <c r="G30" s="135" t="s">
        <v>6</v>
      </c>
      <c r="H30" s="135" t="s">
        <v>6</v>
      </c>
      <c r="I30" s="135" t="s">
        <v>6</v>
      </c>
      <c r="J30" s="135" t="s">
        <v>203</v>
      </c>
      <c r="K30" s="135" t="s">
        <v>204</v>
      </c>
    </row>
    <row r="31" s="3" customFormat="1" ht="21" customHeight="1" spans="1:11">
      <c r="A31" s="68" t="s">
        <v>205</v>
      </c>
      <c r="B31" s="68">
        <v>12</v>
      </c>
      <c r="C31" s="113" t="s">
        <v>206</v>
      </c>
      <c r="D31" s="11">
        <v>12</v>
      </c>
      <c r="E31" s="11">
        <v>10</v>
      </c>
      <c r="F31" s="11"/>
      <c r="G31" s="11"/>
      <c r="H31" s="121"/>
      <c r="I31" s="68"/>
      <c r="J31" s="68"/>
      <c r="K31" s="56">
        <f t="shared" ref="K31:K51" si="1">SUM(D31:J31)</f>
        <v>22</v>
      </c>
    </row>
    <row r="32" s="3" customFormat="1" ht="21" customHeight="1" spans="1:11">
      <c r="A32" s="116" t="s">
        <v>207</v>
      </c>
      <c r="B32" s="68">
        <v>11.5</v>
      </c>
      <c r="C32" s="117" t="s">
        <v>208</v>
      </c>
      <c r="D32" s="11">
        <v>32</v>
      </c>
      <c r="E32" s="11">
        <v>15</v>
      </c>
      <c r="F32" s="11"/>
      <c r="G32" s="11"/>
      <c r="H32" s="121"/>
      <c r="I32" s="68"/>
      <c r="J32" s="68"/>
      <c r="K32" s="56">
        <f t="shared" si="1"/>
        <v>47</v>
      </c>
    </row>
    <row r="33" s="3" customFormat="1" ht="21" customHeight="1" spans="1:11">
      <c r="A33" s="116"/>
      <c r="B33" s="68"/>
      <c r="C33" s="117" t="s">
        <v>210</v>
      </c>
      <c r="D33" s="11">
        <v>25</v>
      </c>
      <c r="E33" s="11">
        <v>15</v>
      </c>
      <c r="F33" s="11"/>
      <c r="G33" s="11"/>
      <c r="H33" s="121"/>
      <c r="I33" s="68"/>
      <c r="J33" s="68"/>
      <c r="K33" s="56">
        <f t="shared" si="1"/>
        <v>40</v>
      </c>
    </row>
    <row r="34" s="3" customFormat="1" ht="21" customHeight="1" spans="1:11">
      <c r="A34" s="79" t="s">
        <v>237</v>
      </c>
      <c r="B34" s="56">
        <v>11.5</v>
      </c>
      <c r="C34" s="61" t="s">
        <v>212</v>
      </c>
      <c r="D34" s="11">
        <v>40</v>
      </c>
      <c r="E34" s="11">
        <v>10</v>
      </c>
      <c r="F34" s="11"/>
      <c r="G34" s="11"/>
      <c r="H34" s="121"/>
      <c r="I34" s="68"/>
      <c r="J34" s="68"/>
      <c r="K34" s="56">
        <f t="shared" si="1"/>
        <v>50</v>
      </c>
    </row>
    <row r="35" s="3" customFormat="1" ht="21" customHeight="1" spans="1:11">
      <c r="A35" s="80"/>
      <c r="B35" s="56"/>
      <c r="C35" s="3" t="s">
        <v>215</v>
      </c>
      <c r="D35" s="11">
        <v>30</v>
      </c>
      <c r="E35" s="11">
        <v>10</v>
      </c>
      <c r="F35" s="11"/>
      <c r="G35" s="11"/>
      <c r="H35" s="121"/>
      <c r="I35" s="68"/>
      <c r="J35" s="68"/>
      <c r="K35" s="56">
        <f t="shared" si="1"/>
        <v>40</v>
      </c>
    </row>
    <row r="36" s="3" customFormat="1" ht="21" customHeight="1" spans="1:11">
      <c r="A36" s="81" t="s">
        <v>238</v>
      </c>
      <c r="B36" s="56"/>
      <c r="C36" s="61" t="s">
        <v>213</v>
      </c>
      <c r="D36" s="11">
        <v>30</v>
      </c>
      <c r="E36" s="11">
        <v>0</v>
      </c>
      <c r="F36" s="11"/>
      <c r="G36" s="11"/>
      <c r="H36" s="121"/>
      <c r="I36" s="68"/>
      <c r="J36" s="68"/>
      <c r="K36" s="56">
        <f t="shared" si="1"/>
        <v>30</v>
      </c>
    </row>
    <row r="37" s="3" customFormat="1" ht="21" customHeight="1" spans="1:11">
      <c r="A37" s="82"/>
      <c r="B37" s="56"/>
      <c r="C37" s="61" t="s">
        <v>216</v>
      </c>
      <c r="D37" s="11">
        <v>30</v>
      </c>
      <c r="E37" s="11">
        <v>10</v>
      </c>
      <c r="F37" s="11"/>
      <c r="G37" s="11"/>
      <c r="H37" s="121"/>
      <c r="I37" s="121"/>
      <c r="J37" s="68"/>
      <c r="K37" s="56">
        <f t="shared" si="1"/>
        <v>40</v>
      </c>
    </row>
    <row r="38" s="3" customFormat="1" ht="21" customHeight="1" spans="1:11">
      <c r="A38" s="84" t="s">
        <v>239</v>
      </c>
      <c r="B38" s="56"/>
      <c r="C38" s="56" t="s">
        <v>214</v>
      </c>
      <c r="D38" s="11">
        <v>23</v>
      </c>
      <c r="E38" s="11">
        <v>10</v>
      </c>
      <c r="F38" s="11"/>
      <c r="G38" s="11"/>
      <c r="H38" s="121"/>
      <c r="I38" s="121"/>
      <c r="J38" s="68"/>
      <c r="K38" s="56">
        <f t="shared" si="1"/>
        <v>33</v>
      </c>
    </row>
    <row r="39" s="3" customFormat="1" ht="21" customHeight="1" spans="1:11">
      <c r="A39" s="68" t="s">
        <v>217</v>
      </c>
      <c r="B39" s="68">
        <v>10.5</v>
      </c>
      <c r="C39" s="68" t="s">
        <v>218</v>
      </c>
      <c r="D39" s="22">
        <v>30</v>
      </c>
      <c r="E39" s="22">
        <v>0</v>
      </c>
      <c r="F39" s="22"/>
      <c r="G39" s="22"/>
      <c r="H39" s="121"/>
      <c r="I39" s="68"/>
      <c r="J39" s="68"/>
      <c r="K39" s="56">
        <f t="shared" si="1"/>
        <v>30</v>
      </c>
    </row>
    <row r="40" s="3" customFormat="1" ht="21" customHeight="1" spans="1:11">
      <c r="A40" s="68"/>
      <c r="B40" s="68"/>
      <c r="C40" s="68" t="s">
        <v>219</v>
      </c>
      <c r="D40" s="11">
        <v>41</v>
      </c>
      <c r="E40" s="11">
        <v>0</v>
      </c>
      <c r="F40" s="11"/>
      <c r="G40" s="11"/>
      <c r="H40" s="121"/>
      <c r="I40" s="68"/>
      <c r="J40" s="68"/>
      <c r="K40" s="56">
        <f t="shared" si="1"/>
        <v>41</v>
      </c>
    </row>
    <row r="41" s="3" customFormat="1" ht="21" customHeight="1" spans="1:11">
      <c r="A41" s="68" t="s">
        <v>220</v>
      </c>
      <c r="B41" s="68">
        <v>11.5</v>
      </c>
      <c r="C41" s="117" t="s">
        <v>221</v>
      </c>
      <c r="D41" s="11">
        <v>41</v>
      </c>
      <c r="E41" s="11">
        <v>10</v>
      </c>
      <c r="F41" s="11"/>
      <c r="G41" s="11"/>
      <c r="H41" s="121"/>
      <c r="I41" s="68"/>
      <c r="J41" s="68"/>
      <c r="K41" s="56">
        <f t="shared" si="1"/>
        <v>51</v>
      </c>
    </row>
    <row r="42" s="3" customFormat="1" ht="21" customHeight="1" spans="1:11">
      <c r="A42" s="68"/>
      <c r="B42" s="68"/>
      <c r="C42" s="117" t="s">
        <v>222</v>
      </c>
      <c r="D42" s="11">
        <v>20.5</v>
      </c>
      <c r="E42" s="11">
        <v>10</v>
      </c>
      <c r="F42" s="11"/>
      <c r="G42" s="11"/>
      <c r="H42" s="121"/>
      <c r="I42" s="68"/>
      <c r="J42" s="68"/>
      <c r="K42" s="56">
        <f t="shared" si="1"/>
        <v>30.5</v>
      </c>
    </row>
    <row r="43" s="3" customFormat="1" ht="21" customHeight="1" spans="1:11">
      <c r="A43" s="68"/>
      <c r="B43" s="68"/>
      <c r="C43" s="117" t="s">
        <v>223</v>
      </c>
      <c r="D43" s="23">
        <v>19</v>
      </c>
      <c r="E43" s="23">
        <v>0</v>
      </c>
      <c r="F43" s="23"/>
      <c r="G43" s="23"/>
      <c r="H43" s="121"/>
      <c r="I43" s="68"/>
      <c r="J43" s="68"/>
      <c r="K43" s="56">
        <f t="shared" si="1"/>
        <v>19</v>
      </c>
    </row>
    <row r="44" s="3" customFormat="1" ht="21" customHeight="1" spans="1:11">
      <c r="A44" s="68"/>
      <c r="B44" s="68"/>
      <c r="C44" s="117" t="s">
        <v>224</v>
      </c>
      <c r="D44" s="24">
        <v>155</v>
      </c>
      <c r="E44" s="24">
        <v>0</v>
      </c>
      <c r="F44" s="24"/>
      <c r="G44" s="24"/>
      <c r="H44" s="121"/>
      <c r="I44" s="68"/>
      <c r="J44" s="68"/>
      <c r="K44" s="56">
        <f t="shared" si="1"/>
        <v>155</v>
      </c>
    </row>
    <row r="45" s="3" customFormat="1" ht="21" customHeight="1" spans="1:11">
      <c r="A45" s="119" t="s">
        <v>225</v>
      </c>
      <c r="B45" s="119">
        <v>10.5</v>
      </c>
      <c r="C45" s="68" t="s">
        <v>226</v>
      </c>
      <c r="D45" s="11">
        <v>24</v>
      </c>
      <c r="E45" s="11">
        <v>10</v>
      </c>
      <c r="F45" s="11"/>
      <c r="G45" s="11"/>
      <c r="H45" s="121"/>
      <c r="I45" s="68"/>
      <c r="J45" s="68"/>
      <c r="K45" s="56">
        <f t="shared" si="1"/>
        <v>34</v>
      </c>
    </row>
    <row r="46" s="3" customFormat="1" ht="21" customHeight="1" spans="1:11">
      <c r="A46" s="119"/>
      <c r="B46" s="119"/>
      <c r="C46" s="68" t="s">
        <v>228</v>
      </c>
      <c r="D46" s="11">
        <v>24</v>
      </c>
      <c r="E46" s="11">
        <v>0</v>
      </c>
      <c r="F46" s="11"/>
      <c r="G46" s="11"/>
      <c r="H46" s="121"/>
      <c r="I46" s="68"/>
      <c r="J46" s="68"/>
      <c r="K46" s="56">
        <f t="shared" si="1"/>
        <v>24</v>
      </c>
    </row>
    <row r="47" s="3" customFormat="1" ht="21" customHeight="1" spans="1:11">
      <c r="A47" s="119"/>
      <c r="B47" s="119"/>
      <c r="C47" s="68" t="s">
        <v>227</v>
      </c>
      <c r="D47" s="11">
        <v>24</v>
      </c>
      <c r="E47" s="11">
        <v>0</v>
      </c>
      <c r="F47" s="11"/>
      <c r="G47" s="11"/>
      <c r="H47" s="121"/>
      <c r="I47" s="68"/>
      <c r="J47" s="68"/>
      <c r="K47" s="56">
        <f t="shared" si="1"/>
        <v>24</v>
      </c>
    </row>
    <row r="48" s="3" customFormat="1" ht="21" customHeight="1" spans="1:11">
      <c r="A48" s="119"/>
      <c r="B48" s="119"/>
      <c r="C48" s="68" t="s">
        <v>229</v>
      </c>
      <c r="D48" s="11">
        <v>24</v>
      </c>
      <c r="E48" s="11">
        <v>0</v>
      </c>
      <c r="F48" s="11"/>
      <c r="G48" s="11"/>
      <c r="H48" s="121"/>
      <c r="I48" s="68"/>
      <c r="J48" s="141"/>
      <c r="K48" s="56">
        <f t="shared" si="1"/>
        <v>24</v>
      </c>
    </row>
    <row r="49" s="3" customFormat="1" ht="21" customHeight="1" spans="1:11">
      <c r="A49" s="119"/>
      <c r="B49" s="119"/>
      <c r="C49" s="68" t="s">
        <v>240</v>
      </c>
      <c r="D49" s="11">
        <v>24</v>
      </c>
      <c r="E49" s="11">
        <v>0</v>
      </c>
      <c r="F49" s="11"/>
      <c r="G49" s="11"/>
      <c r="H49" s="121"/>
      <c r="I49" s="68"/>
      <c r="J49" s="141"/>
      <c r="K49" s="56">
        <f t="shared" si="1"/>
        <v>24</v>
      </c>
    </row>
    <row r="50" s="3" customFormat="1" ht="21" customHeight="1" spans="1:11">
      <c r="A50" s="121" t="s">
        <v>230</v>
      </c>
      <c r="B50" s="121">
        <v>10.5</v>
      </c>
      <c r="C50" s="68" t="s">
        <v>231</v>
      </c>
      <c r="D50" s="11">
        <v>10</v>
      </c>
      <c r="E50" s="11">
        <v>10</v>
      </c>
      <c r="F50" s="11"/>
      <c r="G50" s="11"/>
      <c r="H50" s="68"/>
      <c r="I50" s="68"/>
      <c r="J50" s="141"/>
      <c r="K50" s="56">
        <f t="shared" si="1"/>
        <v>20</v>
      </c>
    </row>
    <row r="51" s="3" customFormat="1" ht="21" customHeight="1" spans="1:11">
      <c r="A51" s="121" t="s">
        <v>232</v>
      </c>
      <c r="B51" s="121">
        <v>12</v>
      </c>
      <c r="C51" s="121" t="s">
        <v>233</v>
      </c>
      <c r="D51" s="89">
        <v>12</v>
      </c>
      <c r="E51" s="146">
        <v>10</v>
      </c>
      <c r="F51" s="146"/>
      <c r="G51" s="146"/>
      <c r="H51" s="121"/>
      <c r="I51" s="121"/>
      <c r="J51" s="139"/>
      <c r="K51" s="86">
        <f t="shared" si="1"/>
        <v>22</v>
      </c>
    </row>
    <row r="52" s="3" customFormat="1" ht="21" customHeight="1" spans="1:11">
      <c r="A52" s="61"/>
      <c r="B52" s="87"/>
      <c r="C52" s="87"/>
      <c r="D52" s="87"/>
      <c r="E52" s="87"/>
      <c r="F52" s="87"/>
      <c r="G52" s="87"/>
      <c r="H52" s="87"/>
      <c r="I52" s="87"/>
      <c r="J52" s="87"/>
      <c r="K52" s="145">
        <f>SUM(K31:K51)</f>
        <v>800.5</v>
      </c>
    </row>
    <row r="56" s="3" customFormat="1" ht="21" customHeight="1" spans="1:11">
      <c r="A56" s="133" t="s">
        <v>371</v>
      </c>
      <c r="B56" s="133"/>
      <c r="C56" s="133"/>
      <c r="D56" s="133"/>
      <c r="E56" s="133"/>
      <c r="F56" s="133"/>
      <c r="G56" s="133"/>
      <c r="H56" s="133"/>
      <c r="I56" s="133"/>
      <c r="J56" s="133"/>
      <c r="K56" s="133"/>
    </row>
    <row r="57" s="3" customFormat="1" ht="21" customHeight="1" spans="1:11">
      <c r="A57" s="134" t="s">
        <v>235</v>
      </c>
      <c r="B57" s="134"/>
      <c r="C57" s="134"/>
      <c r="D57" s="134" t="s">
        <v>372</v>
      </c>
      <c r="E57" s="134"/>
      <c r="F57" s="134"/>
      <c r="G57" s="134"/>
      <c r="H57" s="134"/>
      <c r="I57" s="134"/>
      <c r="J57" s="134"/>
      <c r="K57" s="134"/>
    </row>
    <row r="58" s="3" customFormat="1" ht="21" customHeight="1" spans="1:11">
      <c r="A58" s="135" t="s">
        <v>200</v>
      </c>
      <c r="B58" s="135" t="s">
        <v>201</v>
      </c>
      <c r="C58" s="136" t="s">
        <v>202</v>
      </c>
      <c r="D58" s="137" t="s">
        <v>6</v>
      </c>
      <c r="E58" s="137" t="s">
        <v>6</v>
      </c>
      <c r="F58" s="135" t="s">
        <v>6</v>
      </c>
      <c r="G58" s="135" t="s">
        <v>6</v>
      </c>
      <c r="H58" s="135" t="s">
        <v>6</v>
      </c>
      <c r="I58" s="135" t="s">
        <v>6</v>
      </c>
      <c r="J58" s="135" t="s">
        <v>203</v>
      </c>
      <c r="K58" s="135" t="s">
        <v>204</v>
      </c>
    </row>
    <row r="59" s="3" customFormat="1" ht="21" customHeight="1" spans="1:11">
      <c r="A59" s="68" t="s">
        <v>205</v>
      </c>
      <c r="B59" s="68">
        <v>12</v>
      </c>
      <c r="C59" s="113" t="s">
        <v>206</v>
      </c>
      <c r="D59" s="12">
        <v>12</v>
      </c>
      <c r="E59" s="12">
        <v>0</v>
      </c>
      <c r="F59" s="121"/>
      <c r="G59" s="121"/>
      <c r="H59" s="121"/>
      <c r="I59" s="68"/>
      <c r="J59" s="68"/>
      <c r="K59" s="56">
        <f>SUM(D59:J59)</f>
        <v>12</v>
      </c>
    </row>
    <row r="60" s="3" customFormat="1" ht="21" customHeight="1" spans="1:11">
      <c r="A60" s="116" t="s">
        <v>207</v>
      </c>
      <c r="B60" s="68">
        <v>11.5</v>
      </c>
      <c r="C60" s="117" t="s">
        <v>208</v>
      </c>
      <c r="D60" s="12">
        <v>17.5</v>
      </c>
      <c r="E60" s="12">
        <v>0</v>
      </c>
      <c r="F60" s="121"/>
      <c r="G60" s="121"/>
      <c r="H60" s="121"/>
      <c r="I60" s="68"/>
      <c r="J60" s="68"/>
      <c r="K60" s="56">
        <f>SUM(D60:J60)</f>
        <v>17.5</v>
      </c>
    </row>
    <row r="61" s="3" customFormat="1" ht="21" customHeight="1" spans="1:11">
      <c r="A61" s="116"/>
      <c r="B61" s="68"/>
      <c r="C61" s="117" t="s">
        <v>210</v>
      </c>
      <c r="D61" s="12">
        <v>17.5</v>
      </c>
      <c r="E61" s="12">
        <v>0</v>
      </c>
      <c r="F61" s="121"/>
      <c r="G61" s="121"/>
      <c r="H61" s="121"/>
      <c r="I61" s="68"/>
      <c r="J61" s="68"/>
      <c r="K61" s="56">
        <f t="shared" ref="K61:K79" si="2">SUM(D61:J61)</f>
        <v>17.5</v>
      </c>
    </row>
    <row r="62" s="3" customFormat="1" ht="21" customHeight="1" spans="1:11">
      <c r="A62" s="79" t="s">
        <v>237</v>
      </c>
      <c r="B62" s="56">
        <v>11.5</v>
      </c>
      <c r="C62" s="61" t="s">
        <v>212</v>
      </c>
      <c r="D62" s="12">
        <v>0</v>
      </c>
      <c r="E62" s="12">
        <v>0</v>
      </c>
      <c r="F62" s="121"/>
      <c r="G62" s="121"/>
      <c r="H62" s="121"/>
      <c r="I62" s="68"/>
      <c r="J62" s="68"/>
      <c r="K62" s="56">
        <f t="shared" si="2"/>
        <v>0</v>
      </c>
    </row>
    <row r="63" s="3" customFormat="1" ht="21" customHeight="1" spans="1:11">
      <c r="A63" s="80"/>
      <c r="B63" s="56"/>
      <c r="C63" s="3" t="s">
        <v>215</v>
      </c>
      <c r="D63" s="12">
        <v>0</v>
      </c>
      <c r="E63" s="12">
        <v>0</v>
      </c>
      <c r="F63" s="121"/>
      <c r="G63" s="121"/>
      <c r="H63" s="121"/>
      <c r="I63" s="68"/>
      <c r="J63" s="68"/>
      <c r="K63" s="56">
        <f t="shared" si="2"/>
        <v>0</v>
      </c>
    </row>
    <row r="64" s="3" customFormat="1" ht="21" customHeight="1" spans="1:11">
      <c r="A64" s="81" t="s">
        <v>238</v>
      </c>
      <c r="B64" s="56"/>
      <c r="C64" s="61" t="s">
        <v>213</v>
      </c>
      <c r="D64" s="12">
        <v>0</v>
      </c>
      <c r="E64" s="12">
        <v>0</v>
      </c>
      <c r="F64" s="121"/>
      <c r="G64" s="121"/>
      <c r="H64" s="121"/>
      <c r="I64" s="68"/>
      <c r="J64" s="68"/>
      <c r="K64" s="56">
        <f t="shared" si="2"/>
        <v>0</v>
      </c>
    </row>
    <row r="65" s="3" customFormat="1" ht="21" customHeight="1" spans="1:11">
      <c r="A65" s="82"/>
      <c r="B65" s="56"/>
      <c r="C65" s="61" t="s">
        <v>216</v>
      </c>
      <c r="D65" s="12">
        <v>0</v>
      </c>
      <c r="E65" s="12">
        <v>0</v>
      </c>
      <c r="F65" s="121"/>
      <c r="G65" s="121"/>
      <c r="H65" s="121"/>
      <c r="I65" s="121"/>
      <c r="J65" s="68"/>
      <c r="K65" s="56">
        <f t="shared" si="2"/>
        <v>0</v>
      </c>
    </row>
    <row r="66" s="3" customFormat="1" ht="21" customHeight="1" spans="1:11">
      <c r="A66" s="84" t="s">
        <v>239</v>
      </c>
      <c r="B66" s="56"/>
      <c r="C66" s="56" t="s">
        <v>214</v>
      </c>
      <c r="D66" s="12">
        <v>0</v>
      </c>
      <c r="E66" s="12">
        <v>15</v>
      </c>
      <c r="F66" s="121"/>
      <c r="G66" s="121"/>
      <c r="H66" s="121"/>
      <c r="I66" s="121"/>
      <c r="J66" s="68"/>
      <c r="K66" s="56">
        <f t="shared" si="2"/>
        <v>15</v>
      </c>
    </row>
    <row r="67" s="3" customFormat="1" ht="21" customHeight="1" spans="1:11">
      <c r="A67" s="68" t="s">
        <v>217</v>
      </c>
      <c r="B67" s="68">
        <v>10.5</v>
      </c>
      <c r="C67" s="68" t="s">
        <v>218</v>
      </c>
      <c r="D67" s="12">
        <v>0</v>
      </c>
      <c r="E67" s="12">
        <v>15</v>
      </c>
      <c r="F67" s="121"/>
      <c r="G67" s="121"/>
      <c r="H67" s="121"/>
      <c r="I67" s="68"/>
      <c r="J67" s="68"/>
      <c r="K67" s="56">
        <f t="shared" si="2"/>
        <v>15</v>
      </c>
    </row>
    <row r="68" s="3" customFormat="1" ht="21" customHeight="1" spans="1:11">
      <c r="A68" s="68"/>
      <c r="B68" s="68"/>
      <c r="C68" s="68" t="s">
        <v>219</v>
      </c>
      <c r="D68" s="12">
        <v>0</v>
      </c>
      <c r="E68" s="12">
        <v>15</v>
      </c>
      <c r="F68" s="121"/>
      <c r="G68" s="121"/>
      <c r="H68" s="121"/>
      <c r="I68" s="68"/>
      <c r="J68" s="68"/>
      <c r="K68" s="56">
        <f t="shared" si="2"/>
        <v>15</v>
      </c>
    </row>
    <row r="69" s="3" customFormat="1" ht="21" customHeight="1" spans="1:11">
      <c r="A69" s="68" t="s">
        <v>220</v>
      </c>
      <c r="B69" s="68">
        <v>11.5</v>
      </c>
      <c r="C69" s="117" t="s">
        <v>221</v>
      </c>
      <c r="D69" s="12">
        <v>20</v>
      </c>
      <c r="E69" s="12">
        <v>6</v>
      </c>
      <c r="F69" s="121"/>
      <c r="G69" s="121"/>
      <c r="H69" s="121"/>
      <c r="I69" s="68"/>
      <c r="J69" s="68"/>
      <c r="K69" s="56">
        <f t="shared" si="2"/>
        <v>26</v>
      </c>
    </row>
    <row r="70" s="3" customFormat="1" ht="21" customHeight="1" spans="1:11">
      <c r="A70" s="68"/>
      <c r="B70" s="68"/>
      <c r="C70" s="117" t="s">
        <v>222</v>
      </c>
      <c r="D70" s="12">
        <v>10</v>
      </c>
      <c r="E70" s="12">
        <v>6</v>
      </c>
      <c r="F70" s="121"/>
      <c r="G70" s="121"/>
      <c r="H70" s="121"/>
      <c r="I70" s="68"/>
      <c r="J70" s="68"/>
      <c r="K70" s="56">
        <f t="shared" si="2"/>
        <v>16</v>
      </c>
    </row>
    <row r="71" s="3" customFormat="1" ht="21" customHeight="1" spans="1:11">
      <c r="A71" s="68"/>
      <c r="B71" s="68"/>
      <c r="C71" s="117" t="s">
        <v>223</v>
      </c>
      <c r="D71" s="12">
        <v>10</v>
      </c>
      <c r="E71" s="12">
        <v>0</v>
      </c>
      <c r="F71" s="121"/>
      <c r="G71" s="121"/>
      <c r="H71" s="121"/>
      <c r="I71" s="68"/>
      <c r="J71" s="68"/>
      <c r="K71" s="56">
        <f t="shared" si="2"/>
        <v>10</v>
      </c>
    </row>
    <row r="72" s="3" customFormat="1" ht="21" customHeight="1" spans="1:11">
      <c r="A72" s="68"/>
      <c r="B72" s="68"/>
      <c r="C72" s="117" t="s">
        <v>224</v>
      </c>
      <c r="D72" s="12">
        <v>45</v>
      </c>
      <c r="E72" s="12">
        <v>0</v>
      </c>
      <c r="F72" s="121"/>
      <c r="G72" s="121"/>
      <c r="H72" s="121"/>
      <c r="I72" s="68"/>
      <c r="J72" s="68"/>
      <c r="K72" s="56">
        <f t="shared" si="2"/>
        <v>45</v>
      </c>
    </row>
    <row r="73" s="3" customFormat="1" ht="21" customHeight="1" spans="1:11">
      <c r="A73" s="119" t="s">
        <v>225</v>
      </c>
      <c r="B73" s="119">
        <v>10.5</v>
      </c>
      <c r="C73" s="68" t="s">
        <v>226</v>
      </c>
      <c r="D73" s="12">
        <v>7</v>
      </c>
      <c r="E73" s="12">
        <v>5</v>
      </c>
      <c r="F73" s="121"/>
      <c r="G73" s="121"/>
      <c r="H73" s="121"/>
      <c r="I73" s="68"/>
      <c r="J73" s="68"/>
      <c r="K73" s="56">
        <f t="shared" si="2"/>
        <v>12</v>
      </c>
    </row>
    <row r="74" s="3" customFormat="1" ht="21" customHeight="1" spans="1:11">
      <c r="A74" s="119"/>
      <c r="B74" s="119"/>
      <c r="C74" s="68" t="s">
        <v>228</v>
      </c>
      <c r="D74" s="12">
        <v>0</v>
      </c>
      <c r="E74" s="12">
        <v>15</v>
      </c>
      <c r="F74" s="121"/>
      <c r="G74" s="121"/>
      <c r="H74" s="121"/>
      <c r="I74" s="68"/>
      <c r="J74" s="68"/>
      <c r="K74" s="56">
        <f t="shared" si="2"/>
        <v>15</v>
      </c>
    </row>
    <row r="75" s="3" customFormat="1" ht="21" customHeight="1" spans="1:11">
      <c r="A75" s="119"/>
      <c r="B75" s="119"/>
      <c r="C75" s="68" t="s">
        <v>227</v>
      </c>
      <c r="D75" s="12">
        <v>7</v>
      </c>
      <c r="E75" s="12">
        <v>15</v>
      </c>
      <c r="F75" s="121"/>
      <c r="G75" s="121"/>
      <c r="H75" s="121"/>
      <c r="I75" s="68"/>
      <c r="J75" s="68"/>
      <c r="K75" s="56">
        <f t="shared" si="2"/>
        <v>22</v>
      </c>
    </row>
    <row r="76" s="3" customFormat="1" ht="21" customHeight="1" spans="1:11">
      <c r="A76" s="119"/>
      <c r="B76" s="119"/>
      <c r="C76" s="68" t="s">
        <v>229</v>
      </c>
      <c r="D76" s="12">
        <v>7</v>
      </c>
      <c r="E76" s="12">
        <v>5</v>
      </c>
      <c r="F76" s="121"/>
      <c r="G76" s="121"/>
      <c r="H76" s="121"/>
      <c r="I76" s="68"/>
      <c r="J76" s="141"/>
      <c r="K76" s="56">
        <f t="shared" si="2"/>
        <v>12</v>
      </c>
    </row>
    <row r="77" s="3" customFormat="1" ht="21" customHeight="1" spans="1:11">
      <c r="A77" s="119"/>
      <c r="B77" s="119"/>
      <c r="C77" s="68" t="s">
        <v>240</v>
      </c>
      <c r="D77" s="12">
        <v>7</v>
      </c>
      <c r="E77" s="12">
        <v>0</v>
      </c>
      <c r="F77" s="121"/>
      <c r="G77" s="121"/>
      <c r="H77" s="121"/>
      <c r="I77" s="68"/>
      <c r="J77" s="141"/>
      <c r="K77" s="56">
        <f t="shared" si="2"/>
        <v>7</v>
      </c>
    </row>
    <row r="78" s="3" customFormat="1" ht="21" customHeight="1" spans="1:11">
      <c r="A78" s="121" t="s">
        <v>230</v>
      </c>
      <c r="B78" s="121">
        <v>10.5</v>
      </c>
      <c r="C78" s="68" t="s">
        <v>231</v>
      </c>
      <c r="D78" s="12">
        <v>10.5</v>
      </c>
      <c r="E78" s="12">
        <v>0</v>
      </c>
      <c r="F78" s="68"/>
      <c r="G78" s="68"/>
      <c r="H78" s="68"/>
      <c r="I78" s="68"/>
      <c r="J78" s="141"/>
      <c r="K78" s="56">
        <f t="shared" si="2"/>
        <v>10.5</v>
      </c>
    </row>
    <row r="79" s="3" customFormat="1" ht="21" customHeight="1" spans="1:11">
      <c r="A79" s="121" t="s">
        <v>232</v>
      </c>
      <c r="B79" s="121">
        <v>12</v>
      </c>
      <c r="C79" s="121" t="s">
        <v>233</v>
      </c>
      <c r="D79" s="12">
        <v>12</v>
      </c>
      <c r="E79" s="12">
        <v>0</v>
      </c>
      <c r="F79" s="121"/>
      <c r="G79" s="121"/>
      <c r="H79" s="121"/>
      <c r="I79" s="121"/>
      <c r="J79" s="139"/>
      <c r="K79" s="86">
        <f t="shared" si="2"/>
        <v>12</v>
      </c>
    </row>
    <row r="80" s="3" customFormat="1" ht="21" customHeight="1" spans="1:11">
      <c r="A80" s="61"/>
      <c r="B80" s="87"/>
      <c r="C80" s="87"/>
      <c r="D80" s="87"/>
      <c r="E80" s="87"/>
      <c r="F80" s="87"/>
      <c r="G80" s="87"/>
      <c r="H80" s="87"/>
      <c r="I80" s="87"/>
      <c r="J80" s="87"/>
      <c r="K80" s="145">
        <f>SUM(K59:K79)</f>
        <v>279.5</v>
      </c>
    </row>
    <row r="81" s="103" customFormat="1" ht="16.5"/>
    <row r="82" s="103" customFormat="1" ht="16.5"/>
    <row r="83" s="3" customFormat="1" ht="21" customHeight="1" spans="1:11">
      <c r="A83" s="133" t="s">
        <v>371</v>
      </c>
      <c r="B83" s="133"/>
      <c r="C83" s="133"/>
      <c r="D83" s="133"/>
      <c r="E83" s="133"/>
      <c r="F83" s="133"/>
      <c r="G83" s="133"/>
      <c r="H83" s="133"/>
      <c r="I83" s="133"/>
      <c r="J83" s="133"/>
      <c r="K83" s="133"/>
    </row>
    <row r="84" s="3" customFormat="1" ht="21" customHeight="1" spans="1:11">
      <c r="A84" s="134" t="s">
        <v>235</v>
      </c>
      <c r="B84" s="134"/>
      <c r="C84" s="134"/>
      <c r="D84" s="134" t="s">
        <v>373</v>
      </c>
      <c r="E84" s="134"/>
      <c r="F84" s="134"/>
      <c r="G84" s="134"/>
      <c r="H84" s="134"/>
      <c r="I84" s="134"/>
      <c r="J84" s="134"/>
      <c r="K84" s="134"/>
    </row>
    <row r="85" s="3" customFormat="1" ht="21" customHeight="1" spans="1:11">
      <c r="A85" s="135" t="s">
        <v>200</v>
      </c>
      <c r="B85" s="135" t="s">
        <v>201</v>
      </c>
      <c r="C85" s="136" t="s">
        <v>202</v>
      </c>
      <c r="D85" s="137" t="s">
        <v>6</v>
      </c>
      <c r="E85" s="137" t="s">
        <v>6</v>
      </c>
      <c r="F85" s="135" t="s">
        <v>6</v>
      </c>
      <c r="G85" s="135" t="s">
        <v>6</v>
      </c>
      <c r="H85" s="135" t="s">
        <v>6</v>
      </c>
      <c r="I85" s="135" t="s">
        <v>6</v>
      </c>
      <c r="J85" s="135" t="s">
        <v>203</v>
      </c>
      <c r="K85" s="135" t="s">
        <v>204</v>
      </c>
    </row>
    <row r="86" s="3" customFormat="1" ht="21" customHeight="1" spans="1:11">
      <c r="A86" s="68" t="s">
        <v>205</v>
      </c>
      <c r="B86" s="68">
        <v>12</v>
      </c>
      <c r="C86" s="113" t="s">
        <v>206</v>
      </c>
      <c r="D86" s="12">
        <v>0</v>
      </c>
      <c r="E86" s="12"/>
      <c r="F86" s="121"/>
      <c r="G86" s="121"/>
      <c r="H86" s="121"/>
      <c r="I86" s="68"/>
      <c r="J86" s="68"/>
      <c r="K86" s="56">
        <f>SUM(D86:J86)</f>
        <v>0</v>
      </c>
    </row>
    <row r="87" s="3" customFormat="1" ht="21" customHeight="1" spans="1:11">
      <c r="A87" s="116" t="s">
        <v>207</v>
      </c>
      <c r="B87" s="68">
        <v>11.5</v>
      </c>
      <c r="C87" s="117" t="s">
        <v>208</v>
      </c>
      <c r="D87" s="12">
        <v>0</v>
      </c>
      <c r="E87" s="12"/>
      <c r="F87" s="121"/>
      <c r="G87" s="121"/>
      <c r="H87" s="121"/>
      <c r="I87" s="68"/>
      <c r="J87" s="68"/>
      <c r="K87" s="56">
        <f>SUM(D87:J87)</f>
        <v>0</v>
      </c>
    </row>
    <row r="88" s="3" customFormat="1" ht="21" customHeight="1" spans="1:11">
      <c r="A88" s="116"/>
      <c r="B88" s="68"/>
      <c r="C88" s="117" t="s">
        <v>210</v>
      </c>
      <c r="D88" s="12">
        <v>14</v>
      </c>
      <c r="E88" s="12"/>
      <c r="F88" s="121"/>
      <c r="G88" s="121"/>
      <c r="H88" s="121"/>
      <c r="I88" s="68"/>
      <c r="J88" s="68"/>
      <c r="K88" s="56">
        <f t="shared" ref="K88:K106" si="3">SUM(D88:J88)</f>
        <v>14</v>
      </c>
    </row>
    <row r="89" s="3" customFormat="1" ht="21" customHeight="1" spans="1:11">
      <c r="A89" s="79" t="s">
        <v>237</v>
      </c>
      <c r="B89" s="56">
        <v>11.5</v>
      </c>
      <c r="C89" s="61" t="s">
        <v>212</v>
      </c>
      <c r="D89" s="12">
        <v>10</v>
      </c>
      <c r="E89" s="12"/>
      <c r="F89" s="121"/>
      <c r="G89" s="121"/>
      <c r="H89" s="121"/>
      <c r="I89" s="68"/>
      <c r="J89" s="68"/>
      <c r="K89" s="56">
        <f t="shared" si="3"/>
        <v>10</v>
      </c>
    </row>
    <row r="90" s="3" customFormat="1" ht="21" customHeight="1" spans="1:11">
      <c r="A90" s="80"/>
      <c r="B90" s="56"/>
      <c r="C90" s="3" t="s">
        <v>215</v>
      </c>
      <c r="D90" s="12">
        <v>11.5</v>
      </c>
      <c r="E90" s="12"/>
      <c r="F90" s="121"/>
      <c r="G90" s="121"/>
      <c r="H90" s="121"/>
      <c r="I90" s="68"/>
      <c r="J90" s="68"/>
      <c r="K90" s="56">
        <f t="shared" si="3"/>
        <v>11.5</v>
      </c>
    </row>
    <row r="91" s="3" customFormat="1" ht="21" customHeight="1" spans="1:11">
      <c r="A91" s="81" t="s">
        <v>238</v>
      </c>
      <c r="B91" s="56"/>
      <c r="C91" s="61" t="s">
        <v>213</v>
      </c>
      <c r="D91" s="12">
        <v>11.5</v>
      </c>
      <c r="E91" s="12"/>
      <c r="F91" s="121"/>
      <c r="G91" s="121"/>
      <c r="H91" s="121"/>
      <c r="I91" s="68"/>
      <c r="J91" s="68"/>
      <c r="K91" s="56">
        <f t="shared" si="3"/>
        <v>11.5</v>
      </c>
    </row>
    <row r="92" s="3" customFormat="1" ht="21" customHeight="1" spans="1:11">
      <c r="A92" s="82"/>
      <c r="B92" s="56"/>
      <c r="C92" s="61" t="s">
        <v>216</v>
      </c>
      <c r="D92" s="12">
        <v>11.5</v>
      </c>
      <c r="E92" s="12"/>
      <c r="F92" s="121"/>
      <c r="G92" s="121"/>
      <c r="H92" s="121"/>
      <c r="I92" s="121"/>
      <c r="J92" s="68"/>
      <c r="K92" s="56">
        <f t="shared" si="3"/>
        <v>11.5</v>
      </c>
    </row>
    <row r="93" s="3" customFormat="1" ht="21" customHeight="1" spans="1:11">
      <c r="A93" s="84" t="s">
        <v>239</v>
      </c>
      <c r="B93" s="56"/>
      <c r="C93" s="56" t="s">
        <v>214</v>
      </c>
      <c r="D93" s="12">
        <v>11.5</v>
      </c>
      <c r="E93" s="12"/>
      <c r="F93" s="121"/>
      <c r="G93" s="121"/>
      <c r="H93" s="121"/>
      <c r="I93" s="121"/>
      <c r="J93" s="68"/>
      <c r="K93" s="56">
        <f t="shared" si="3"/>
        <v>11.5</v>
      </c>
    </row>
    <row r="94" s="3" customFormat="1" ht="21" customHeight="1" spans="1:11">
      <c r="A94" s="68" t="s">
        <v>217</v>
      </c>
      <c r="B94" s="68">
        <v>10.5</v>
      </c>
      <c r="C94" s="68" t="s">
        <v>218</v>
      </c>
      <c r="D94" s="12">
        <v>10</v>
      </c>
      <c r="E94" s="12"/>
      <c r="F94" s="121"/>
      <c r="G94" s="121"/>
      <c r="H94" s="121"/>
      <c r="I94" s="68"/>
      <c r="J94" s="68"/>
      <c r="K94" s="56">
        <f t="shared" si="3"/>
        <v>10</v>
      </c>
    </row>
    <row r="95" s="3" customFormat="1" ht="21" customHeight="1" spans="1:11">
      <c r="A95" s="68"/>
      <c r="B95" s="68"/>
      <c r="C95" s="68" t="s">
        <v>219</v>
      </c>
      <c r="D95" s="12">
        <v>10</v>
      </c>
      <c r="E95" s="12"/>
      <c r="F95" s="121"/>
      <c r="G95" s="121"/>
      <c r="H95" s="121"/>
      <c r="I95" s="68"/>
      <c r="J95" s="68"/>
      <c r="K95" s="56">
        <f t="shared" si="3"/>
        <v>10</v>
      </c>
    </row>
    <row r="96" s="3" customFormat="1" ht="21" customHeight="1" spans="1:11">
      <c r="A96" s="68" t="s">
        <v>220</v>
      </c>
      <c r="B96" s="68">
        <v>11.5</v>
      </c>
      <c r="C96" s="117" t="s">
        <v>221</v>
      </c>
      <c r="D96" s="12">
        <v>13</v>
      </c>
      <c r="E96" s="12"/>
      <c r="F96" s="121"/>
      <c r="G96" s="121"/>
      <c r="H96" s="121"/>
      <c r="I96" s="68"/>
      <c r="J96" s="68"/>
      <c r="K96" s="56">
        <f t="shared" si="3"/>
        <v>13</v>
      </c>
    </row>
    <row r="97" s="3" customFormat="1" ht="21" customHeight="1" spans="1:11">
      <c r="A97" s="68"/>
      <c r="B97" s="68"/>
      <c r="C97" s="117" t="s">
        <v>222</v>
      </c>
      <c r="D97" s="12">
        <v>11</v>
      </c>
      <c r="E97" s="12"/>
      <c r="F97" s="121"/>
      <c r="G97" s="121"/>
      <c r="H97" s="121"/>
      <c r="I97" s="68"/>
      <c r="J97" s="68"/>
      <c r="K97" s="56">
        <f t="shared" si="3"/>
        <v>11</v>
      </c>
    </row>
    <row r="98" s="3" customFormat="1" ht="21" customHeight="1" spans="1:11">
      <c r="A98" s="68"/>
      <c r="B98" s="68"/>
      <c r="C98" s="117" t="s">
        <v>223</v>
      </c>
      <c r="D98" s="12">
        <v>5</v>
      </c>
      <c r="E98" s="12"/>
      <c r="F98" s="121"/>
      <c r="G98" s="121"/>
      <c r="H98" s="121"/>
      <c r="I98" s="68"/>
      <c r="J98" s="68"/>
      <c r="K98" s="56">
        <f t="shared" si="3"/>
        <v>5</v>
      </c>
    </row>
    <row r="99" s="3" customFormat="1" ht="21" customHeight="1" spans="1:11">
      <c r="A99" s="68"/>
      <c r="B99" s="68"/>
      <c r="C99" s="117" t="s">
        <v>224</v>
      </c>
      <c r="D99" s="12">
        <v>93</v>
      </c>
      <c r="E99" s="12"/>
      <c r="F99" s="121"/>
      <c r="G99" s="121"/>
      <c r="H99" s="121"/>
      <c r="I99" s="68"/>
      <c r="J99" s="68"/>
      <c r="K99" s="56">
        <f t="shared" si="3"/>
        <v>93</v>
      </c>
    </row>
    <row r="100" s="3" customFormat="1" ht="21" customHeight="1" spans="1:11">
      <c r="A100" s="119" t="s">
        <v>225</v>
      </c>
      <c r="B100" s="119">
        <v>10.5</v>
      </c>
      <c r="C100" s="68" t="s">
        <v>226</v>
      </c>
      <c r="D100" s="12">
        <v>14</v>
      </c>
      <c r="E100" s="12"/>
      <c r="F100" s="121"/>
      <c r="G100" s="121"/>
      <c r="H100" s="121"/>
      <c r="I100" s="68"/>
      <c r="J100" s="68"/>
      <c r="K100" s="56">
        <f t="shared" si="3"/>
        <v>14</v>
      </c>
    </row>
    <row r="101" s="3" customFormat="1" ht="21" customHeight="1" spans="1:11">
      <c r="A101" s="119"/>
      <c r="B101" s="119"/>
      <c r="C101" s="68" t="s">
        <v>228</v>
      </c>
      <c r="D101" s="12">
        <v>10</v>
      </c>
      <c r="E101" s="12"/>
      <c r="F101" s="121"/>
      <c r="G101" s="121"/>
      <c r="H101" s="121"/>
      <c r="I101" s="68"/>
      <c r="J101" s="68"/>
      <c r="K101" s="56">
        <f t="shared" si="3"/>
        <v>10</v>
      </c>
    </row>
    <row r="102" s="3" customFormat="1" ht="21" customHeight="1" spans="1:11">
      <c r="A102" s="119"/>
      <c r="B102" s="119"/>
      <c r="C102" s="68" t="s">
        <v>227</v>
      </c>
      <c r="D102" s="12">
        <v>10</v>
      </c>
      <c r="E102" s="12"/>
      <c r="F102" s="121"/>
      <c r="G102" s="121"/>
      <c r="H102" s="121"/>
      <c r="I102" s="68"/>
      <c r="J102" s="68"/>
      <c r="K102" s="56">
        <f t="shared" si="3"/>
        <v>10</v>
      </c>
    </row>
    <row r="103" s="3" customFormat="1" ht="21" customHeight="1" spans="1:11">
      <c r="A103" s="119"/>
      <c r="B103" s="119"/>
      <c r="C103" s="68" t="s">
        <v>229</v>
      </c>
      <c r="D103" s="12">
        <v>14</v>
      </c>
      <c r="E103" s="12"/>
      <c r="F103" s="121"/>
      <c r="G103" s="121"/>
      <c r="H103" s="121"/>
      <c r="I103" s="68"/>
      <c r="J103" s="141"/>
      <c r="K103" s="56">
        <f t="shared" si="3"/>
        <v>14</v>
      </c>
    </row>
    <row r="104" s="3" customFormat="1" ht="21" customHeight="1" spans="1:11">
      <c r="A104" s="119"/>
      <c r="B104" s="119"/>
      <c r="C104" s="68" t="s">
        <v>240</v>
      </c>
      <c r="D104" s="12">
        <v>14</v>
      </c>
      <c r="E104" s="12"/>
      <c r="F104" s="121"/>
      <c r="G104" s="121"/>
      <c r="H104" s="121"/>
      <c r="I104" s="68"/>
      <c r="J104" s="141"/>
      <c r="K104" s="56">
        <f t="shared" si="3"/>
        <v>14</v>
      </c>
    </row>
    <row r="105" s="3" customFormat="1" ht="21" customHeight="1" spans="1:11">
      <c r="A105" s="121" t="s">
        <v>230</v>
      </c>
      <c r="B105" s="121">
        <v>10.5</v>
      </c>
      <c r="C105" s="68" t="s">
        <v>231</v>
      </c>
      <c r="D105" s="12">
        <v>10.5</v>
      </c>
      <c r="E105" s="12"/>
      <c r="F105" s="68"/>
      <c r="G105" s="68"/>
      <c r="H105" s="68"/>
      <c r="I105" s="68"/>
      <c r="J105" s="141"/>
      <c r="K105" s="56">
        <f t="shared" si="3"/>
        <v>10.5</v>
      </c>
    </row>
    <row r="106" s="3" customFormat="1" ht="21" customHeight="1" spans="1:11">
      <c r="A106" s="121" t="s">
        <v>232</v>
      </c>
      <c r="B106" s="121">
        <v>12</v>
      </c>
      <c r="C106" s="121" t="s">
        <v>233</v>
      </c>
      <c r="D106" s="12">
        <v>12</v>
      </c>
      <c r="E106" s="12"/>
      <c r="F106" s="121"/>
      <c r="G106" s="121"/>
      <c r="H106" s="121"/>
      <c r="I106" s="121"/>
      <c r="J106" s="139"/>
      <c r="K106" s="86">
        <f t="shared" si="3"/>
        <v>12</v>
      </c>
    </row>
    <row r="107" s="3" customFormat="1" ht="21" customHeight="1" spans="1:11">
      <c r="A107" s="61"/>
      <c r="B107" s="87"/>
      <c r="C107" s="87"/>
      <c r="D107" s="87"/>
      <c r="E107" s="87"/>
      <c r="F107" s="87"/>
      <c r="G107" s="87"/>
      <c r="H107" s="87"/>
      <c r="I107" s="87"/>
      <c r="J107" s="87"/>
      <c r="K107" s="145">
        <f>SUM(K86:K106)</f>
        <v>296.5</v>
      </c>
    </row>
    <row r="110" s="1" customFormat="1" ht="21" customHeight="1" spans="1:11">
      <c r="A110" s="4" t="s">
        <v>371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="1" customFormat="1" ht="21" customHeight="1" spans="1:11">
      <c r="A111" s="5" t="s">
        <v>235</v>
      </c>
      <c r="B111" s="5"/>
      <c r="C111" s="5"/>
      <c r="D111" s="5" t="s">
        <v>374</v>
      </c>
      <c r="E111" s="5"/>
      <c r="F111" s="5"/>
      <c r="G111" s="5"/>
      <c r="H111" s="5"/>
      <c r="I111" s="5"/>
      <c r="J111" s="5"/>
      <c r="K111" s="5"/>
    </row>
    <row r="112" s="1" customFormat="1" ht="21" customHeight="1" spans="1:11">
      <c r="A112" s="6" t="s">
        <v>200</v>
      </c>
      <c r="B112" s="6" t="s">
        <v>201</v>
      </c>
      <c r="C112" s="7" t="s">
        <v>202</v>
      </c>
      <c r="D112" s="8" t="s">
        <v>6</v>
      </c>
      <c r="E112" s="8" t="s">
        <v>6</v>
      </c>
      <c r="F112" s="6" t="s">
        <v>6</v>
      </c>
      <c r="G112" s="6" t="s">
        <v>6</v>
      </c>
      <c r="H112" s="6" t="s">
        <v>6</v>
      </c>
      <c r="I112" s="6" t="s">
        <v>6</v>
      </c>
      <c r="J112" s="6" t="s">
        <v>203</v>
      </c>
      <c r="K112" s="6" t="s">
        <v>204</v>
      </c>
    </row>
    <row r="113" s="1" customFormat="1" ht="21" customHeight="1" spans="1:11">
      <c r="A113" s="9" t="s">
        <v>205</v>
      </c>
      <c r="B113" s="9">
        <v>12</v>
      </c>
      <c r="C113" s="10" t="s">
        <v>206</v>
      </c>
      <c r="D113" s="11">
        <v>12</v>
      </c>
      <c r="E113" s="11">
        <v>12</v>
      </c>
      <c r="F113" s="11"/>
      <c r="G113" s="11"/>
      <c r="H113" s="26"/>
      <c r="I113" s="9"/>
      <c r="J113" s="9"/>
      <c r="K113" s="13">
        <f t="shared" ref="K113:K133" si="4">SUM(D113:J113)</f>
        <v>24</v>
      </c>
    </row>
    <row r="114" s="1" customFormat="1" ht="21" customHeight="1" spans="1:11">
      <c r="A114" s="14" t="s">
        <v>207</v>
      </c>
      <c r="B114" s="9">
        <v>11.5</v>
      </c>
      <c r="C114" s="15" t="s">
        <v>208</v>
      </c>
      <c r="D114" s="11">
        <v>30</v>
      </c>
      <c r="E114" s="11">
        <v>30</v>
      </c>
      <c r="F114" s="11"/>
      <c r="G114" s="11"/>
      <c r="H114" s="26"/>
      <c r="I114" s="9"/>
      <c r="J114" s="9"/>
      <c r="K114" s="13">
        <f t="shared" si="4"/>
        <v>60</v>
      </c>
    </row>
    <row r="115" s="1" customFormat="1" ht="21" customHeight="1" spans="1:11">
      <c r="A115" s="14"/>
      <c r="B115" s="9"/>
      <c r="C115" s="15" t="s">
        <v>210</v>
      </c>
      <c r="D115" s="11">
        <v>26.5</v>
      </c>
      <c r="E115" s="11">
        <v>26.5</v>
      </c>
      <c r="F115" s="11"/>
      <c r="G115" s="11"/>
      <c r="H115" s="26"/>
      <c r="I115" s="9"/>
      <c r="J115" s="9"/>
      <c r="K115" s="13">
        <f t="shared" si="4"/>
        <v>53</v>
      </c>
    </row>
    <row r="116" s="1" customFormat="1" ht="21" customHeight="1" spans="1:11">
      <c r="A116" s="16" t="s">
        <v>237</v>
      </c>
      <c r="B116" s="13">
        <v>11.5</v>
      </c>
      <c r="C116" s="17" t="s">
        <v>212</v>
      </c>
      <c r="D116" s="11">
        <v>23</v>
      </c>
      <c r="E116" s="11">
        <v>11.5</v>
      </c>
      <c r="F116" s="11"/>
      <c r="G116" s="11"/>
      <c r="H116" s="26"/>
      <c r="I116" s="9"/>
      <c r="J116" s="9"/>
      <c r="K116" s="13">
        <f t="shared" si="4"/>
        <v>34.5</v>
      </c>
    </row>
    <row r="117" s="1" customFormat="1" ht="21" customHeight="1" spans="1:11">
      <c r="A117" s="18"/>
      <c r="B117" s="13"/>
      <c r="C117" s="1" t="s">
        <v>215</v>
      </c>
      <c r="D117" s="11">
        <v>23</v>
      </c>
      <c r="E117" s="11">
        <v>23</v>
      </c>
      <c r="F117" s="11"/>
      <c r="G117" s="11"/>
      <c r="H117" s="26"/>
      <c r="I117" s="9"/>
      <c r="J117" s="9"/>
      <c r="K117" s="13">
        <f t="shared" si="4"/>
        <v>46</v>
      </c>
    </row>
    <row r="118" s="1" customFormat="1" ht="21" customHeight="1" spans="1:11">
      <c r="A118" s="19" t="s">
        <v>238</v>
      </c>
      <c r="B118" s="13"/>
      <c r="C118" s="17" t="s">
        <v>213</v>
      </c>
      <c r="D118" s="11">
        <v>23</v>
      </c>
      <c r="E118" s="11">
        <v>23</v>
      </c>
      <c r="F118" s="11"/>
      <c r="G118" s="11"/>
      <c r="H118" s="26"/>
      <c r="I118" s="9"/>
      <c r="J118" s="9"/>
      <c r="K118" s="13">
        <f t="shared" si="4"/>
        <v>46</v>
      </c>
    </row>
    <row r="119" s="1" customFormat="1" ht="21" customHeight="1" spans="1:11">
      <c r="A119" s="20"/>
      <c r="B119" s="13"/>
      <c r="C119" s="17" t="s">
        <v>216</v>
      </c>
      <c r="D119" s="11">
        <v>23</v>
      </c>
      <c r="E119" s="11">
        <v>23</v>
      </c>
      <c r="F119" s="11"/>
      <c r="G119" s="11"/>
      <c r="H119" s="26"/>
      <c r="I119" s="26"/>
      <c r="J119" s="9"/>
      <c r="K119" s="13">
        <f t="shared" si="4"/>
        <v>46</v>
      </c>
    </row>
    <row r="120" s="1" customFormat="1" ht="21" customHeight="1" spans="1:11">
      <c r="A120" s="21" t="s">
        <v>239</v>
      </c>
      <c r="B120" s="13"/>
      <c r="C120" s="13" t="s">
        <v>214</v>
      </c>
      <c r="D120" s="11">
        <v>21.5</v>
      </c>
      <c r="E120" s="11">
        <v>11.5</v>
      </c>
      <c r="F120" s="11"/>
      <c r="G120" s="11"/>
      <c r="H120" s="26"/>
      <c r="I120" s="26"/>
      <c r="J120" s="9"/>
      <c r="K120" s="13">
        <f t="shared" si="4"/>
        <v>33</v>
      </c>
    </row>
    <row r="121" s="1" customFormat="1" ht="21" customHeight="1" spans="1:11">
      <c r="A121" s="9" t="s">
        <v>217</v>
      </c>
      <c r="B121" s="9">
        <v>10.5</v>
      </c>
      <c r="C121" s="9" t="s">
        <v>218</v>
      </c>
      <c r="D121" s="22">
        <v>21</v>
      </c>
      <c r="E121" s="22">
        <v>20</v>
      </c>
      <c r="F121" s="22"/>
      <c r="G121" s="22"/>
      <c r="H121" s="26"/>
      <c r="I121" s="9"/>
      <c r="J121" s="9"/>
      <c r="K121" s="13">
        <f t="shared" si="4"/>
        <v>41</v>
      </c>
    </row>
    <row r="122" s="1" customFormat="1" ht="21" customHeight="1" spans="1:11">
      <c r="A122" s="9"/>
      <c r="B122" s="9"/>
      <c r="C122" s="9" t="s">
        <v>219</v>
      </c>
      <c r="D122" s="11">
        <v>21</v>
      </c>
      <c r="E122" s="11">
        <v>20</v>
      </c>
      <c r="F122" s="11"/>
      <c r="G122" s="11"/>
      <c r="H122" s="26"/>
      <c r="I122" s="9"/>
      <c r="J122" s="9"/>
      <c r="K122" s="13">
        <f t="shared" si="4"/>
        <v>41</v>
      </c>
    </row>
    <row r="123" s="1" customFormat="1" ht="21" customHeight="1" spans="1:11">
      <c r="A123" s="9" t="s">
        <v>220</v>
      </c>
      <c r="B123" s="9">
        <v>11.5</v>
      </c>
      <c r="C123" s="15" t="s">
        <v>221</v>
      </c>
      <c r="D123" s="11">
        <v>28</v>
      </c>
      <c r="E123" s="11">
        <v>28</v>
      </c>
      <c r="F123" s="11"/>
      <c r="G123" s="11"/>
      <c r="H123" s="26"/>
      <c r="I123" s="9"/>
      <c r="J123" s="9"/>
      <c r="K123" s="13">
        <f t="shared" si="4"/>
        <v>56</v>
      </c>
    </row>
    <row r="124" s="1" customFormat="1" ht="21" customHeight="1" spans="1:11">
      <c r="A124" s="9"/>
      <c r="B124" s="9"/>
      <c r="C124" s="15" t="s">
        <v>222</v>
      </c>
      <c r="D124" s="11">
        <v>18</v>
      </c>
      <c r="E124" s="11">
        <v>18</v>
      </c>
      <c r="F124" s="11"/>
      <c r="G124" s="11"/>
      <c r="H124" s="26"/>
      <c r="I124" s="9"/>
      <c r="J124" s="9"/>
      <c r="K124" s="13">
        <f t="shared" si="4"/>
        <v>36</v>
      </c>
    </row>
    <row r="125" s="1" customFormat="1" ht="21" customHeight="1" spans="1:11">
      <c r="A125" s="9"/>
      <c r="B125" s="9"/>
      <c r="C125" s="15" t="s">
        <v>223</v>
      </c>
      <c r="D125" s="23">
        <v>41</v>
      </c>
      <c r="E125" s="23">
        <v>41</v>
      </c>
      <c r="F125" s="23"/>
      <c r="G125" s="23"/>
      <c r="H125" s="26"/>
      <c r="I125" s="9"/>
      <c r="J125" s="9"/>
      <c r="K125" s="13">
        <f t="shared" si="4"/>
        <v>82</v>
      </c>
    </row>
    <row r="126" s="1" customFormat="1" ht="21" customHeight="1" spans="1:11">
      <c r="A126" s="9"/>
      <c r="B126" s="9"/>
      <c r="C126" s="15" t="s">
        <v>224</v>
      </c>
      <c r="D126" s="24">
        <v>155.7</v>
      </c>
      <c r="E126" s="24">
        <v>157</v>
      </c>
      <c r="F126" s="24"/>
      <c r="G126" s="24"/>
      <c r="H126" s="26"/>
      <c r="I126" s="9"/>
      <c r="J126" s="9"/>
      <c r="K126" s="13">
        <f t="shared" si="4"/>
        <v>312.7</v>
      </c>
    </row>
    <row r="127" s="1" customFormat="1" ht="21" customHeight="1" spans="1:11">
      <c r="A127" s="25" t="s">
        <v>225</v>
      </c>
      <c r="B127" s="25">
        <v>10.5</v>
      </c>
      <c r="C127" s="9" t="s">
        <v>226</v>
      </c>
      <c r="D127" s="11">
        <v>25</v>
      </c>
      <c r="E127" s="11">
        <v>25</v>
      </c>
      <c r="F127" s="11"/>
      <c r="G127" s="11"/>
      <c r="H127" s="26"/>
      <c r="I127" s="9"/>
      <c r="J127" s="9"/>
      <c r="K127" s="13">
        <f t="shared" si="4"/>
        <v>50</v>
      </c>
    </row>
    <row r="128" s="1" customFormat="1" ht="21" customHeight="1" spans="1:11">
      <c r="A128" s="25"/>
      <c r="B128" s="25"/>
      <c r="C128" s="9" t="s">
        <v>228</v>
      </c>
      <c r="D128" s="11">
        <v>50</v>
      </c>
      <c r="E128" s="11">
        <v>50</v>
      </c>
      <c r="F128" s="11"/>
      <c r="G128" s="11"/>
      <c r="H128" s="26"/>
      <c r="I128" s="9"/>
      <c r="J128" s="9"/>
      <c r="K128" s="13">
        <f t="shared" si="4"/>
        <v>100</v>
      </c>
    </row>
    <row r="129" s="1" customFormat="1" ht="21" customHeight="1" spans="1:11">
      <c r="A129" s="25"/>
      <c r="B129" s="25"/>
      <c r="C129" s="9" t="s">
        <v>227</v>
      </c>
      <c r="D129" s="11">
        <v>24.6</v>
      </c>
      <c r="E129" s="11">
        <v>24.5</v>
      </c>
      <c r="F129" s="11"/>
      <c r="G129" s="11"/>
      <c r="H129" s="26"/>
      <c r="I129" s="9"/>
      <c r="J129" s="9"/>
      <c r="K129" s="13">
        <f t="shared" si="4"/>
        <v>49.1</v>
      </c>
    </row>
    <row r="130" s="1" customFormat="1" ht="21" customHeight="1" spans="1:11">
      <c r="A130" s="25"/>
      <c r="B130" s="25"/>
      <c r="C130" s="9" t="s">
        <v>229</v>
      </c>
      <c r="D130" s="11">
        <v>24.6</v>
      </c>
      <c r="E130" s="11">
        <v>24.5</v>
      </c>
      <c r="F130" s="11"/>
      <c r="G130" s="11"/>
      <c r="H130" s="26"/>
      <c r="I130" s="9"/>
      <c r="J130" s="106"/>
      <c r="K130" s="13">
        <f t="shared" si="4"/>
        <v>49.1</v>
      </c>
    </row>
    <row r="131" s="1" customFormat="1" ht="21" customHeight="1" spans="1:11">
      <c r="A131" s="25"/>
      <c r="B131" s="25"/>
      <c r="C131" s="9" t="s">
        <v>240</v>
      </c>
      <c r="D131" s="11">
        <v>24.6</v>
      </c>
      <c r="E131" s="11">
        <v>24.5</v>
      </c>
      <c r="F131" s="11"/>
      <c r="G131" s="11"/>
      <c r="H131" s="26"/>
      <c r="I131" s="9"/>
      <c r="J131" s="106"/>
      <c r="K131" s="13">
        <f t="shared" si="4"/>
        <v>49.1</v>
      </c>
    </row>
    <row r="132" s="1" customFormat="1" ht="21" customHeight="1" spans="1:11">
      <c r="A132" s="26" t="s">
        <v>230</v>
      </c>
      <c r="B132" s="26">
        <v>10.5</v>
      </c>
      <c r="C132" s="9" t="s">
        <v>231</v>
      </c>
      <c r="D132" s="11">
        <v>10.5</v>
      </c>
      <c r="E132" s="11">
        <v>10.5</v>
      </c>
      <c r="F132" s="11"/>
      <c r="G132" s="11"/>
      <c r="H132" s="9"/>
      <c r="I132" s="9"/>
      <c r="J132" s="106"/>
      <c r="K132" s="13">
        <f t="shared" si="4"/>
        <v>21</v>
      </c>
    </row>
    <row r="133" s="1" customFormat="1" ht="21" customHeight="1" spans="1:11">
      <c r="A133" s="26" t="s">
        <v>232</v>
      </c>
      <c r="B133" s="26">
        <v>12</v>
      </c>
      <c r="C133" s="26" t="s">
        <v>233</v>
      </c>
      <c r="D133" s="22">
        <v>12</v>
      </c>
      <c r="E133" s="22">
        <v>12</v>
      </c>
      <c r="F133" s="89"/>
      <c r="G133" s="146"/>
      <c r="H133" s="26"/>
      <c r="I133" s="26"/>
      <c r="J133" s="107"/>
      <c r="K133" s="28">
        <f t="shared" si="4"/>
        <v>24</v>
      </c>
    </row>
    <row r="134" s="1" customFormat="1" ht="21" customHeight="1" spans="1:11">
      <c r="A134" s="17"/>
      <c r="B134" s="29"/>
      <c r="C134" s="29"/>
      <c r="D134" s="30"/>
      <c r="E134" s="30"/>
      <c r="F134" s="30"/>
      <c r="G134" s="29"/>
      <c r="H134" s="29"/>
      <c r="I134" s="29"/>
      <c r="J134" s="29"/>
      <c r="K134" s="31">
        <f>SUM(K113:K133)</f>
        <v>1253.5</v>
      </c>
    </row>
    <row r="137" s="2" customFormat="1" ht="21.75" customHeight="1" spans="1:11">
      <c r="A137" s="42" t="s">
        <v>371</v>
      </c>
      <c r="B137" s="42"/>
      <c r="C137" s="42"/>
      <c r="D137" s="42"/>
      <c r="E137" s="42"/>
      <c r="F137" s="42"/>
      <c r="G137" s="42"/>
      <c r="H137" s="42"/>
      <c r="I137" s="42"/>
      <c r="J137" s="42"/>
      <c r="K137" s="42"/>
    </row>
    <row r="138" s="2" customFormat="1" ht="21.75" customHeight="1" spans="1:11">
      <c r="A138" s="35" t="s">
        <v>235</v>
      </c>
      <c r="B138" s="36"/>
      <c r="C138" s="36"/>
      <c r="D138" s="37" t="s">
        <v>375</v>
      </c>
      <c r="E138" s="36"/>
      <c r="F138" s="36"/>
      <c r="G138" s="36"/>
      <c r="H138" s="36"/>
      <c r="I138" s="36"/>
      <c r="J138" s="36"/>
      <c r="K138" s="36"/>
    </row>
    <row r="139" s="2" customFormat="1" ht="21.75" customHeight="1" spans="1:11">
      <c r="A139" s="27" t="s">
        <v>200</v>
      </c>
      <c r="B139" s="27" t="s">
        <v>201</v>
      </c>
      <c r="C139" s="38" t="s">
        <v>202</v>
      </c>
      <c r="D139" s="12" t="s">
        <v>6</v>
      </c>
      <c r="E139" s="12" t="s">
        <v>6</v>
      </c>
      <c r="F139" s="27" t="s">
        <v>6</v>
      </c>
      <c r="G139" s="27" t="s">
        <v>6</v>
      </c>
      <c r="H139" s="27" t="s">
        <v>6</v>
      </c>
      <c r="I139" s="27" t="s">
        <v>6</v>
      </c>
      <c r="J139" s="27" t="s">
        <v>203</v>
      </c>
      <c r="K139" s="27" t="s">
        <v>204</v>
      </c>
    </row>
    <row r="140" s="2" customFormat="1" ht="21.75" customHeight="1" spans="1:11">
      <c r="A140" s="27" t="s">
        <v>205</v>
      </c>
      <c r="B140" s="27">
        <v>12</v>
      </c>
      <c r="C140" s="38" t="s">
        <v>206</v>
      </c>
      <c r="D140" s="11">
        <v>12</v>
      </c>
      <c r="E140" s="11">
        <v>10</v>
      </c>
      <c r="F140" s="11"/>
      <c r="G140" s="11"/>
      <c r="H140" s="12"/>
      <c r="I140" s="27"/>
      <c r="J140" s="27"/>
      <c r="K140" s="27">
        <f t="shared" ref="K140:K160" si="5">SUM(D140:J140)</f>
        <v>22</v>
      </c>
    </row>
    <row r="141" s="2" customFormat="1" ht="21.75" customHeight="1" spans="1:11">
      <c r="A141" s="43" t="s">
        <v>207</v>
      </c>
      <c r="B141" s="12">
        <v>11.5</v>
      </c>
      <c r="C141" s="38" t="s">
        <v>208</v>
      </c>
      <c r="D141" s="11">
        <v>17.5</v>
      </c>
      <c r="E141" s="11">
        <v>15</v>
      </c>
      <c r="F141" s="11"/>
      <c r="G141" s="11"/>
      <c r="H141" s="12"/>
      <c r="I141" s="27"/>
      <c r="J141" s="27"/>
      <c r="K141" s="27">
        <f t="shared" si="5"/>
        <v>32.5</v>
      </c>
    </row>
    <row r="142" s="2" customFormat="1" ht="21.75" customHeight="1" spans="1:11">
      <c r="A142" s="44"/>
      <c r="B142" s="39"/>
      <c r="C142" s="38" t="s">
        <v>210</v>
      </c>
      <c r="D142" s="11">
        <v>17.5</v>
      </c>
      <c r="E142" s="11">
        <v>15</v>
      </c>
      <c r="F142" s="11"/>
      <c r="G142" s="11"/>
      <c r="H142" s="12"/>
      <c r="I142" s="27"/>
      <c r="J142" s="27"/>
      <c r="K142" s="27">
        <f t="shared" si="5"/>
        <v>32.5</v>
      </c>
    </row>
    <row r="143" s="2" customFormat="1" ht="21.75" customHeight="1" spans="1:11">
      <c r="A143" s="43" t="s">
        <v>211</v>
      </c>
      <c r="B143" s="12">
        <v>11.5</v>
      </c>
      <c r="C143" s="38" t="s">
        <v>212</v>
      </c>
      <c r="D143" s="11">
        <v>11.5</v>
      </c>
      <c r="E143" s="11">
        <v>11</v>
      </c>
      <c r="F143" s="11"/>
      <c r="G143" s="11"/>
      <c r="H143" s="12"/>
      <c r="I143" s="27"/>
      <c r="J143" s="27"/>
      <c r="K143" s="27">
        <f t="shared" si="5"/>
        <v>22.5</v>
      </c>
    </row>
    <row r="144" s="2" customFormat="1" ht="21.75" customHeight="1" spans="1:11">
      <c r="A144" s="44"/>
      <c r="B144" s="39"/>
      <c r="C144" s="38" t="s">
        <v>213</v>
      </c>
      <c r="D144" s="11">
        <v>11.5</v>
      </c>
      <c r="E144" s="11">
        <v>11</v>
      </c>
      <c r="F144" s="11"/>
      <c r="G144" s="11"/>
      <c r="H144" s="12"/>
      <c r="I144" s="27"/>
      <c r="J144" s="27"/>
      <c r="K144" s="27">
        <f t="shared" si="5"/>
        <v>22.5</v>
      </c>
    </row>
    <row r="145" s="2" customFormat="1" ht="21.75" customHeight="1" spans="1:11">
      <c r="A145" s="44"/>
      <c r="B145" s="39"/>
      <c r="C145" s="27" t="s">
        <v>214</v>
      </c>
      <c r="D145" s="11">
        <v>11.5</v>
      </c>
      <c r="E145" s="11">
        <v>11</v>
      </c>
      <c r="F145" s="11"/>
      <c r="G145" s="11"/>
      <c r="H145" s="12"/>
      <c r="I145" s="27"/>
      <c r="J145" s="27"/>
      <c r="K145" s="27">
        <f t="shared" si="5"/>
        <v>22.5</v>
      </c>
    </row>
    <row r="146" s="2" customFormat="1" ht="21.75" customHeight="1" spans="1:11">
      <c r="A146" s="44"/>
      <c r="B146" s="39"/>
      <c r="C146" s="38" t="s">
        <v>216</v>
      </c>
      <c r="D146" s="11">
        <v>11.5</v>
      </c>
      <c r="E146" s="11">
        <v>11</v>
      </c>
      <c r="F146" s="11"/>
      <c r="G146" s="11"/>
      <c r="H146" s="12"/>
      <c r="I146" s="12"/>
      <c r="J146" s="27"/>
      <c r="K146" s="27">
        <f t="shared" si="5"/>
        <v>22.5</v>
      </c>
    </row>
    <row r="147" s="2" customFormat="1" ht="21.75" customHeight="1" spans="1:11">
      <c r="A147" s="45"/>
      <c r="B147" s="46"/>
      <c r="C147" s="38" t="s">
        <v>215</v>
      </c>
      <c r="D147" s="11">
        <v>11.5</v>
      </c>
      <c r="E147" s="11">
        <v>11</v>
      </c>
      <c r="F147" s="11"/>
      <c r="G147" s="11"/>
      <c r="H147" s="12"/>
      <c r="I147" s="12"/>
      <c r="J147" s="27"/>
      <c r="K147" s="27">
        <f t="shared" si="5"/>
        <v>22.5</v>
      </c>
    </row>
    <row r="148" s="2" customFormat="1" ht="21.75" customHeight="1" spans="1:11">
      <c r="A148" s="27" t="s">
        <v>217</v>
      </c>
      <c r="B148" s="27">
        <v>10.5</v>
      </c>
      <c r="C148" s="27" t="s">
        <v>218</v>
      </c>
      <c r="D148" s="11">
        <v>9</v>
      </c>
      <c r="E148" s="11">
        <v>5</v>
      </c>
      <c r="F148" s="11"/>
      <c r="G148" s="11"/>
      <c r="H148" s="12"/>
      <c r="I148" s="27"/>
      <c r="J148" s="27"/>
      <c r="K148" s="27">
        <f t="shared" si="5"/>
        <v>14</v>
      </c>
    </row>
    <row r="149" s="2" customFormat="1" ht="21.75" customHeight="1" spans="1:11">
      <c r="A149" s="27"/>
      <c r="B149" s="27"/>
      <c r="C149" s="27" t="s">
        <v>219</v>
      </c>
      <c r="D149" s="11">
        <v>40</v>
      </c>
      <c r="E149" s="11">
        <v>0</v>
      </c>
      <c r="F149" s="11"/>
      <c r="G149" s="11"/>
      <c r="H149" s="12"/>
      <c r="I149" s="27"/>
      <c r="J149" s="27"/>
      <c r="K149" s="27">
        <f t="shared" si="5"/>
        <v>40</v>
      </c>
    </row>
    <row r="150" s="2" customFormat="1" ht="21.75" customHeight="1" spans="1:11">
      <c r="A150" s="27" t="s">
        <v>220</v>
      </c>
      <c r="B150" s="27">
        <v>11.5</v>
      </c>
      <c r="C150" s="38" t="s">
        <v>221</v>
      </c>
      <c r="D150" s="11">
        <v>19.5</v>
      </c>
      <c r="E150" s="11">
        <v>5</v>
      </c>
      <c r="F150" s="11"/>
      <c r="G150" s="11"/>
      <c r="H150" s="12"/>
      <c r="I150" s="27"/>
      <c r="J150" s="27"/>
      <c r="K150" s="27">
        <f t="shared" si="5"/>
        <v>24.5</v>
      </c>
    </row>
    <row r="151" s="2" customFormat="1" ht="21.75" customHeight="1" spans="1:11">
      <c r="A151" s="27"/>
      <c r="B151" s="27"/>
      <c r="C151" s="38" t="s">
        <v>222</v>
      </c>
      <c r="D151" s="11">
        <v>9</v>
      </c>
      <c r="E151" s="11">
        <v>5</v>
      </c>
      <c r="F151" s="11"/>
      <c r="G151" s="11"/>
      <c r="H151" s="12"/>
      <c r="I151" s="27"/>
      <c r="J151" s="27"/>
      <c r="K151" s="27">
        <f t="shared" si="5"/>
        <v>14</v>
      </c>
    </row>
    <row r="152" s="2" customFormat="1" ht="21.75" customHeight="1" spans="1:11">
      <c r="A152" s="27"/>
      <c r="B152" s="27"/>
      <c r="C152" s="38" t="s">
        <v>223</v>
      </c>
      <c r="D152" s="11">
        <v>40</v>
      </c>
      <c r="E152" s="23">
        <v>0</v>
      </c>
      <c r="F152" s="23"/>
      <c r="G152" s="23"/>
      <c r="H152" s="12"/>
      <c r="I152" s="27"/>
      <c r="J152" s="27"/>
      <c r="K152" s="27">
        <f t="shared" si="5"/>
        <v>40</v>
      </c>
    </row>
    <row r="153" s="2" customFormat="1" ht="21.75" customHeight="1" spans="1:11">
      <c r="A153" s="27"/>
      <c r="B153" s="27"/>
      <c r="C153" s="38" t="s">
        <v>224</v>
      </c>
      <c r="D153" s="24">
        <v>73.5</v>
      </c>
      <c r="E153" s="24">
        <v>5</v>
      </c>
      <c r="F153" s="24"/>
      <c r="G153" s="24"/>
      <c r="H153" s="12"/>
      <c r="I153" s="27"/>
      <c r="J153" s="27"/>
      <c r="K153" s="27">
        <f t="shared" si="5"/>
        <v>78.5</v>
      </c>
    </row>
    <row r="154" s="2" customFormat="1" ht="21.75" customHeight="1" spans="1:11">
      <c r="A154" s="39" t="s">
        <v>225</v>
      </c>
      <c r="B154" s="39">
        <v>10.5</v>
      </c>
      <c r="C154" s="27" t="s">
        <v>226</v>
      </c>
      <c r="D154" s="11">
        <v>23</v>
      </c>
      <c r="E154" s="11">
        <v>10</v>
      </c>
      <c r="F154" s="11"/>
      <c r="G154" s="11"/>
      <c r="H154" s="12"/>
      <c r="I154" s="27"/>
      <c r="J154" s="27"/>
      <c r="K154" s="27">
        <f t="shared" si="5"/>
        <v>33</v>
      </c>
    </row>
    <row r="155" s="2" customFormat="1" ht="21.75" customHeight="1" spans="1:11">
      <c r="A155" s="39"/>
      <c r="B155" s="39"/>
      <c r="C155" s="27" t="s">
        <v>228</v>
      </c>
      <c r="D155" s="11">
        <v>40</v>
      </c>
      <c r="E155" s="11">
        <v>0</v>
      </c>
      <c r="F155" s="11"/>
      <c r="G155" s="11"/>
      <c r="H155" s="12"/>
      <c r="I155" s="27"/>
      <c r="J155" s="27"/>
      <c r="K155" s="27">
        <f t="shared" si="5"/>
        <v>40</v>
      </c>
    </row>
    <row r="156" s="2" customFormat="1" ht="21.75" customHeight="1" spans="1:11">
      <c r="A156" s="39"/>
      <c r="B156" s="39"/>
      <c r="C156" s="27" t="s">
        <v>227</v>
      </c>
      <c r="D156" s="11">
        <v>40</v>
      </c>
      <c r="E156" s="11">
        <v>0</v>
      </c>
      <c r="F156" s="11"/>
      <c r="G156" s="11"/>
      <c r="H156" s="12"/>
      <c r="I156" s="27"/>
      <c r="J156" s="27"/>
      <c r="K156" s="27">
        <f t="shared" si="5"/>
        <v>40</v>
      </c>
    </row>
    <row r="157" s="2" customFormat="1" ht="21.75" customHeight="1" spans="1:11">
      <c r="A157" s="39"/>
      <c r="B157" s="39"/>
      <c r="C157" s="27" t="s">
        <v>229</v>
      </c>
      <c r="D157" s="11">
        <v>11.5</v>
      </c>
      <c r="E157" s="11">
        <v>5</v>
      </c>
      <c r="F157" s="11"/>
      <c r="G157" s="11"/>
      <c r="H157" s="12"/>
      <c r="I157" s="27"/>
      <c r="J157" s="40"/>
      <c r="K157" s="27">
        <f t="shared" si="5"/>
        <v>16.5</v>
      </c>
    </row>
    <row r="158" s="2" customFormat="1" ht="21.75" customHeight="1" spans="1:11">
      <c r="A158" s="39"/>
      <c r="B158" s="39"/>
      <c r="C158" s="27" t="s">
        <v>240</v>
      </c>
      <c r="D158" s="11">
        <v>11.5</v>
      </c>
      <c r="E158" s="11">
        <v>5</v>
      </c>
      <c r="F158" s="11"/>
      <c r="G158" s="11"/>
      <c r="H158" s="12"/>
      <c r="I158" s="27"/>
      <c r="J158" s="40"/>
      <c r="K158" s="27">
        <f t="shared" si="5"/>
        <v>16.5</v>
      </c>
    </row>
    <row r="159" s="2" customFormat="1" ht="21.75" customHeight="1" spans="1:11">
      <c r="A159" s="12" t="s">
        <v>230</v>
      </c>
      <c r="B159" s="12">
        <v>10.5</v>
      </c>
      <c r="C159" s="27" t="s">
        <v>231</v>
      </c>
      <c r="D159" s="11">
        <v>10.5</v>
      </c>
      <c r="E159" s="11">
        <v>10.5</v>
      </c>
      <c r="F159" s="11"/>
      <c r="G159" s="11"/>
      <c r="H159" s="27"/>
      <c r="I159" s="27"/>
      <c r="J159" s="40"/>
      <c r="K159" s="27">
        <f t="shared" si="5"/>
        <v>21</v>
      </c>
    </row>
    <row r="160" s="2" customFormat="1" ht="21.75" customHeight="1" spans="1:11">
      <c r="A160" s="27" t="s">
        <v>232</v>
      </c>
      <c r="B160" s="27">
        <v>12</v>
      </c>
      <c r="C160" s="27" t="s">
        <v>233</v>
      </c>
      <c r="D160" s="22">
        <v>12</v>
      </c>
      <c r="E160" s="22">
        <v>12</v>
      </c>
      <c r="F160" s="22"/>
      <c r="G160" s="22"/>
      <c r="H160" s="27"/>
      <c r="I160" s="27"/>
      <c r="J160" s="40"/>
      <c r="K160" s="27">
        <f t="shared" si="5"/>
        <v>24</v>
      </c>
    </row>
    <row r="161" s="2" customFormat="1" ht="21.75" customHeight="1" spans="1:11">
      <c r="A161" s="38"/>
      <c r="B161" s="41"/>
      <c r="C161" s="41"/>
      <c r="D161" s="41"/>
      <c r="E161" s="41"/>
      <c r="F161" s="41"/>
      <c r="G161" s="41"/>
      <c r="H161" s="41"/>
      <c r="I161" s="41"/>
      <c r="J161" s="40"/>
      <c r="K161" s="47">
        <f>SUM(K140:K160)</f>
        <v>601.5</v>
      </c>
    </row>
    <row r="164" s="1" customFormat="1" ht="21" customHeight="1" spans="1:11">
      <c r="A164" s="32" t="s">
        <v>369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4"/>
    </row>
    <row r="165" s="1" customFormat="1" ht="21" customHeight="1" spans="1:11">
      <c r="A165" s="35" t="s">
        <v>253</v>
      </c>
      <c r="B165" s="36"/>
      <c r="C165" s="36"/>
      <c r="D165" s="37" t="s">
        <v>376</v>
      </c>
      <c r="E165" s="36"/>
      <c r="F165" s="36"/>
      <c r="G165" s="36"/>
      <c r="H165" s="36"/>
      <c r="I165" s="36"/>
      <c r="J165" s="36"/>
      <c r="K165" s="36"/>
    </row>
    <row r="166" s="1" customFormat="1" ht="21" customHeight="1" spans="1:11">
      <c r="A166" s="27" t="s">
        <v>200</v>
      </c>
      <c r="B166" s="27" t="s">
        <v>201</v>
      </c>
      <c r="C166" s="38" t="s">
        <v>202</v>
      </c>
      <c r="D166" s="12" t="s">
        <v>6</v>
      </c>
      <c r="E166" s="12" t="s">
        <v>6</v>
      </c>
      <c r="F166" s="27" t="s">
        <v>6</v>
      </c>
      <c r="G166" s="27" t="s">
        <v>6</v>
      </c>
      <c r="H166" s="27" t="s">
        <v>6</v>
      </c>
      <c r="I166" s="27" t="s">
        <v>6</v>
      </c>
      <c r="J166" s="27" t="s">
        <v>203</v>
      </c>
      <c r="K166" s="27" t="s">
        <v>204</v>
      </c>
    </row>
    <row r="167" s="1" customFormat="1" ht="21" customHeight="1" spans="1:11">
      <c r="A167" s="27" t="s">
        <v>205</v>
      </c>
      <c r="B167" s="27">
        <v>12</v>
      </c>
      <c r="C167" s="38" t="s">
        <v>206</v>
      </c>
      <c r="D167" s="12">
        <v>15</v>
      </c>
      <c r="E167" s="12">
        <v>10</v>
      </c>
      <c r="F167" s="12"/>
      <c r="G167" s="12"/>
      <c r="H167" s="12"/>
      <c r="I167" s="27"/>
      <c r="J167" s="27"/>
      <c r="K167" s="13">
        <f>SUM(D167:J167)</f>
        <v>25</v>
      </c>
    </row>
    <row r="168" s="1" customFormat="1" ht="21" customHeight="1" spans="1:11">
      <c r="A168" s="21" t="s">
        <v>207</v>
      </c>
      <c r="B168" s="27">
        <v>11.5</v>
      </c>
      <c r="C168" s="38" t="s">
        <v>208</v>
      </c>
      <c r="D168" s="12">
        <v>22</v>
      </c>
      <c r="E168" s="12">
        <v>15</v>
      </c>
      <c r="F168" s="12"/>
      <c r="G168" s="12"/>
      <c r="H168" s="12"/>
      <c r="I168" s="27"/>
      <c r="J168" s="27"/>
      <c r="K168" s="13">
        <f>SUM(D168:J168)</f>
        <v>37</v>
      </c>
    </row>
    <row r="169" s="1" customFormat="1" ht="21" customHeight="1" spans="1:11">
      <c r="A169" s="21"/>
      <c r="B169" s="27"/>
      <c r="C169" s="38" t="s">
        <v>210</v>
      </c>
      <c r="D169" s="12">
        <v>22</v>
      </c>
      <c r="E169" s="12">
        <v>15</v>
      </c>
      <c r="F169" s="12"/>
      <c r="G169" s="12"/>
      <c r="H169" s="12"/>
      <c r="I169" s="27"/>
      <c r="J169" s="27"/>
      <c r="K169" s="13">
        <f t="shared" ref="K169:K188" si="6">SUM(D169:J169)</f>
        <v>37</v>
      </c>
    </row>
    <row r="170" s="1" customFormat="1" ht="21" customHeight="1" spans="1:11">
      <c r="A170" s="16" t="s">
        <v>237</v>
      </c>
      <c r="B170" s="13">
        <v>11.5</v>
      </c>
      <c r="C170" s="17" t="s">
        <v>212</v>
      </c>
      <c r="D170" s="12">
        <v>14.3</v>
      </c>
      <c r="E170" s="12">
        <v>11</v>
      </c>
      <c r="F170" s="12"/>
      <c r="G170" s="12"/>
      <c r="H170" s="12"/>
      <c r="I170" s="27"/>
      <c r="J170" s="27"/>
      <c r="K170" s="13">
        <f t="shared" si="6"/>
        <v>25.3</v>
      </c>
    </row>
    <row r="171" s="1" customFormat="1" ht="21" customHeight="1" spans="1:11">
      <c r="A171" s="18"/>
      <c r="B171" s="13"/>
      <c r="C171" s="1" t="s">
        <v>215</v>
      </c>
      <c r="D171" s="12">
        <v>14.3</v>
      </c>
      <c r="E171" s="12">
        <v>11</v>
      </c>
      <c r="F171" s="12"/>
      <c r="G171" s="12"/>
      <c r="H171" s="12"/>
      <c r="I171" s="27"/>
      <c r="J171" s="27"/>
      <c r="K171" s="13">
        <f t="shared" si="6"/>
        <v>25.3</v>
      </c>
    </row>
    <row r="172" s="1" customFormat="1" ht="21" customHeight="1" spans="1:11">
      <c r="A172" s="19" t="s">
        <v>238</v>
      </c>
      <c r="B172" s="13"/>
      <c r="C172" s="17" t="s">
        <v>213</v>
      </c>
      <c r="D172" s="12">
        <v>14.3</v>
      </c>
      <c r="E172" s="12">
        <v>11</v>
      </c>
      <c r="F172" s="12"/>
      <c r="G172" s="12"/>
      <c r="H172" s="12"/>
      <c r="I172" s="27"/>
      <c r="J172" s="27"/>
      <c r="K172" s="13">
        <f t="shared" si="6"/>
        <v>25.3</v>
      </c>
    </row>
    <row r="173" s="1" customFormat="1" ht="21" customHeight="1" spans="1:11">
      <c r="A173" s="20"/>
      <c r="B173" s="13"/>
      <c r="C173" s="17" t="s">
        <v>216</v>
      </c>
      <c r="D173" s="12">
        <v>14.3</v>
      </c>
      <c r="E173" s="12">
        <v>11</v>
      </c>
      <c r="F173" s="12"/>
      <c r="G173" s="12"/>
      <c r="H173" s="12"/>
      <c r="I173" s="12"/>
      <c r="J173" s="27"/>
      <c r="K173" s="13">
        <f t="shared" si="6"/>
        <v>25.3</v>
      </c>
    </row>
    <row r="174" s="1" customFormat="1" ht="21" customHeight="1" spans="1:11">
      <c r="A174" s="21" t="s">
        <v>239</v>
      </c>
      <c r="B174" s="13"/>
      <c r="C174" s="13" t="s">
        <v>214</v>
      </c>
      <c r="D174" s="12">
        <v>14.3</v>
      </c>
      <c r="E174" s="12">
        <v>11</v>
      </c>
      <c r="F174" s="12"/>
      <c r="G174" s="12"/>
      <c r="H174" s="12"/>
      <c r="I174" s="12"/>
      <c r="J174" s="27"/>
      <c r="K174" s="13">
        <f t="shared" si="6"/>
        <v>25.3</v>
      </c>
    </row>
    <row r="175" s="1" customFormat="1" ht="21" customHeight="1" spans="1:11">
      <c r="A175" s="27" t="s">
        <v>217</v>
      </c>
      <c r="B175" s="27">
        <v>10.5</v>
      </c>
      <c r="C175" s="27" t="s">
        <v>218</v>
      </c>
      <c r="D175" s="12">
        <v>16.7</v>
      </c>
      <c r="E175" s="12">
        <v>10</v>
      </c>
      <c r="F175" s="12"/>
      <c r="G175" s="12"/>
      <c r="H175" s="12"/>
      <c r="I175" s="27"/>
      <c r="J175" s="27"/>
      <c r="K175" s="13">
        <f t="shared" si="6"/>
        <v>26.7</v>
      </c>
    </row>
    <row r="176" s="1" customFormat="1" ht="21" customHeight="1" spans="1:11">
      <c r="A176" s="27"/>
      <c r="B176" s="27"/>
      <c r="C176" s="27" t="s">
        <v>219</v>
      </c>
      <c r="D176" s="12">
        <v>16.7</v>
      </c>
      <c r="E176" s="12">
        <v>10</v>
      </c>
      <c r="F176" s="12"/>
      <c r="G176" s="12"/>
      <c r="H176" s="12"/>
      <c r="I176" s="27"/>
      <c r="J176" s="27"/>
      <c r="K176" s="13">
        <f t="shared" si="6"/>
        <v>26.7</v>
      </c>
    </row>
    <row r="177" s="1" customFormat="1" ht="21" customHeight="1" spans="1:11">
      <c r="A177" s="27" t="s">
        <v>220</v>
      </c>
      <c r="B177" s="27">
        <v>11.5</v>
      </c>
      <c r="C177" s="38" t="s">
        <v>221</v>
      </c>
      <c r="D177" s="12">
        <v>16.7</v>
      </c>
      <c r="E177" s="12">
        <v>10</v>
      </c>
      <c r="F177" s="12"/>
      <c r="G177" s="12"/>
      <c r="H177" s="12"/>
      <c r="I177" s="27"/>
      <c r="J177" s="27"/>
      <c r="K177" s="13">
        <f t="shared" si="6"/>
        <v>26.7</v>
      </c>
    </row>
    <row r="178" s="1" customFormat="1" ht="21" customHeight="1" spans="1:11">
      <c r="A178" s="27"/>
      <c r="B178" s="27"/>
      <c r="C178" s="38" t="s">
        <v>222</v>
      </c>
      <c r="D178" s="12">
        <v>16.7</v>
      </c>
      <c r="E178" s="12">
        <v>10</v>
      </c>
      <c r="F178" s="12"/>
      <c r="G178" s="12"/>
      <c r="H178" s="12"/>
      <c r="I178" s="27"/>
      <c r="J178" s="27"/>
      <c r="K178" s="13">
        <f t="shared" si="6"/>
        <v>26.7</v>
      </c>
    </row>
    <row r="179" s="1" customFormat="1" ht="21" customHeight="1" spans="1:11">
      <c r="A179" s="27"/>
      <c r="B179" s="27"/>
      <c r="C179" s="38" t="s">
        <v>223</v>
      </c>
      <c r="D179" s="12">
        <v>16.7</v>
      </c>
      <c r="E179" s="12">
        <v>5</v>
      </c>
      <c r="F179" s="12"/>
      <c r="G179" s="12"/>
      <c r="H179" s="12"/>
      <c r="I179" s="27"/>
      <c r="J179" s="27"/>
      <c r="K179" s="13">
        <f t="shared" si="6"/>
        <v>21.7</v>
      </c>
    </row>
    <row r="180" s="1" customFormat="1" ht="21" customHeight="1" spans="1:11">
      <c r="A180" s="27"/>
      <c r="B180" s="27"/>
      <c r="C180" s="38" t="s">
        <v>224</v>
      </c>
      <c r="D180" s="12">
        <v>0</v>
      </c>
      <c r="E180" s="12">
        <v>0</v>
      </c>
      <c r="F180" s="12"/>
      <c r="G180" s="12"/>
      <c r="H180" s="12"/>
      <c r="I180" s="27"/>
      <c r="J180" s="27"/>
      <c r="K180" s="13">
        <f t="shared" si="6"/>
        <v>0</v>
      </c>
    </row>
    <row r="181" s="1" customFormat="1" ht="21" customHeight="1" spans="1:11">
      <c r="A181" s="39" t="s">
        <v>225</v>
      </c>
      <c r="B181" s="39">
        <v>10.5</v>
      </c>
      <c r="C181" s="27" t="s">
        <v>226</v>
      </c>
      <c r="D181" s="12">
        <v>16.7</v>
      </c>
      <c r="E181" s="12">
        <v>5</v>
      </c>
      <c r="F181" s="12"/>
      <c r="G181" s="12"/>
      <c r="H181" s="12"/>
      <c r="I181" s="27"/>
      <c r="J181" s="27"/>
      <c r="K181" s="13">
        <f t="shared" si="6"/>
        <v>21.7</v>
      </c>
    </row>
    <row r="182" s="1" customFormat="1" ht="21" customHeight="1" spans="1:11">
      <c r="A182" s="39"/>
      <c r="B182" s="39"/>
      <c r="C182" s="27" t="s">
        <v>250</v>
      </c>
      <c r="D182" s="12">
        <v>16.7</v>
      </c>
      <c r="E182" s="12">
        <v>5</v>
      </c>
      <c r="F182" s="12"/>
      <c r="G182" s="12"/>
      <c r="H182" s="12"/>
      <c r="I182" s="27"/>
      <c r="J182" s="27"/>
      <c r="K182" s="13">
        <f t="shared" si="6"/>
        <v>21.7</v>
      </c>
    </row>
    <row r="183" s="1" customFormat="1" ht="21" customHeight="1" spans="1:11">
      <c r="A183" s="39"/>
      <c r="B183" s="39"/>
      <c r="C183" s="27" t="s">
        <v>228</v>
      </c>
      <c r="D183" s="12">
        <v>16.7</v>
      </c>
      <c r="E183" s="12">
        <v>5</v>
      </c>
      <c r="F183" s="12"/>
      <c r="G183" s="12"/>
      <c r="H183" s="12"/>
      <c r="I183" s="27"/>
      <c r="J183" s="27"/>
      <c r="K183" s="13">
        <f t="shared" si="6"/>
        <v>21.7</v>
      </c>
    </row>
    <row r="184" s="1" customFormat="1" ht="21" customHeight="1" spans="1:11">
      <c r="A184" s="39"/>
      <c r="B184" s="39"/>
      <c r="C184" s="27" t="s">
        <v>227</v>
      </c>
      <c r="D184" s="12">
        <v>0</v>
      </c>
      <c r="E184" s="12">
        <v>0</v>
      </c>
      <c r="F184" s="12"/>
      <c r="G184" s="12"/>
      <c r="H184" s="12"/>
      <c r="I184" s="27"/>
      <c r="J184" s="27"/>
      <c r="K184" s="13">
        <f t="shared" si="6"/>
        <v>0</v>
      </c>
    </row>
    <row r="185" s="1" customFormat="1" ht="21" customHeight="1" spans="1:11">
      <c r="A185" s="39"/>
      <c r="B185" s="39"/>
      <c r="C185" s="27" t="s">
        <v>229</v>
      </c>
      <c r="D185" s="12">
        <v>0</v>
      </c>
      <c r="E185" s="12">
        <v>0</v>
      </c>
      <c r="F185" s="12"/>
      <c r="G185" s="12"/>
      <c r="H185" s="12"/>
      <c r="I185" s="27"/>
      <c r="J185" s="40"/>
      <c r="K185" s="13">
        <f t="shared" si="6"/>
        <v>0</v>
      </c>
    </row>
    <row r="186" s="1" customFormat="1" ht="21" customHeight="1" spans="1:11">
      <c r="A186" s="39"/>
      <c r="B186" s="39"/>
      <c r="C186" s="27" t="s">
        <v>240</v>
      </c>
      <c r="D186" s="12">
        <v>16.7</v>
      </c>
      <c r="E186" s="12">
        <v>5</v>
      </c>
      <c r="F186" s="12"/>
      <c r="G186" s="12"/>
      <c r="H186" s="12"/>
      <c r="I186" s="27"/>
      <c r="J186" s="40"/>
      <c r="K186" s="13">
        <f t="shared" si="6"/>
        <v>21.7</v>
      </c>
    </row>
    <row r="187" s="1" customFormat="1" ht="21" customHeight="1" spans="1:11">
      <c r="A187" s="12" t="s">
        <v>230</v>
      </c>
      <c r="B187" s="12">
        <v>10.5</v>
      </c>
      <c r="C187" s="27" t="s">
        <v>231</v>
      </c>
      <c r="D187" s="27">
        <v>10</v>
      </c>
      <c r="E187" s="27">
        <v>10</v>
      </c>
      <c r="F187" s="27"/>
      <c r="G187" s="27"/>
      <c r="H187" s="27"/>
      <c r="I187" s="27"/>
      <c r="J187" s="40"/>
      <c r="K187" s="13">
        <f t="shared" si="6"/>
        <v>20</v>
      </c>
    </row>
    <row r="188" s="1" customFormat="1" ht="21" customHeight="1" spans="1:11">
      <c r="A188" s="27" t="s">
        <v>232</v>
      </c>
      <c r="B188" s="27">
        <v>12</v>
      </c>
      <c r="C188" s="27" t="s">
        <v>233</v>
      </c>
      <c r="D188" s="27">
        <v>12</v>
      </c>
      <c r="E188" s="27">
        <v>12</v>
      </c>
      <c r="F188" s="27"/>
      <c r="G188" s="27"/>
      <c r="H188" s="27"/>
      <c r="I188" s="27"/>
      <c r="J188" s="40"/>
      <c r="K188" s="13">
        <f t="shared" si="6"/>
        <v>24</v>
      </c>
    </row>
    <row r="189" s="1" customFormat="1" ht="21" customHeight="1" spans="1:11">
      <c r="A189" s="38"/>
      <c r="B189" s="41"/>
      <c r="C189" s="41"/>
      <c r="D189" s="41"/>
      <c r="E189" s="41"/>
      <c r="F189" s="30"/>
      <c r="G189" s="41"/>
      <c r="H189" s="41"/>
      <c r="I189" s="41"/>
      <c r="J189" s="41"/>
      <c r="K189" s="31">
        <f>SUM(K167:K188)</f>
        <v>484.8</v>
      </c>
    </row>
    <row r="192" s="2" customFormat="1" ht="24" customHeight="1" spans="1:11">
      <c r="A192" s="48" t="s">
        <v>371</v>
      </c>
      <c r="B192" s="49"/>
      <c r="C192" s="49"/>
      <c r="D192" s="49"/>
      <c r="E192" s="49"/>
      <c r="F192" s="49"/>
      <c r="G192" s="49"/>
      <c r="H192" s="49"/>
      <c r="I192" s="49"/>
      <c r="J192" s="49"/>
      <c r="K192" s="50"/>
    </row>
    <row r="193" s="2" customFormat="1" ht="24" customHeight="1" spans="1:11">
      <c r="A193" s="51" t="s">
        <v>257</v>
      </c>
      <c r="B193" s="52"/>
      <c r="C193" s="52"/>
      <c r="D193" s="53" t="s">
        <v>377</v>
      </c>
      <c r="E193" s="52"/>
      <c r="F193" s="52"/>
      <c r="G193" s="52"/>
      <c r="H193" s="52"/>
      <c r="I193" s="52"/>
      <c r="J193" s="52"/>
      <c r="K193" s="52"/>
    </row>
    <row r="194" s="2" customFormat="1" ht="24" customHeight="1" spans="1:11">
      <c r="A194" s="47" t="s">
        <v>200</v>
      </c>
      <c r="B194" s="47" t="s">
        <v>201</v>
      </c>
      <c r="C194" s="54" t="s">
        <v>202</v>
      </c>
      <c r="D194" s="55" t="s">
        <v>6</v>
      </c>
      <c r="E194" s="55" t="s">
        <v>6</v>
      </c>
      <c r="F194" s="47" t="s">
        <v>6</v>
      </c>
      <c r="G194" s="47" t="s">
        <v>6</v>
      </c>
      <c r="H194" s="47" t="s">
        <v>6</v>
      </c>
      <c r="I194" s="47" t="s">
        <v>6</v>
      </c>
      <c r="J194" s="47" t="s">
        <v>203</v>
      </c>
      <c r="K194" s="47" t="s">
        <v>204</v>
      </c>
    </row>
    <row r="195" s="2" customFormat="1" ht="24" customHeight="1" spans="1:11">
      <c r="A195" s="55" t="s">
        <v>205</v>
      </c>
      <c r="B195" s="47">
        <v>12</v>
      </c>
      <c r="C195" s="54" t="s">
        <v>206</v>
      </c>
      <c r="D195" s="12">
        <v>12</v>
      </c>
      <c r="E195" s="12">
        <v>5</v>
      </c>
      <c r="F195" s="13"/>
      <c r="G195" s="55"/>
      <c r="H195" s="55"/>
      <c r="I195" s="47"/>
      <c r="J195" s="47"/>
      <c r="K195" s="56">
        <f t="shared" ref="K195:K215" si="7">SUM(D195:J195)</f>
        <v>17</v>
      </c>
    </row>
    <row r="196" s="2" customFormat="1" ht="24" customHeight="1" spans="1:11">
      <c r="A196" s="57" t="s">
        <v>207</v>
      </c>
      <c r="B196" s="58">
        <v>11.5</v>
      </c>
      <c r="C196" s="54" t="s">
        <v>208</v>
      </c>
      <c r="D196" s="12">
        <v>11.5</v>
      </c>
      <c r="E196" s="12">
        <v>5</v>
      </c>
      <c r="F196" s="13"/>
      <c r="G196" s="55"/>
      <c r="H196" s="55"/>
      <c r="I196" s="47"/>
      <c r="J196" s="47"/>
      <c r="K196" s="56">
        <f t="shared" si="7"/>
        <v>16.5</v>
      </c>
    </row>
    <row r="197" s="2" customFormat="1" ht="24" customHeight="1" spans="1:11">
      <c r="A197" s="57"/>
      <c r="B197" s="58"/>
      <c r="C197" s="54" t="s">
        <v>210</v>
      </c>
      <c r="D197" s="12">
        <v>23</v>
      </c>
      <c r="E197" s="12">
        <v>5</v>
      </c>
      <c r="F197" s="13"/>
      <c r="G197" s="55"/>
      <c r="H197" s="55"/>
      <c r="I197" s="47"/>
      <c r="J197" s="47"/>
      <c r="K197" s="56">
        <f t="shared" si="7"/>
        <v>28</v>
      </c>
    </row>
    <row r="198" s="2" customFormat="1" ht="24" customHeight="1" spans="1:11">
      <c r="A198" s="59" t="s">
        <v>237</v>
      </c>
      <c r="B198" s="60">
        <v>11.5</v>
      </c>
      <c r="C198" s="61" t="s">
        <v>212</v>
      </c>
      <c r="D198" s="27">
        <v>11.5</v>
      </c>
      <c r="E198" s="12">
        <v>5</v>
      </c>
      <c r="F198" s="13"/>
      <c r="G198" s="55"/>
      <c r="H198" s="55"/>
      <c r="I198" s="47"/>
      <c r="J198" s="47"/>
      <c r="K198" s="56">
        <f t="shared" si="7"/>
        <v>16.5</v>
      </c>
    </row>
    <row r="199" s="2" customFormat="1" ht="24" customHeight="1" spans="1:11">
      <c r="A199" s="59"/>
      <c r="B199" s="60"/>
      <c r="C199" s="3" t="s">
        <v>215</v>
      </c>
      <c r="D199" s="27">
        <v>10</v>
      </c>
      <c r="E199" s="12">
        <v>0</v>
      </c>
      <c r="F199" s="13"/>
      <c r="G199" s="55"/>
      <c r="H199" s="55"/>
      <c r="I199" s="47"/>
      <c r="J199" s="47"/>
      <c r="K199" s="56">
        <f t="shared" si="7"/>
        <v>10</v>
      </c>
    </row>
    <row r="200" s="2" customFormat="1" ht="24" customHeight="1" spans="1:11">
      <c r="A200" s="62" t="s">
        <v>238</v>
      </c>
      <c r="B200" s="60"/>
      <c r="C200" s="61" t="s">
        <v>213</v>
      </c>
      <c r="D200" s="27">
        <v>11.5</v>
      </c>
      <c r="E200" s="12"/>
      <c r="F200" s="13"/>
      <c r="G200" s="55"/>
      <c r="H200" s="55"/>
      <c r="I200" s="47"/>
      <c r="J200" s="47"/>
      <c r="K200" s="56">
        <f t="shared" si="7"/>
        <v>11.5</v>
      </c>
    </row>
    <row r="201" s="2" customFormat="1" ht="24" customHeight="1" spans="1:11">
      <c r="A201" s="62"/>
      <c r="B201" s="60"/>
      <c r="C201" s="61" t="s">
        <v>216</v>
      </c>
      <c r="D201" s="27">
        <v>10</v>
      </c>
      <c r="E201" s="12">
        <v>5</v>
      </c>
      <c r="F201" s="13"/>
      <c r="G201" s="55"/>
      <c r="H201" s="55"/>
      <c r="I201" s="55"/>
      <c r="J201" s="47"/>
      <c r="K201" s="56">
        <f t="shared" si="7"/>
        <v>15</v>
      </c>
    </row>
    <row r="202" s="2" customFormat="1" ht="24" customHeight="1" spans="1:11">
      <c r="A202" s="57" t="s">
        <v>239</v>
      </c>
      <c r="B202" s="60"/>
      <c r="C202" s="56" t="s">
        <v>214</v>
      </c>
      <c r="D202" s="27">
        <v>10</v>
      </c>
      <c r="E202" s="12">
        <v>0</v>
      </c>
      <c r="F202" s="13"/>
      <c r="G202" s="55"/>
      <c r="H202" s="55"/>
      <c r="I202" s="55"/>
      <c r="J202" s="47"/>
      <c r="K202" s="56">
        <f t="shared" si="7"/>
        <v>10</v>
      </c>
    </row>
    <row r="203" s="2" customFormat="1" ht="24" customHeight="1" spans="1:11">
      <c r="A203" s="63" t="s">
        <v>217</v>
      </c>
      <c r="B203" s="47">
        <v>10.5</v>
      </c>
      <c r="C203" s="47" t="s">
        <v>218</v>
      </c>
      <c r="D203" s="27">
        <v>10</v>
      </c>
      <c r="E203" s="12">
        <v>0</v>
      </c>
      <c r="F203" s="13"/>
      <c r="G203" s="55"/>
      <c r="H203" s="55"/>
      <c r="I203" s="47"/>
      <c r="J203" s="47"/>
      <c r="K203" s="56">
        <f t="shared" si="7"/>
        <v>10</v>
      </c>
    </row>
    <row r="204" s="2" customFormat="1" ht="24" customHeight="1" spans="1:11">
      <c r="A204" s="47"/>
      <c r="B204" s="47"/>
      <c r="C204" s="47" t="s">
        <v>219</v>
      </c>
      <c r="D204" s="27">
        <v>10</v>
      </c>
      <c r="E204" s="12">
        <v>0</v>
      </c>
      <c r="F204" s="13"/>
      <c r="G204" s="55"/>
      <c r="H204" s="55"/>
      <c r="I204" s="47"/>
      <c r="J204" s="47"/>
      <c r="K204" s="56">
        <f t="shared" si="7"/>
        <v>10</v>
      </c>
    </row>
    <row r="205" s="2" customFormat="1" ht="24" customHeight="1" spans="1:11">
      <c r="A205" s="47" t="s">
        <v>220</v>
      </c>
      <c r="B205" s="47">
        <v>11.5</v>
      </c>
      <c r="C205" s="54" t="s">
        <v>221</v>
      </c>
      <c r="D205" s="12">
        <v>20</v>
      </c>
      <c r="E205" s="12">
        <v>5</v>
      </c>
      <c r="F205" s="13"/>
      <c r="G205" s="55"/>
      <c r="H205" s="55"/>
      <c r="I205" s="47"/>
      <c r="J205" s="47"/>
      <c r="K205" s="56">
        <f t="shared" si="7"/>
        <v>25</v>
      </c>
    </row>
    <row r="206" s="2" customFormat="1" ht="24" customHeight="1" spans="1:11">
      <c r="A206" s="47"/>
      <c r="B206" s="47"/>
      <c r="C206" s="54" t="s">
        <v>222</v>
      </c>
      <c r="D206" s="12">
        <v>10</v>
      </c>
      <c r="E206" s="12">
        <v>0</v>
      </c>
      <c r="F206" s="13"/>
      <c r="G206" s="55"/>
      <c r="H206" s="55"/>
      <c r="I206" s="47"/>
      <c r="J206" s="47"/>
      <c r="K206" s="56">
        <f t="shared" si="7"/>
        <v>10</v>
      </c>
    </row>
    <row r="207" s="2" customFormat="1" ht="24" customHeight="1" spans="1:11">
      <c r="A207" s="47"/>
      <c r="B207" s="47"/>
      <c r="C207" s="54" t="s">
        <v>223</v>
      </c>
      <c r="D207" s="12">
        <v>10</v>
      </c>
      <c r="E207" s="12">
        <v>5</v>
      </c>
      <c r="F207" s="13"/>
      <c r="G207" s="55"/>
      <c r="H207" s="55"/>
      <c r="I207" s="47"/>
      <c r="J207" s="47"/>
      <c r="K207" s="56">
        <f t="shared" si="7"/>
        <v>15</v>
      </c>
    </row>
    <row r="208" s="2" customFormat="1" ht="24" customHeight="1" spans="1:11">
      <c r="A208" s="47"/>
      <c r="B208" s="47"/>
      <c r="C208" s="54" t="s">
        <v>224</v>
      </c>
      <c r="D208" s="12">
        <v>30</v>
      </c>
      <c r="E208" s="12">
        <v>5</v>
      </c>
      <c r="F208" s="13"/>
      <c r="G208" s="55"/>
      <c r="H208" s="55"/>
      <c r="I208" s="47"/>
      <c r="J208" s="47"/>
      <c r="K208" s="56">
        <f t="shared" si="7"/>
        <v>35</v>
      </c>
    </row>
    <row r="209" s="2" customFormat="1" ht="24" customHeight="1" spans="1:11">
      <c r="A209" s="64" t="s">
        <v>225</v>
      </c>
      <c r="B209" s="64">
        <v>10.5</v>
      </c>
      <c r="C209" s="47" t="s">
        <v>226</v>
      </c>
      <c r="D209" s="12">
        <v>6</v>
      </c>
      <c r="E209" s="12">
        <v>5</v>
      </c>
      <c r="F209" s="28"/>
      <c r="G209" s="55"/>
      <c r="H209" s="55"/>
      <c r="I209" s="47"/>
      <c r="J209" s="47"/>
      <c r="K209" s="56">
        <f t="shared" si="7"/>
        <v>11</v>
      </c>
    </row>
    <row r="210" s="2" customFormat="1" ht="24" customHeight="1" spans="1:11">
      <c r="A210" s="64"/>
      <c r="B210" s="64"/>
      <c r="C210" s="47" t="s">
        <v>228</v>
      </c>
      <c r="D210" s="12">
        <v>6</v>
      </c>
      <c r="E210" s="12">
        <v>0</v>
      </c>
      <c r="F210" s="13"/>
      <c r="G210" s="55"/>
      <c r="H210" s="55"/>
      <c r="I210" s="47"/>
      <c r="J210" s="47"/>
      <c r="K210" s="56">
        <f t="shared" si="7"/>
        <v>6</v>
      </c>
    </row>
    <row r="211" s="2" customFormat="1" ht="24" customHeight="1" spans="1:11">
      <c r="A211" s="64"/>
      <c r="B211" s="64"/>
      <c r="C211" s="47" t="s">
        <v>227</v>
      </c>
      <c r="D211" s="12">
        <v>5</v>
      </c>
      <c r="E211" s="12">
        <v>0</v>
      </c>
      <c r="F211" s="13"/>
      <c r="G211" s="55"/>
      <c r="H211" s="55"/>
      <c r="I211" s="47"/>
      <c r="J211" s="47"/>
      <c r="K211" s="56">
        <f t="shared" si="7"/>
        <v>5</v>
      </c>
    </row>
    <row r="212" s="2" customFormat="1" ht="24" customHeight="1" spans="1:11">
      <c r="A212" s="64"/>
      <c r="B212" s="64"/>
      <c r="C212" s="47" t="s">
        <v>229</v>
      </c>
      <c r="D212" s="12">
        <v>6</v>
      </c>
      <c r="E212" s="12">
        <v>5</v>
      </c>
      <c r="F212" s="13"/>
      <c r="G212" s="55"/>
      <c r="H212" s="55"/>
      <c r="I212" s="47"/>
      <c r="J212" s="58"/>
      <c r="K212" s="56">
        <f t="shared" si="7"/>
        <v>11</v>
      </c>
    </row>
    <row r="213" s="2" customFormat="1" ht="24" customHeight="1" spans="1:11">
      <c r="A213" s="64"/>
      <c r="B213" s="64"/>
      <c r="C213" s="47" t="s">
        <v>240</v>
      </c>
      <c r="D213" s="12">
        <v>6</v>
      </c>
      <c r="E213" s="12">
        <v>5</v>
      </c>
      <c r="F213" s="13"/>
      <c r="G213" s="55"/>
      <c r="H213" s="55"/>
      <c r="I213" s="47"/>
      <c r="J213" s="58"/>
      <c r="K213" s="56">
        <f t="shared" si="7"/>
        <v>11</v>
      </c>
    </row>
    <row r="214" s="2" customFormat="1" ht="24" customHeight="1" spans="1:11">
      <c r="A214" s="55" t="s">
        <v>230</v>
      </c>
      <c r="B214" s="55">
        <v>10.5</v>
      </c>
      <c r="C214" s="47" t="s">
        <v>231</v>
      </c>
      <c r="D214" s="27">
        <v>10.5</v>
      </c>
      <c r="E214" s="27">
        <v>10.5</v>
      </c>
      <c r="F214" s="13"/>
      <c r="G214" s="47"/>
      <c r="H214" s="47"/>
      <c r="I214" s="47"/>
      <c r="J214" s="58"/>
      <c r="K214" s="56">
        <f t="shared" si="7"/>
        <v>21</v>
      </c>
    </row>
    <row r="215" s="2" customFormat="1" ht="24" customHeight="1" spans="1:11">
      <c r="A215" s="47" t="s">
        <v>232</v>
      </c>
      <c r="B215" s="47">
        <v>12</v>
      </c>
      <c r="C215" s="47" t="s">
        <v>233</v>
      </c>
      <c r="D215" s="27">
        <v>12</v>
      </c>
      <c r="E215" s="27">
        <v>12</v>
      </c>
      <c r="F215" s="13"/>
      <c r="G215" s="47"/>
      <c r="H215" s="47"/>
      <c r="I215" s="47"/>
      <c r="J215" s="58"/>
      <c r="K215" s="56">
        <f t="shared" si="7"/>
        <v>24</v>
      </c>
    </row>
    <row r="216" s="2" customFormat="1" ht="24" customHeight="1" spans="1:11">
      <c r="A216" s="54"/>
      <c r="B216" s="65"/>
      <c r="C216" s="65"/>
      <c r="D216" s="66">
        <f t="shared" ref="D216:F216" si="8">SUM(D195:D215)</f>
        <v>241</v>
      </c>
      <c r="E216" s="66">
        <f t="shared" si="8"/>
        <v>77.5</v>
      </c>
      <c r="F216" s="66"/>
      <c r="G216" s="65"/>
      <c r="H216" s="65"/>
      <c r="I216" s="65"/>
      <c r="J216" s="67"/>
      <c r="K216" s="68">
        <f>SUM(K195:K215)</f>
        <v>318.5</v>
      </c>
    </row>
    <row r="217" ht="26" customHeight="1" spans="1:1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</row>
    <row r="218" ht="26" customHeight="1" spans="1:1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</row>
    <row r="219" ht="26" customHeight="1" spans="1:11">
      <c r="A219" s="42" t="s">
        <v>371</v>
      </c>
      <c r="B219" s="42"/>
      <c r="C219" s="42"/>
      <c r="D219" s="42"/>
      <c r="E219" s="42"/>
      <c r="F219" s="42"/>
      <c r="G219" s="42"/>
      <c r="H219" s="42"/>
      <c r="I219" s="42"/>
      <c r="J219" s="42"/>
      <c r="K219" s="42"/>
    </row>
    <row r="220" ht="26" customHeight="1" spans="1:11">
      <c r="A220" s="70" t="s">
        <v>257</v>
      </c>
      <c r="B220" s="27"/>
      <c r="C220" s="27"/>
      <c r="D220" s="37" t="s">
        <v>378</v>
      </c>
      <c r="E220" s="36"/>
      <c r="F220" s="36"/>
      <c r="G220" s="36"/>
      <c r="H220" s="36"/>
      <c r="I220" s="36"/>
      <c r="J220" s="36"/>
      <c r="K220" s="36"/>
    </row>
    <row r="221" ht="26" customHeight="1" spans="1:11">
      <c r="A221" s="27" t="s">
        <v>200</v>
      </c>
      <c r="B221" s="27" t="s">
        <v>201</v>
      </c>
      <c r="C221" s="38" t="s">
        <v>202</v>
      </c>
      <c r="D221" s="12" t="s">
        <v>6</v>
      </c>
      <c r="E221" s="12" t="s">
        <v>6</v>
      </c>
      <c r="F221" s="27" t="s">
        <v>6</v>
      </c>
      <c r="G221" s="27" t="s">
        <v>6</v>
      </c>
      <c r="H221" s="27" t="s">
        <v>6</v>
      </c>
      <c r="I221" s="27" t="s">
        <v>6</v>
      </c>
      <c r="J221" s="27" t="s">
        <v>203</v>
      </c>
      <c r="K221" s="27" t="s">
        <v>204</v>
      </c>
    </row>
    <row r="222" ht="26" customHeight="1" spans="1:11">
      <c r="A222" s="27" t="s">
        <v>205</v>
      </c>
      <c r="B222" s="27">
        <v>12</v>
      </c>
      <c r="C222" s="38" t="s">
        <v>206</v>
      </c>
      <c r="D222" s="12">
        <v>12</v>
      </c>
      <c r="E222" s="12">
        <v>20</v>
      </c>
      <c r="F222" s="12"/>
      <c r="G222" s="12"/>
      <c r="H222" s="12"/>
      <c r="I222" s="12"/>
      <c r="J222" s="12"/>
      <c r="K222" s="27">
        <f t="shared" ref="K222:K242" si="9">SUM(D222:J222)</f>
        <v>32</v>
      </c>
    </row>
    <row r="223" ht="26" customHeight="1" spans="1:11">
      <c r="A223" s="21" t="s">
        <v>207</v>
      </c>
      <c r="B223" s="27">
        <v>11.5</v>
      </c>
      <c r="C223" s="38" t="s">
        <v>208</v>
      </c>
      <c r="D223" s="12">
        <v>17.5</v>
      </c>
      <c r="E223" s="12">
        <v>30</v>
      </c>
      <c r="F223" s="12"/>
      <c r="G223" s="12"/>
      <c r="H223" s="12"/>
      <c r="I223" s="12"/>
      <c r="J223" s="12"/>
      <c r="K223" s="27">
        <f t="shared" si="9"/>
        <v>47.5</v>
      </c>
    </row>
    <row r="224" ht="26" customHeight="1" spans="1:11">
      <c r="A224" s="21"/>
      <c r="B224" s="27"/>
      <c r="C224" s="38" t="s">
        <v>210</v>
      </c>
      <c r="D224" s="12">
        <v>17.5</v>
      </c>
      <c r="E224" s="12">
        <v>30</v>
      </c>
      <c r="F224" s="12"/>
      <c r="G224" s="12"/>
      <c r="H224" s="12"/>
      <c r="I224" s="12"/>
      <c r="J224" s="12"/>
      <c r="K224" s="27">
        <f t="shared" si="9"/>
        <v>47.5</v>
      </c>
    </row>
    <row r="225" ht="26" customHeight="1" spans="1:11">
      <c r="A225" s="16" t="s">
        <v>237</v>
      </c>
      <c r="B225" s="13">
        <v>11.5</v>
      </c>
      <c r="C225" s="17" t="s">
        <v>212</v>
      </c>
      <c r="D225" s="27">
        <v>10</v>
      </c>
      <c r="E225" s="12">
        <v>22</v>
      </c>
      <c r="F225" s="12"/>
      <c r="G225" s="27"/>
      <c r="H225" s="27"/>
      <c r="I225" s="27"/>
      <c r="J225" s="12"/>
      <c r="K225" s="27">
        <f t="shared" si="9"/>
        <v>32</v>
      </c>
    </row>
    <row r="226" ht="26" customHeight="1" spans="1:11">
      <c r="A226" s="18"/>
      <c r="B226" s="13"/>
      <c r="C226" s="1" t="s">
        <v>215</v>
      </c>
      <c r="D226" s="27">
        <v>11.5</v>
      </c>
      <c r="E226" s="12">
        <v>0</v>
      </c>
      <c r="F226" s="12"/>
      <c r="G226" s="12"/>
      <c r="H226" s="12"/>
      <c r="I226" s="12"/>
      <c r="J226" s="12"/>
      <c r="K226" s="27">
        <f t="shared" si="9"/>
        <v>11.5</v>
      </c>
    </row>
    <row r="227" ht="26" customHeight="1" spans="1:11">
      <c r="A227" s="19" t="s">
        <v>238</v>
      </c>
      <c r="B227" s="13"/>
      <c r="C227" s="17" t="s">
        <v>213</v>
      </c>
      <c r="D227" s="27">
        <v>10</v>
      </c>
      <c r="E227" s="12">
        <v>22</v>
      </c>
      <c r="F227" s="12"/>
      <c r="G227" s="27"/>
      <c r="H227" s="27"/>
      <c r="I227" s="27"/>
      <c r="J227" s="12"/>
      <c r="K227" s="27">
        <f t="shared" si="9"/>
        <v>32</v>
      </c>
    </row>
    <row r="228" ht="26" customHeight="1" spans="1:11">
      <c r="A228" s="20"/>
      <c r="B228" s="13"/>
      <c r="C228" s="17" t="s">
        <v>216</v>
      </c>
      <c r="D228" s="27">
        <v>10</v>
      </c>
      <c r="E228" s="12">
        <v>0</v>
      </c>
      <c r="F228" s="12"/>
      <c r="G228" s="27"/>
      <c r="H228" s="27"/>
      <c r="I228" s="27"/>
      <c r="J228" s="12"/>
      <c r="K228" s="27">
        <f t="shared" si="9"/>
        <v>10</v>
      </c>
    </row>
    <row r="229" ht="26" customHeight="1" spans="1:11">
      <c r="A229" s="21" t="s">
        <v>239</v>
      </c>
      <c r="B229" s="13"/>
      <c r="C229" s="13" t="s">
        <v>214</v>
      </c>
      <c r="D229" s="27">
        <v>11.5</v>
      </c>
      <c r="E229" s="12">
        <v>0</v>
      </c>
      <c r="F229" s="12"/>
      <c r="G229" s="12"/>
      <c r="H229" s="12"/>
      <c r="I229" s="12"/>
      <c r="J229" s="12"/>
      <c r="K229" s="27">
        <f t="shared" si="9"/>
        <v>11.5</v>
      </c>
    </row>
    <row r="230" ht="26" customHeight="1" spans="1:11">
      <c r="A230" s="27" t="s">
        <v>217</v>
      </c>
      <c r="B230" s="27">
        <v>10.5</v>
      </c>
      <c r="C230" s="27" t="s">
        <v>218</v>
      </c>
      <c r="D230" s="27">
        <v>10</v>
      </c>
      <c r="E230" s="12">
        <v>0</v>
      </c>
      <c r="F230" s="12"/>
      <c r="G230" s="27"/>
      <c r="H230" s="27"/>
      <c r="I230" s="27"/>
      <c r="J230" s="12"/>
      <c r="K230" s="27">
        <f t="shared" si="9"/>
        <v>10</v>
      </c>
    </row>
    <row r="231" ht="26" customHeight="1" spans="1:11">
      <c r="A231" s="27"/>
      <c r="B231" s="27"/>
      <c r="C231" s="27" t="s">
        <v>219</v>
      </c>
      <c r="D231" s="27">
        <v>10</v>
      </c>
      <c r="E231" s="12">
        <v>0</v>
      </c>
      <c r="F231" s="12"/>
      <c r="G231" s="27"/>
      <c r="H231" s="27"/>
      <c r="I231" s="27"/>
      <c r="J231" s="12"/>
      <c r="K231" s="27">
        <f t="shared" si="9"/>
        <v>10</v>
      </c>
    </row>
    <row r="232" ht="26" customHeight="1" spans="1:11">
      <c r="A232" s="27" t="s">
        <v>220</v>
      </c>
      <c r="B232" s="27">
        <v>11.5</v>
      </c>
      <c r="C232" s="38" t="s">
        <v>221</v>
      </c>
      <c r="D232" s="12">
        <v>20</v>
      </c>
      <c r="E232" s="12">
        <v>10</v>
      </c>
      <c r="F232" s="12"/>
      <c r="G232" s="12"/>
      <c r="H232" s="12"/>
      <c r="I232" s="12"/>
      <c r="J232" s="12"/>
      <c r="K232" s="27">
        <f t="shared" si="9"/>
        <v>30</v>
      </c>
    </row>
    <row r="233" ht="26" customHeight="1" spans="1:11">
      <c r="A233" s="27"/>
      <c r="B233" s="27"/>
      <c r="C233" s="38" t="s">
        <v>222</v>
      </c>
      <c r="D233" s="12">
        <v>10</v>
      </c>
      <c r="E233" s="12">
        <v>10</v>
      </c>
      <c r="F233" s="12"/>
      <c r="G233" s="12"/>
      <c r="H233" s="12"/>
      <c r="I233" s="12"/>
      <c r="J233" s="12"/>
      <c r="K233" s="27">
        <f t="shared" si="9"/>
        <v>20</v>
      </c>
    </row>
    <row r="234" ht="26" customHeight="1" spans="1:11">
      <c r="A234" s="27"/>
      <c r="B234" s="27"/>
      <c r="C234" s="38" t="s">
        <v>223</v>
      </c>
      <c r="D234" s="12">
        <v>0</v>
      </c>
      <c r="E234" s="12">
        <v>0</v>
      </c>
      <c r="F234" s="12"/>
      <c r="G234" s="12"/>
      <c r="H234" s="12"/>
      <c r="I234" s="12"/>
      <c r="J234" s="12"/>
      <c r="K234" s="27">
        <f t="shared" si="9"/>
        <v>0</v>
      </c>
    </row>
    <row r="235" ht="26" customHeight="1" spans="1:11">
      <c r="A235" s="27"/>
      <c r="B235" s="27"/>
      <c r="C235" s="38" t="s">
        <v>224</v>
      </c>
      <c r="D235" s="12">
        <v>10</v>
      </c>
      <c r="E235" s="12">
        <v>0</v>
      </c>
      <c r="F235" s="12"/>
      <c r="G235" s="12"/>
      <c r="H235" s="12"/>
      <c r="I235" s="12"/>
      <c r="J235" s="12"/>
      <c r="K235" s="27">
        <f t="shared" si="9"/>
        <v>10</v>
      </c>
    </row>
    <row r="236" ht="26" customHeight="1" spans="1:11">
      <c r="A236" s="39" t="s">
        <v>225</v>
      </c>
      <c r="B236" s="39">
        <v>10.5</v>
      </c>
      <c r="C236" s="27" t="s">
        <v>226</v>
      </c>
      <c r="D236" s="12">
        <v>12</v>
      </c>
      <c r="E236" s="12">
        <v>20</v>
      </c>
      <c r="F236" s="12"/>
      <c r="G236" s="12"/>
      <c r="H236" s="12"/>
      <c r="I236" s="12"/>
      <c r="J236" s="12"/>
      <c r="K236" s="27">
        <f t="shared" si="9"/>
        <v>32</v>
      </c>
    </row>
    <row r="237" ht="26" customHeight="1" spans="1:11">
      <c r="A237" s="39"/>
      <c r="B237" s="39"/>
      <c r="C237" s="27" t="s">
        <v>228</v>
      </c>
      <c r="D237" s="12">
        <v>10</v>
      </c>
      <c r="E237" s="12">
        <v>0</v>
      </c>
      <c r="F237" s="12"/>
      <c r="G237" s="12"/>
      <c r="H237" s="12"/>
      <c r="I237" s="12"/>
      <c r="J237" s="12"/>
      <c r="K237" s="27">
        <f t="shared" si="9"/>
        <v>10</v>
      </c>
    </row>
    <row r="238" ht="26" customHeight="1" spans="1:11">
      <c r="A238" s="39"/>
      <c r="B238" s="39"/>
      <c r="C238" s="27" t="s">
        <v>289</v>
      </c>
      <c r="D238" s="12">
        <v>5</v>
      </c>
      <c r="E238" s="12">
        <v>0</v>
      </c>
      <c r="F238" s="12"/>
      <c r="G238" s="12"/>
      <c r="H238" s="12"/>
      <c r="I238" s="12"/>
      <c r="J238" s="12"/>
      <c r="K238" s="27">
        <f t="shared" si="9"/>
        <v>5</v>
      </c>
    </row>
    <row r="239" ht="26" customHeight="1" spans="1:11">
      <c r="A239" s="39"/>
      <c r="B239" s="39"/>
      <c r="C239" s="27" t="s">
        <v>229</v>
      </c>
      <c r="D239" s="12">
        <v>6</v>
      </c>
      <c r="E239" s="12">
        <v>10</v>
      </c>
      <c r="F239" s="12"/>
      <c r="G239" s="12"/>
      <c r="H239" s="12"/>
      <c r="I239" s="12"/>
      <c r="J239" s="12"/>
      <c r="K239" s="27">
        <f t="shared" si="9"/>
        <v>16</v>
      </c>
    </row>
    <row r="240" ht="26" customHeight="1" spans="1:11">
      <c r="A240" s="39"/>
      <c r="B240" s="39"/>
      <c r="C240" s="27" t="s">
        <v>240</v>
      </c>
      <c r="D240" s="12">
        <v>6</v>
      </c>
      <c r="E240" s="12">
        <v>10</v>
      </c>
      <c r="F240" s="12"/>
      <c r="G240" s="12"/>
      <c r="H240" s="12"/>
      <c r="I240" s="12"/>
      <c r="J240" s="12"/>
      <c r="K240" s="27">
        <f t="shared" si="9"/>
        <v>16</v>
      </c>
    </row>
    <row r="241" ht="26" customHeight="1" spans="1:11">
      <c r="A241" s="12" t="s">
        <v>230</v>
      </c>
      <c r="B241" s="12">
        <v>10.5</v>
      </c>
      <c r="C241" s="27" t="s">
        <v>231</v>
      </c>
      <c r="D241" s="27">
        <v>10.5</v>
      </c>
      <c r="E241" s="27">
        <v>20</v>
      </c>
      <c r="F241" s="27"/>
      <c r="G241" s="12"/>
      <c r="H241" s="12"/>
      <c r="I241" s="12"/>
      <c r="J241" s="27"/>
      <c r="K241" s="27">
        <f t="shared" si="9"/>
        <v>30.5</v>
      </c>
    </row>
    <row r="242" ht="26" customHeight="1" spans="1:11">
      <c r="A242" s="27" t="s">
        <v>232</v>
      </c>
      <c r="B242" s="27">
        <v>12</v>
      </c>
      <c r="C242" s="27" t="s">
        <v>233</v>
      </c>
      <c r="D242" s="27">
        <v>12</v>
      </c>
      <c r="E242" s="27">
        <v>20</v>
      </c>
      <c r="F242" s="27"/>
      <c r="G242" s="27"/>
      <c r="H242" s="27"/>
      <c r="I242" s="27"/>
      <c r="J242" s="27"/>
      <c r="K242" s="27">
        <f t="shared" si="9"/>
        <v>32</v>
      </c>
    </row>
    <row r="243" ht="26" customHeight="1" spans="1:11">
      <c r="A243" s="38"/>
      <c r="B243" s="41"/>
      <c r="C243" s="41"/>
      <c r="D243" s="41"/>
      <c r="E243" s="41"/>
      <c r="F243" s="41"/>
      <c r="G243" s="41"/>
      <c r="H243" s="41"/>
      <c r="I243" s="41"/>
      <c r="J243" s="40"/>
      <c r="K243" s="27">
        <f>SUM(K222:K242)</f>
        <v>445.5</v>
      </c>
    </row>
    <row r="246" s="3" customFormat="1" ht="21" customHeight="1" spans="1:11">
      <c r="A246" s="71" t="s">
        <v>379</v>
      </c>
      <c r="B246" s="71"/>
      <c r="C246" s="71"/>
      <c r="D246" s="71"/>
      <c r="E246" s="71"/>
      <c r="F246" s="71"/>
      <c r="G246" s="71"/>
      <c r="H246" s="71"/>
      <c r="I246" s="71"/>
      <c r="J246" s="71"/>
      <c r="K246" s="71"/>
    </row>
    <row r="247" s="3" customFormat="1" ht="21" customHeight="1" spans="1:11">
      <c r="A247" s="72" t="s">
        <v>247</v>
      </c>
      <c r="B247" s="72"/>
      <c r="C247" s="72"/>
      <c r="D247" s="73" t="s">
        <v>380</v>
      </c>
      <c r="E247" s="72"/>
      <c r="F247" s="72"/>
      <c r="G247" s="72"/>
      <c r="H247" s="72"/>
      <c r="I247" s="72"/>
      <c r="J247" s="72"/>
      <c r="K247" s="72"/>
    </row>
    <row r="248" s="3" customFormat="1" ht="21" customHeight="1" spans="1:11">
      <c r="A248" s="74" t="s">
        <v>200</v>
      </c>
      <c r="B248" s="74" t="s">
        <v>201</v>
      </c>
      <c r="C248" s="75" t="s">
        <v>202</v>
      </c>
      <c r="D248" s="76" t="s">
        <v>6</v>
      </c>
      <c r="E248" s="76" t="s">
        <v>6</v>
      </c>
      <c r="F248" s="74" t="s">
        <v>6</v>
      </c>
      <c r="G248" s="74" t="s">
        <v>6</v>
      </c>
      <c r="H248" s="74" t="s">
        <v>6</v>
      </c>
      <c r="I248" s="74" t="s">
        <v>6</v>
      </c>
      <c r="J248" s="74" t="s">
        <v>203</v>
      </c>
      <c r="K248" s="74" t="s">
        <v>204</v>
      </c>
    </row>
    <row r="249" s="3" customFormat="1" ht="21" customHeight="1" spans="1:11">
      <c r="A249" s="56" t="s">
        <v>205</v>
      </c>
      <c r="B249" s="56">
        <v>12</v>
      </c>
      <c r="C249" s="54" t="s">
        <v>206</v>
      </c>
      <c r="D249" s="55">
        <v>12</v>
      </c>
      <c r="E249" s="100">
        <v>10</v>
      </c>
      <c r="F249" s="100"/>
      <c r="G249" s="77"/>
      <c r="H249" s="77"/>
      <c r="I249" s="58"/>
      <c r="J249" s="47"/>
      <c r="K249" s="56">
        <f>SUM(D249:J249)</f>
        <v>22</v>
      </c>
    </row>
    <row r="250" s="3" customFormat="1" ht="21" customHeight="1" spans="1:11">
      <c r="A250" s="78" t="s">
        <v>207</v>
      </c>
      <c r="B250" s="56">
        <v>11.5</v>
      </c>
      <c r="C250" s="61" t="s">
        <v>208</v>
      </c>
      <c r="D250" s="55">
        <v>17</v>
      </c>
      <c r="E250" s="100">
        <v>15</v>
      </c>
      <c r="F250" s="100"/>
      <c r="G250" s="77"/>
      <c r="H250" s="77"/>
      <c r="I250" s="58"/>
      <c r="J250" s="47"/>
      <c r="K250" s="56">
        <f>SUM(D250:J250)</f>
        <v>32</v>
      </c>
    </row>
    <row r="251" s="3" customFormat="1" ht="21" customHeight="1" spans="1:11">
      <c r="A251" s="78"/>
      <c r="B251" s="56"/>
      <c r="C251" s="61" t="s">
        <v>210</v>
      </c>
      <c r="D251" s="55">
        <v>17</v>
      </c>
      <c r="E251" s="100">
        <v>15</v>
      </c>
      <c r="F251" s="100"/>
      <c r="G251" s="77"/>
      <c r="H251" s="77"/>
      <c r="I251" s="58"/>
      <c r="J251" s="47"/>
      <c r="K251" s="56">
        <f t="shared" ref="K251:K270" si="10">SUM(D251:J251)</f>
        <v>32</v>
      </c>
    </row>
    <row r="252" s="3" customFormat="1" ht="21" customHeight="1" spans="1:11">
      <c r="A252" s="79" t="s">
        <v>237</v>
      </c>
      <c r="B252" s="56">
        <v>11.5</v>
      </c>
      <c r="C252" s="61" t="s">
        <v>212</v>
      </c>
      <c r="D252" s="55">
        <v>14</v>
      </c>
      <c r="E252" s="100">
        <v>10</v>
      </c>
      <c r="F252" s="100"/>
      <c r="G252" s="77"/>
      <c r="H252" s="77"/>
      <c r="I252" s="58"/>
      <c r="J252" s="47"/>
      <c r="K252" s="56">
        <f t="shared" si="10"/>
        <v>24</v>
      </c>
    </row>
    <row r="253" s="3" customFormat="1" ht="21" customHeight="1" spans="1:11">
      <c r="A253" s="80"/>
      <c r="B253" s="56"/>
      <c r="C253" s="3" t="s">
        <v>215</v>
      </c>
      <c r="D253" s="55">
        <v>11</v>
      </c>
      <c r="E253" s="100">
        <v>0</v>
      </c>
      <c r="F253" s="100"/>
      <c r="G253" s="77"/>
      <c r="H253" s="77"/>
      <c r="I253" s="58"/>
      <c r="J253" s="47"/>
      <c r="K253" s="56">
        <f t="shared" si="10"/>
        <v>11</v>
      </c>
    </row>
    <row r="254" s="3" customFormat="1" ht="21" customHeight="1" spans="1:11">
      <c r="A254" s="81" t="s">
        <v>238</v>
      </c>
      <c r="B254" s="56"/>
      <c r="C254" s="61" t="s">
        <v>213</v>
      </c>
      <c r="D254" s="55">
        <v>11</v>
      </c>
      <c r="E254" s="100">
        <v>0</v>
      </c>
      <c r="F254" s="100"/>
      <c r="G254" s="77"/>
      <c r="H254" s="77"/>
      <c r="I254" s="58"/>
      <c r="J254" s="47"/>
      <c r="K254" s="56">
        <f t="shared" si="10"/>
        <v>11</v>
      </c>
    </row>
    <row r="255" s="3" customFormat="1" ht="21" customHeight="1" spans="1:11">
      <c r="A255" s="82"/>
      <c r="B255" s="56"/>
      <c r="C255" s="61" t="s">
        <v>216</v>
      </c>
      <c r="D255" s="55">
        <v>11</v>
      </c>
      <c r="E255" s="100">
        <v>0</v>
      </c>
      <c r="F255" s="100"/>
      <c r="G255" s="77"/>
      <c r="H255" s="77"/>
      <c r="I255" s="83"/>
      <c r="J255" s="47"/>
      <c r="K255" s="56">
        <f t="shared" si="10"/>
        <v>11</v>
      </c>
    </row>
    <row r="256" s="3" customFormat="1" ht="21" customHeight="1" spans="1:11">
      <c r="A256" s="84" t="s">
        <v>239</v>
      </c>
      <c r="B256" s="56"/>
      <c r="C256" s="56" t="s">
        <v>214</v>
      </c>
      <c r="D256" s="55">
        <v>11</v>
      </c>
      <c r="E256" s="100">
        <v>0</v>
      </c>
      <c r="F256" s="100"/>
      <c r="G256" s="77"/>
      <c r="H256" s="77"/>
      <c r="I256" s="83"/>
      <c r="J256" s="47"/>
      <c r="K256" s="56">
        <f t="shared" si="10"/>
        <v>11</v>
      </c>
    </row>
    <row r="257" s="3" customFormat="1" ht="21" customHeight="1" spans="1:11">
      <c r="A257" s="56" t="s">
        <v>217</v>
      </c>
      <c r="B257" s="56">
        <v>10.5</v>
      </c>
      <c r="C257" s="56" t="s">
        <v>218</v>
      </c>
      <c r="D257" s="55">
        <v>11</v>
      </c>
      <c r="E257" s="100">
        <v>0</v>
      </c>
      <c r="F257" s="100"/>
      <c r="G257" s="77"/>
      <c r="H257" s="77"/>
      <c r="I257" s="58"/>
      <c r="J257" s="47"/>
      <c r="K257" s="56">
        <f t="shared" si="10"/>
        <v>11</v>
      </c>
    </row>
    <row r="258" s="3" customFormat="1" ht="21" customHeight="1" spans="1:11">
      <c r="A258" s="56"/>
      <c r="B258" s="56"/>
      <c r="C258" s="56" t="s">
        <v>219</v>
      </c>
      <c r="D258" s="55">
        <v>11</v>
      </c>
      <c r="E258" s="100">
        <v>0</v>
      </c>
      <c r="F258" s="100"/>
      <c r="G258" s="77"/>
      <c r="H258" s="77"/>
      <c r="I258" s="58"/>
      <c r="J258" s="47"/>
      <c r="K258" s="56">
        <f t="shared" si="10"/>
        <v>11</v>
      </c>
    </row>
    <row r="259" s="3" customFormat="1" ht="21" customHeight="1" spans="1:11">
      <c r="A259" s="56" t="s">
        <v>220</v>
      </c>
      <c r="B259" s="56">
        <v>11.5</v>
      </c>
      <c r="C259" s="61" t="s">
        <v>221</v>
      </c>
      <c r="D259" s="55">
        <v>30</v>
      </c>
      <c r="E259" s="100">
        <v>0</v>
      </c>
      <c r="F259" s="100"/>
      <c r="G259" s="77"/>
      <c r="H259" s="77"/>
      <c r="I259" s="58"/>
      <c r="J259" s="47"/>
      <c r="K259" s="56">
        <f t="shared" si="10"/>
        <v>30</v>
      </c>
    </row>
    <row r="260" s="3" customFormat="1" ht="21" customHeight="1" spans="1:11">
      <c r="A260" s="56"/>
      <c r="B260" s="56"/>
      <c r="C260" s="61" t="s">
        <v>222</v>
      </c>
      <c r="D260" s="47">
        <v>21</v>
      </c>
      <c r="E260" s="100">
        <v>5</v>
      </c>
      <c r="F260" s="100"/>
      <c r="G260" s="77"/>
      <c r="H260" s="77"/>
      <c r="I260" s="58"/>
      <c r="J260" s="47"/>
      <c r="K260" s="56">
        <f t="shared" si="10"/>
        <v>26</v>
      </c>
    </row>
    <row r="261" s="3" customFormat="1" ht="21" customHeight="1" spans="1:11">
      <c r="A261" s="56"/>
      <c r="B261" s="56"/>
      <c r="C261" s="61" t="s">
        <v>223</v>
      </c>
      <c r="D261" s="47">
        <v>21</v>
      </c>
      <c r="E261" s="100">
        <v>5</v>
      </c>
      <c r="F261" s="100"/>
      <c r="G261" s="77"/>
      <c r="H261" s="77"/>
      <c r="I261" s="58"/>
      <c r="J261" s="47"/>
      <c r="K261" s="56">
        <f t="shared" si="10"/>
        <v>26</v>
      </c>
    </row>
    <row r="262" s="3" customFormat="1" ht="21" customHeight="1" spans="1:11">
      <c r="A262" s="56"/>
      <c r="B262" s="56"/>
      <c r="C262" s="61" t="s">
        <v>224</v>
      </c>
      <c r="D262" s="47">
        <v>21</v>
      </c>
      <c r="E262" s="100">
        <v>0</v>
      </c>
      <c r="F262" s="100"/>
      <c r="G262" s="77"/>
      <c r="H262" s="77"/>
      <c r="I262" s="58"/>
      <c r="J262" s="47"/>
      <c r="K262" s="56">
        <f t="shared" si="10"/>
        <v>21</v>
      </c>
    </row>
    <row r="263" s="3" customFormat="1" ht="21" customHeight="1" spans="1:11">
      <c r="A263" s="85" t="s">
        <v>225</v>
      </c>
      <c r="B263" s="85">
        <v>10.5</v>
      </c>
      <c r="C263" s="56" t="s">
        <v>226</v>
      </c>
      <c r="D263" s="55">
        <v>14</v>
      </c>
      <c r="E263" s="100">
        <v>5</v>
      </c>
      <c r="F263" s="100"/>
      <c r="G263" s="77"/>
      <c r="H263" s="77"/>
      <c r="I263" s="58"/>
      <c r="J263" s="47"/>
      <c r="K263" s="56">
        <f t="shared" si="10"/>
        <v>19</v>
      </c>
    </row>
    <row r="264" s="3" customFormat="1" ht="21" customHeight="1" spans="1:11">
      <c r="A264" s="85"/>
      <c r="B264" s="85"/>
      <c r="C264" s="56" t="s">
        <v>250</v>
      </c>
      <c r="D264" s="55">
        <v>14</v>
      </c>
      <c r="E264" s="100">
        <v>5</v>
      </c>
      <c r="F264" s="100"/>
      <c r="G264" s="77"/>
      <c r="H264" s="77"/>
      <c r="I264" s="58"/>
      <c r="J264" s="47"/>
      <c r="K264" s="56">
        <f t="shared" si="10"/>
        <v>19</v>
      </c>
    </row>
    <row r="265" s="3" customFormat="1" ht="21" customHeight="1" spans="1:11">
      <c r="A265" s="85"/>
      <c r="B265" s="85"/>
      <c r="C265" s="56" t="s">
        <v>228</v>
      </c>
      <c r="D265" s="55">
        <v>14</v>
      </c>
      <c r="E265" s="100">
        <v>0</v>
      </c>
      <c r="F265" s="100"/>
      <c r="G265" s="77"/>
      <c r="H265" s="77"/>
      <c r="I265" s="58"/>
      <c r="J265" s="47"/>
      <c r="K265" s="56">
        <f t="shared" si="10"/>
        <v>14</v>
      </c>
    </row>
    <row r="266" s="3" customFormat="1" ht="21" customHeight="1" spans="1:11">
      <c r="A266" s="85"/>
      <c r="B266" s="85"/>
      <c r="C266" s="56" t="s">
        <v>227</v>
      </c>
      <c r="D266" s="55">
        <v>14</v>
      </c>
      <c r="E266" s="100">
        <v>0</v>
      </c>
      <c r="F266" s="100"/>
      <c r="G266" s="77"/>
      <c r="H266" s="77"/>
      <c r="I266" s="58"/>
      <c r="J266" s="47"/>
      <c r="K266" s="56">
        <f t="shared" si="10"/>
        <v>14</v>
      </c>
    </row>
    <row r="267" s="3" customFormat="1" ht="21" customHeight="1" spans="1:11">
      <c r="A267" s="85"/>
      <c r="B267" s="85"/>
      <c r="C267" s="56" t="s">
        <v>229</v>
      </c>
      <c r="D267" s="55">
        <v>14</v>
      </c>
      <c r="E267" s="100">
        <v>5</v>
      </c>
      <c r="F267" s="100"/>
      <c r="G267" s="77"/>
      <c r="H267" s="77"/>
      <c r="I267" s="58"/>
      <c r="J267" s="58"/>
      <c r="K267" s="56">
        <f t="shared" si="10"/>
        <v>19</v>
      </c>
    </row>
    <row r="268" s="3" customFormat="1" ht="21" customHeight="1" spans="1:11">
      <c r="A268" s="85"/>
      <c r="B268" s="85"/>
      <c r="C268" s="56" t="s">
        <v>240</v>
      </c>
      <c r="D268" s="55">
        <v>14</v>
      </c>
      <c r="E268" s="100">
        <v>5</v>
      </c>
      <c r="F268" s="100"/>
      <c r="G268" s="77"/>
      <c r="H268" s="77"/>
      <c r="I268" s="58"/>
      <c r="J268" s="58"/>
      <c r="K268" s="56">
        <f t="shared" si="10"/>
        <v>19</v>
      </c>
    </row>
    <row r="269" s="3" customFormat="1" ht="21" customHeight="1" spans="1:11">
      <c r="A269" s="86" t="s">
        <v>230</v>
      </c>
      <c r="B269" s="86">
        <v>10.5</v>
      </c>
      <c r="C269" s="56" t="s">
        <v>231</v>
      </c>
      <c r="D269" s="55">
        <v>10</v>
      </c>
      <c r="E269" s="100">
        <v>0</v>
      </c>
      <c r="F269" s="100"/>
      <c r="G269" s="77"/>
      <c r="H269" s="77"/>
      <c r="I269" s="58"/>
      <c r="J269" s="58"/>
      <c r="K269" s="56">
        <f t="shared" si="10"/>
        <v>10</v>
      </c>
    </row>
    <row r="270" s="3" customFormat="1" ht="21" customHeight="1" spans="1:11">
      <c r="A270" s="56" t="s">
        <v>232</v>
      </c>
      <c r="B270" s="56">
        <v>12</v>
      </c>
      <c r="C270" s="56" t="s">
        <v>233</v>
      </c>
      <c r="D270" s="47">
        <v>12</v>
      </c>
      <c r="E270" s="54">
        <v>0</v>
      </c>
      <c r="F270" s="54"/>
      <c r="G270" s="77"/>
      <c r="H270" s="77"/>
      <c r="I270" s="58"/>
      <c r="J270" s="58"/>
      <c r="K270" s="56">
        <f t="shared" si="10"/>
        <v>12</v>
      </c>
    </row>
    <row r="271" s="3" customFormat="1" ht="21" customHeight="1" spans="1:11">
      <c r="A271" s="211"/>
      <c r="B271" s="212"/>
      <c r="C271" s="212"/>
      <c r="D271" s="213"/>
      <c r="E271" s="213"/>
      <c r="F271" s="213"/>
      <c r="G271" s="213"/>
      <c r="H271" s="213"/>
      <c r="I271" s="213"/>
      <c r="J271" s="213"/>
      <c r="K271" s="47">
        <f>SUM(K249:K270)</f>
        <v>405</v>
      </c>
    </row>
    <row r="274" s="3" customFormat="1" ht="21" customHeight="1" spans="1:11">
      <c r="A274" s="71" t="s">
        <v>379</v>
      </c>
      <c r="B274" s="71"/>
      <c r="C274" s="71"/>
      <c r="D274" s="71"/>
      <c r="E274" s="71"/>
      <c r="F274" s="71"/>
      <c r="G274" s="71"/>
      <c r="H274" s="71"/>
      <c r="I274" s="71"/>
      <c r="J274" s="71"/>
      <c r="K274" s="71"/>
    </row>
    <row r="275" s="3" customFormat="1" ht="21" customHeight="1" spans="1:11">
      <c r="A275" s="72" t="s">
        <v>247</v>
      </c>
      <c r="B275" s="72"/>
      <c r="C275" s="72"/>
      <c r="D275" s="73" t="s">
        <v>381</v>
      </c>
      <c r="E275" s="72"/>
      <c r="F275" s="72"/>
      <c r="G275" s="72"/>
      <c r="H275" s="72"/>
      <c r="I275" s="72"/>
      <c r="J275" s="72"/>
      <c r="K275" s="72"/>
    </row>
    <row r="276" s="3" customFormat="1" ht="21" customHeight="1" spans="1:11">
      <c r="A276" s="74" t="s">
        <v>200</v>
      </c>
      <c r="B276" s="74" t="s">
        <v>201</v>
      </c>
      <c r="C276" s="75" t="s">
        <v>202</v>
      </c>
      <c r="D276" s="76" t="s">
        <v>6</v>
      </c>
      <c r="E276" s="76" t="s">
        <v>6</v>
      </c>
      <c r="F276" s="74" t="s">
        <v>6</v>
      </c>
      <c r="G276" s="74" t="s">
        <v>6</v>
      </c>
      <c r="H276" s="74" t="s">
        <v>6</v>
      </c>
      <c r="I276" s="74" t="s">
        <v>6</v>
      </c>
      <c r="J276" s="74" t="s">
        <v>203</v>
      </c>
      <c r="K276" s="74" t="s">
        <v>204</v>
      </c>
    </row>
    <row r="277" s="3" customFormat="1" ht="21" customHeight="1" spans="1:11">
      <c r="A277" s="56" t="s">
        <v>205</v>
      </c>
      <c r="B277" s="56">
        <v>12</v>
      </c>
      <c r="C277" s="54" t="s">
        <v>206</v>
      </c>
      <c r="D277" s="55">
        <v>0</v>
      </c>
      <c r="E277" s="55">
        <v>10</v>
      </c>
      <c r="F277" s="100"/>
      <c r="G277" s="77"/>
      <c r="H277" s="77"/>
      <c r="I277" s="58"/>
      <c r="J277" s="47"/>
      <c r="K277" s="56">
        <f>SUM(D277:J277)</f>
        <v>10</v>
      </c>
    </row>
    <row r="278" s="3" customFormat="1" ht="21" customHeight="1" spans="1:11">
      <c r="A278" s="78" t="s">
        <v>207</v>
      </c>
      <c r="B278" s="56">
        <v>11.5</v>
      </c>
      <c r="C278" s="61" t="s">
        <v>208</v>
      </c>
      <c r="D278" s="55">
        <v>0</v>
      </c>
      <c r="E278" s="55">
        <v>0</v>
      </c>
      <c r="F278" s="100"/>
      <c r="G278" s="77"/>
      <c r="H278" s="77"/>
      <c r="I278" s="58"/>
      <c r="J278" s="47"/>
      <c r="K278" s="56">
        <f>SUM(D278:J278)</f>
        <v>0</v>
      </c>
    </row>
    <row r="279" s="3" customFormat="1" ht="21" customHeight="1" spans="1:11">
      <c r="A279" s="78"/>
      <c r="B279" s="56"/>
      <c r="C279" s="61" t="s">
        <v>210</v>
      </c>
      <c r="D279" s="55">
        <v>0</v>
      </c>
      <c r="E279" s="55">
        <v>10</v>
      </c>
      <c r="F279" s="100"/>
      <c r="G279" s="77"/>
      <c r="H279" s="77"/>
      <c r="I279" s="58"/>
      <c r="J279" s="47"/>
      <c r="K279" s="56">
        <f t="shared" ref="K279:K298" si="11">SUM(D279:J279)</f>
        <v>10</v>
      </c>
    </row>
    <row r="280" s="3" customFormat="1" ht="21" customHeight="1" spans="1:11">
      <c r="A280" s="79" t="s">
        <v>237</v>
      </c>
      <c r="B280" s="56">
        <v>11.5</v>
      </c>
      <c r="C280" s="61" t="s">
        <v>212</v>
      </c>
      <c r="D280" s="55">
        <v>0</v>
      </c>
      <c r="E280" s="55">
        <v>10</v>
      </c>
      <c r="F280" s="100"/>
      <c r="G280" s="77"/>
      <c r="H280" s="77"/>
      <c r="I280" s="58"/>
      <c r="J280" s="47"/>
      <c r="K280" s="56">
        <f t="shared" si="11"/>
        <v>10</v>
      </c>
    </row>
    <row r="281" s="3" customFormat="1" ht="21" customHeight="1" spans="1:11">
      <c r="A281" s="80"/>
      <c r="B281" s="56"/>
      <c r="C281" s="3" t="s">
        <v>215</v>
      </c>
      <c r="D281" s="55">
        <v>10</v>
      </c>
      <c r="E281" s="55">
        <v>0</v>
      </c>
      <c r="F281" s="100"/>
      <c r="G281" s="77"/>
      <c r="H281" s="77"/>
      <c r="I281" s="58"/>
      <c r="J281" s="47"/>
      <c r="K281" s="56">
        <f t="shared" si="11"/>
        <v>10</v>
      </c>
    </row>
    <row r="282" s="3" customFormat="1" ht="21" customHeight="1" spans="1:11">
      <c r="A282" s="81" t="s">
        <v>238</v>
      </c>
      <c r="B282" s="56"/>
      <c r="C282" s="61" t="s">
        <v>213</v>
      </c>
      <c r="D282" s="55">
        <v>0</v>
      </c>
      <c r="E282" s="55">
        <v>0</v>
      </c>
      <c r="F282" s="100"/>
      <c r="G282" s="77"/>
      <c r="H282" s="77"/>
      <c r="I282" s="58"/>
      <c r="J282" s="47"/>
      <c r="K282" s="56">
        <f t="shared" si="11"/>
        <v>0</v>
      </c>
    </row>
    <row r="283" s="3" customFormat="1" ht="21" customHeight="1" spans="1:11">
      <c r="A283" s="82"/>
      <c r="B283" s="56"/>
      <c r="C283" s="61" t="s">
        <v>216</v>
      </c>
      <c r="D283" s="55">
        <v>0</v>
      </c>
      <c r="E283" s="55">
        <v>0</v>
      </c>
      <c r="F283" s="100"/>
      <c r="G283" s="77"/>
      <c r="H283" s="77"/>
      <c r="I283" s="83"/>
      <c r="J283" s="47"/>
      <c r="K283" s="56">
        <f t="shared" si="11"/>
        <v>0</v>
      </c>
    </row>
    <row r="284" s="3" customFormat="1" ht="21" customHeight="1" spans="1:11">
      <c r="A284" s="84" t="s">
        <v>239</v>
      </c>
      <c r="B284" s="56"/>
      <c r="C284" s="56" t="s">
        <v>214</v>
      </c>
      <c r="D284" s="55">
        <v>10</v>
      </c>
      <c r="E284" s="55">
        <v>5</v>
      </c>
      <c r="F284" s="100"/>
      <c r="G284" s="77"/>
      <c r="H284" s="77"/>
      <c r="I284" s="83"/>
      <c r="J284" s="47"/>
      <c r="K284" s="56">
        <f t="shared" si="11"/>
        <v>15</v>
      </c>
    </row>
    <row r="285" s="3" customFormat="1" ht="21" customHeight="1" spans="1:11">
      <c r="A285" s="56" t="s">
        <v>217</v>
      </c>
      <c r="B285" s="56">
        <v>10.5</v>
      </c>
      <c r="C285" s="56" t="s">
        <v>218</v>
      </c>
      <c r="D285" s="55">
        <v>0</v>
      </c>
      <c r="E285" s="55">
        <v>0</v>
      </c>
      <c r="F285" s="100"/>
      <c r="G285" s="77"/>
      <c r="H285" s="77"/>
      <c r="I285" s="58"/>
      <c r="J285" s="47"/>
      <c r="K285" s="56">
        <f t="shared" si="11"/>
        <v>0</v>
      </c>
    </row>
    <row r="286" s="3" customFormat="1" ht="21" customHeight="1" spans="1:11">
      <c r="A286" s="56"/>
      <c r="B286" s="56"/>
      <c r="C286" s="56" t="s">
        <v>219</v>
      </c>
      <c r="D286" s="55">
        <v>0</v>
      </c>
      <c r="E286" s="55">
        <v>0</v>
      </c>
      <c r="F286" s="100"/>
      <c r="G286" s="77"/>
      <c r="H286" s="77"/>
      <c r="I286" s="58"/>
      <c r="J286" s="47"/>
      <c r="K286" s="56">
        <f t="shared" si="11"/>
        <v>0</v>
      </c>
    </row>
    <row r="287" s="3" customFormat="1" ht="21" customHeight="1" spans="1:11">
      <c r="A287" s="56" t="s">
        <v>220</v>
      </c>
      <c r="B287" s="56">
        <v>11.5</v>
      </c>
      <c r="C287" s="159" t="s">
        <v>221</v>
      </c>
      <c r="D287" s="160">
        <v>48</v>
      </c>
      <c r="E287" s="161">
        <v>0</v>
      </c>
      <c r="F287" s="100"/>
      <c r="G287" s="77"/>
      <c r="H287" s="77"/>
      <c r="I287" s="58"/>
      <c r="J287" s="47"/>
      <c r="K287" s="56">
        <f t="shared" si="11"/>
        <v>48</v>
      </c>
    </row>
    <row r="288" s="3" customFormat="1" ht="21" customHeight="1" spans="1:11">
      <c r="A288" s="56"/>
      <c r="B288" s="56"/>
      <c r="C288" s="159" t="s">
        <v>222</v>
      </c>
      <c r="D288" s="162">
        <v>34</v>
      </c>
      <c r="E288" s="161">
        <v>5</v>
      </c>
      <c r="F288" s="100"/>
      <c r="G288" s="77"/>
      <c r="H288" s="77"/>
      <c r="I288" s="58"/>
      <c r="J288" s="47"/>
      <c r="K288" s="56">
        <f t="shared" si="11"/>
        <v>39</v>
      </c>
    </row>
    <row r="289" s="3" customFormat="1" ht="21" customHeight="1" spans="1:11">
      <c r="A289" s="56"/>
      <c r="B289" s="56"/>
      <c r="C289" s="159" t="s">
        <v>223</v>
      </c>
      <c r="D289" s="162">
        <v>79</v>
      </c>
      <c r="E289" s="161">
        <v>5</v>
      </c>
      <c r="F289" s="100"/>
      <c r="G289" s="77"/>
      <c r="H289" s="77"/>
      <c r="I289" s="58"/>
      <c r="J289" s="47"/>
      <c r="K289" s="56">
        <f t="shared" si="11"/>
        <v>84</v>
      </c>
    </row>
    <row r="290" s="3" customFormat="1" ht="21" customHeight="1" spans="1:11">
      <c r="A290" s="56"/>
      <c r="B290" s="56"/>
      <c r="C290" s="61" t="s">
        <v>224</v>
      </c>
      <c r="D290" s="47">
        <v>100</v>
      </c>
      <c r="E290" s="100">
        <v>0</v>
      </c>
      <c r="F290" s="100"/>
      <c r="G290" s="77"/>
      <c r="H290" s="77"/>
      <c r="I290" s="58"/>
      <c r="J290" s="47"/>
      <c r="K290" s="56">
        <f t="shared" si="11"/>
        <v>100</v>
      </c>
    </row>
    <row r="291" s="3" customFormat="1" ht="21" customHeight="1" spans="1:11">
      <c r="A291" s="85" t="s">
        <v>225</v>
      </c>
      <c r="B291" s="85">
        <v>10.5</v>
      </c>
      <c r="C291" s="56" t="s">
        <v>226</v>
      </c>
      <c r="D291" s="55">
        <v>6</v>
      </c>
      <c r="E291" s="100">
        <v>5</v>
      </c>
      <c r="F291" s="100"/>
      <c r="G291" s="77"/>
      <c r="H291" s="77"/>
      <c r="I291" s="58"/>
      <c r="J291" s="47"/>
      <c r="K291" s="56">
        <f t="shared" si="11"/>
        <v>11</v>
      </c>
    </row>
    <row r="292" s="3" customFormat="1" ht="21" customHeight="1" spans="1:11">
      <c r="A292" s="85"/>
      <c r="B292" s="85"/>
      <c r="C292" s="56" t="s">
        <v>250</v>
      </c>
      <c r="D292" s="55">
        <v>6</v>
      </c>
      <c r="E292" s="100">
        <v>5</v>
      </c>
      <c r="F292" s="100"/>
      <c r="G292" s="77"/>
      <c r="H292" s="77"/>
      <c r="I292" s="58"/>
      <c r="J292" s="47"/>
      <c r="K292" s="56">
        <f t="shared" si="11"/>
        <v>11</v>
      </c>
    </row>
    <row r="293" s="3" customFormat="1" ht="21" customHeight="1" spans="1:11">
      <c r="A293" s="85"/>
      <c r="B293" s="85"/>
      <c r="C293" s="56" t="s">
        <v>228</v>
      </c>
      <c r="D293" s="55">
        <v>6</v>
      </c>
      <c r="E293" s="100">
        <v>0</v>
      </c>
      <c r="F293" s="100"/>
      <c r="G293" s="77"/>
      <c r="H293" s="77"/>
      <c r="I293" s="58"/>
      <c r="J293" s="47"/>
      <c r="K293" s="56">
        <f t="shared" si="11"/>
        <v>6</v>
      </c>
    </row>
    <row r="294" s="3" customFormat="1" ht="21" customHeight="1" spans="1:11">
      <c r="A294" s="85"/>
      <c r="B294" s="85"/>
      <c r="C294" s="56" t="s">
        <v>227</v>
      </c>
      <c r="D294" s="55">
        <v>6</v>
      </c>
      <c r="E294" s="100">
        <v>0</v>
      </c>
      <c r="F294" s="100"/>
      <c r="G294" s="77"/>
      <c r="H294" s="77"/>
      <c r="I294" s="58"/>
      <c r="J294" s="47"/>
      <c r="K294" s="56">
        <f t="shared" si="11"/>
        <v>6</v>
      </c>
    </row>
    <row r="295" s="3" customFormat="1" ht="21" customHeight="1" spans="1:11">
      <c r="A295" s="85"/>
      <c r="B295" s="85"/>
      <c r="C295" s="56" t="s">
        <v>229</v>
      </c>
      <c r="D295" s="55">
        <v>6</v>
      </c>
      <c r="E295" s="100">
        <v>5</v>
      </c>
      <c r="F295" s="100"/>
      <c r="G295" s="77"/>
      <c r="H295" s="77"/>
      <c r="I295" s="58"/>
      <c r="J295" s="58"/>
      <c r="K295" s="56">
        <f t="shared" si="11"/>
        <v>11</v>
      </c>
    </row>
    <row r="296" s="3" customFormat="1" ht="21" customHeight="1" spans="1:11">
      <c r="A296" s="85"/>
      <c r="B296" s="85"/>
      <c r="C296" s="56" t="s">
        <v>240</v>
      </c>
      <c r="D296" s="55">
        <v>6</v>
      </c>
      <c r="E296" s="100">
        <v>5</v>
      </c>
      <c r="F296" s="100"/>
      <c r="G296" s="77"/>
      <c r="H296" s="77"/>
      <c r="I296" s="58"/>
      <c r="J296" s="58"/>
      <c r="K296" s="56">
        <f t="shared" si="11"/>
        <v>11</v>
      </c>
    </row>
    <row r="297" s="3" customFormat="1" ht="21" customHeight="1" spans="1:11">
      <c r="A297" s="86" t="s">
        <v>230</v>
      </c>
      <c r="B297" s="86">
        <v>10.5</v>
      </c>
      <c r="C297" s="56" t="s">
        <v>231</v>
      </c>
      <c r="D297" s="55">
        <v>10.5</v>
      </c>
      <c r="E297" s="100">
        <v>10.5</v>
      </c>
      <c r="F297" s="100"/>
      <c r="G297" s="77"/>
      <c r="H297" s="77"/>
      <c r="I297" s="58"/>
      <c r="J297" s="58"/>
      <c r="K297" s="56">
        <f t="shared" si="11"/>
        <v>21</v>
      </c>
    </row>
    <row r="298" s="3" customFormat="1" ht="21" customHeight="1" spans="1:11">
      <c r="A298" s="56" t="s">
        <v>232</v>
      </c>
      <c r="B298" s="56">
        <v>12</v>
      </c>
      <c r="C298" s="56" t="s">
        <v>233</v>
      </c>
      <c r="D298" s="47">
        <v>12</v>
      </c>
      <c r="E298" s="54">
        <v>12</v>
      </c>
      <c r="F298" s="54"/>
      <c r="G298" s="77"/>
      <c r="H298" s="77"/>
      <c r="I298" s="58"/>
      <c r="J298" s="58"/>
      <c r="K298" s="56">
        <f t="shared" si="11"/>
        <v>24</v>
      </c>
    </row>
    <row r="299" s="3" customFormat="1" ht="21" customHeight="1" spans="1:11">
      <c r="A299" s="61"/>
      <c r="B299" s="87"/>
      <c r="C299" s="87"/>
      <c r="D299" s="65"/>
      <c r="E299" s="65"/>
      <c r="F299" s="65"/>
      <c r="G299" s="65"/>
      <c r="H299" s="65"/>
      <c r="I299" s="65"/>
      <c r="J299" s="65"/>
      <c r="K299" s="47">
        <f>SUM(K277:K298)</f>
        <v>427</v>
      </c>
    </row>
    <row r="302" s="2" customFormat="1" ht="21.75" customHeight="1" spans="1:11">
      <c r="A302" s="88" t="s">
        <v>371</v>
      </c>
      <c r="B302" s="88"/>
      <c r="C302" s="88"/>
      <c r="D302" s="88"/>
      <c r="E302" s="88"/>
      <c r="F302" s="88"/>
      <c r="G302" s="88"/>
      <c r="H302" s="88"/>
      <c r="I302" s="88"/>
      <c r="J302" s="88"/>
      <c r="K302" s="88"/>
    </row>
    <row r="303" s="2" customFormat="1" ht="21.75" customHeight="1" spans="1:11">
      <c r="A303" s="91" t="s">
        <v>251</v>
      </c>
      <c r="B303" s="91"/>
      <c r="C303" s="91"/>
      <c r="D303" s="92" t="s">
        <v>382</v>
      </c>
      <c r="E303" s="91"/>
      <c r="F303" s="91"/>
      <c r="G303" s="91"/>
      <c r="H303" s="91"/>
      <c r="I303" s="91"/>
      <c r="J303" s="91"/>
      <c r="K303" s="91"/>
    </row>
    <row r="304" s="2" customFormat="1" ht="21.75" customHeight="1" spans="1:11">
      <c r="A304" s="93" t="s">
        <v>200</v>
      </c>
      <c r="B304" s="93" t="s">
        <v>201</v>
      </c>
      <c r="C304" s="94" t="s">
        <v>202</v>
      </c>
      <c r="D304" s="95" t="s">
        <v>6</v>
      </c>
      <c r="E304" s="95" t="s">
        <v>6</v>
      </c>
      <c r="F304" s="93" t="s">
        <v>6</v>
      </c>
      <c r="G304" s="93" t="s">
        <v>6</v>
      </c>
      <c r="H304" s="93" t="s">
        <v>6</v>
      </c>
      <c r="I304" s="93" t="s">
        <v>6</v>
      </c>
      <c r="J304" s="93" t="s">
        <v>203</v>
      </c>
      <c r="K304" s="93" t="s">
        <v>204</v>
      </c>
    </row>
    <row r="305" s="2" customFormat="1" ht="21.75" customHeight="1" spans="1:11">
      <c r="A305" s="13" t="s">
        <v>205</v>
      </c>
      <c r="B305" s="13">
        <v>12</v>
      </c>
      <c r="C305" s="38" t="s">
        <v>206</v>
      </c>
      <c r="D305" s="28">
        <v>15</v>
      </c>
      <c r="E305" s="28">
        <v>15</v>
      </c>
      <c r="F305" s="13">
        <v>10</v>
      </c>
      <c r="G305" s="13"/>
      <c r="H305" s="13"/>
      <c r="I305" s="153"/>
      <c r="J305" s="98"/>
      <c r="K305" s="13">
        <f t="shared" ref="K305:K325" si="12">SUM(D305:J305)</f>
        <v>40</v>
      </c>
    </row>
    <row r="306" s="2" customFormat="1" ht="21.75" customHeight="1" spans="1:11">
      <c r="A306" s="96" t="s">
        <v>207</v>
      </c>
      <c r="B306" s="13">
        <v>11.5</v>
      </c>
      <c r="C306" s="17" t="s">
        <v>208</v>
      </c>
      <c r="D306" s="154">
        <v>21.5</v>
      </c>
      <c r="E306" s="154">
        <v>21.5</v>
      </c>
      <c r="F306" s="13">
        <v>0</v>
      </c>
      <c r="G306" s="13"/>
      <c r="H306" s="13"/>
      <c r="I306" s="153"/>
      <c r="J306" s="98"/>
      <c r="K306" s="13">
        <f t="shared" si="12"/>
        <v>43</v>
      </c>
    </row>
    <row r="307" s="2" customFormat="1" ht="21.75" customHeight="1" spans="1:11">
      <c r="A307" s="96"/>
      <c r="B307" s="13"/>
      <c r="C307" s="17" t="s">
        <v>210</v>
      </c>
      <c r="D307" s="154">
        <v>21.5</v>
      </c>
      <c r="E307" s="154">
        <v>21.5</v>
      </c>
      <c r="F307" s="13">
        <v>10</v>
      </c>
      <c r="G307" s="13"/>
      <c r="H307" s="13"/>
      <c r="I307" s="153"/>
      <c r="J307" s="98"/>
      <c r="K307" s="13">
        <f t="shared" si="12"/>
        <v>53</v>
      </c>
    </row>
    <row r="308" s="2" customFormat="1" ht="21.75" customHeight="1" spans="1:11">
      <c r="A308" s="19" t="s">
        <v>211</v>
      </c>
      <c r="B308" s="28">
        <v>11.5</v>
      </c>
      <c r="C308" s="17" t="s">
        <v>212</v>
      </c>
      <c r="D308" s="154">
        <v>14.3</v>
      </c>
      <c r="E308" s="154">
        <v>14.3</v>
      </c>
      <c r="F308" s="13">
        <v>11.5</v>
      </c>
      <c r="G308" s="13"/>
      <c r="H308" s="13"/>
      <c r="I308" s="153"/>
      <c r="J308" s="98"/>
      <c r="K308" s="13">
        <f t="shared" si="12"/>
        <v>40.1</v>
      </c>
    </row>
    <row r="309" s="2" customFormat="1" ht="21.75" customHeight="1" spans="1:11">
      <c r="A309" s="155"/>
      <c r="B309" s="97"/>
      <c r="C309" s="17" t="s">
        <v>213</v>
      </c>
      <c r="D309" s="154">
        <v>14.3</v>
      </c>
      <c r="E309" s="154">
        <v>14.3</v>
      </c>
      <c r="F309" s="13">
        <v>11.5</v>
      </c>
      <c r="G309" s="13"/>
      <c r="H309" s="13"/>
      <c r="I309" s="153"/>
      <c r="J309" s="98"/>
      <c r="K309" s="13">
        <f t="shared" si="12"/>
        <v>40.1</v>
      </c>
    </row>
    <row r="310" s="2" customFormat="1" ht="21.75" customHeight="1" spans="1:11">
      <c r="A310" s="155"/>
      <c r="B310" s="97"/>
      <c r="C310" s="13" t="s">
        <v>214</v>
      </c>
      <c r="D310" s="156">
        <v>14.3</v>
      </c>
      <c r="E310" s="156">
        <v>14.3</v>
      </c>
      <c r="F310" s="13">
        <v>11.5</v>
      </c>
      <c r="G310" s="13"/>
      <c r="H310" s="13"/>
      <c r="I310" s="153"/>
      <c r="J310" s="98"/>
      <c r="K310" s="13">
        <f t="shared" si="12"/>
        <v>40.1</v>
      </c>
    </row>
    <row r="311" s="2" customFormat="1" ht="21.75" customHeight="1" spans="1:11">
      <c r="A311" s="155"/>
      <c r="B311" s="97"/>
      <c r="C311" s="17" t="s">
        <v>216</v>
      </c>
      <c r="D311" s="154">
        <v>0</v>
      </c>
      <c r="E311" s="154">
        <v>0</v>
      </c>
      <c r="F311" s="13">
        <v>0</v>
      </c>
      <c r="G311" s="13"/>
      <c r="H311" s="13"/>
      <c r="I311" s="153"/>
      <c r="J311" s="98"/>
      <c r="K311" s="13">
        <f t="shared" si="12"/>
        <v>0</v>
      </c>
    </row>
    <row r="312" s="2" customFormat="1" ht="21.75" customHeight="1" spans="1:11">
      <c r="A312" s="20"/>
      <c r="B312" s="157"/>
      <c r="C312" s="17" t="s">
        <v>215</v>
      </c>
      <c r="D312" s="154">
        <v>14.3</v>
      </c>
      <c r="E312" s="154">
        <v>14.3</v>
      </c>
      <c r="F312" s="13">
        <v>11.5</v>
      </c>
      <c r="G312" s="13"/>
      <c r="H312" s="13"/>
      <c r="I312" s="153"/>
      <c r="J312" s="98"/>
      <c r="K312" s="13">
        <f t="shared" si="12"/>
        <v>40.1</v>
      </c>
    </row>
    <row r="313" s="2" customFormat="1" ht="21.75" customHeight="1" spans="1:11">
      <c r="A313" s="13" t="s">
        <v>217</v>
      </c>
      <c r="B313" s="13">
        <v>10.5</v>
      </c>
      <c r="C313" s="13" t="s">
        <v>218</v>
      </c>
      <c r="D313" s="154">
        <v>16.7</v>
      </c>
      <c r="E313" s="154">
        <v>16.7</v>
      </c>
      <c r="F313" s="13">
        <v>10</v>
      </c>
      <c r="G313" s="13"/>
      <c r="H313" s="13"/>
      <c r="I313" s="153"/>
      <c r="J313" s="98"/>
      <c r="K313" s="13">
        <f t="shared" si="12"/>
        <v>43.4</v>
      </c>
    </row>
    <row r="314" s="2" customFormat="1" ht="21.75" customHeight="1" spans="1:11">
      <c r="A314" s="13"/>
      <c r="B314" s="13"/>
      <c r="C314" s="13" t="s">
        <v>219</v>
      </c>
      <c r="D314" s="28">
        <v>16.7</v>
      </c>
      <c r="E314" s="28">
        <v>16.7</v>
      </c>
      <c r="F314" s="13">
        <v>10</v>
      </c>
      <c r="G314" s="13"/>
      <c r="H314" s="13"/>
      <c r="I314" s="153"/>
      <c r="J314" s="98"/>
      <c r="K314" s="13">
        <f t="shared" si="12"/>
        <v>43.4</v>
      </c>
    </row>
    <row r="315" s="2" customFormat="1" ht="21.75" customHeight="1" spans="1:11">
      <c r="A315" s="13" t="s">
        <v>220</v>
      </c>
      <c r="B315" s="13">
        <v>11.5</v>
      </c>
      <c r="C315" s="17" t="s">
        <v>221</v>
      </c>
      <c r="D315" s="28">
        <v>0</v>
      </c>
      <c r="E315" s="28">
        <v>0</v>
      </c>
      <c r="F315" s="13">
        <v>0</v>
      </c>
      <c r="G315" s="13"/>
      <c r="H315" s="13"/>
      <c r="I315" s="153"/>
      <c r="J315" s="98"/>
      <c r="K315" s="13">
        <f t="shared" si="12"/>
        <v>0</v>
      </c>
    </row>
    <row r="316" s="2" customFormat="1" ht="21.75" customHeight="1" spans="1:11">
      <c r="A316" s="13"/>
      <c r="B316" s="13"/>
      <c r="C316" s="17" t="s">
        <v>222</v>
      </c>
      <c r="D316" s="28">
        <v>16.7</v>
      </c>
      <c r="E316" s="28">
        <v>16.7</v>
      </c>
      <c r="F316" s="13">
        <v>10</v>
      </c>
      <c r="G316" s="13"/>
      <c r="H316" s="13"/>
      <c r="I316" s="153"/>
      <c r="J316" s="98"/>
      <c r="K316" s="13">
        <f t="shared" si="12"/>
        <v>43.4</v>
      </c>
    </row>
    <row r="317" s="2" customFormat="1" ht="21.75" customHeight="1" spans="1:11">
      <c r="A317" s="13"/>
      <c r="B317" s="13"/>
      <c r="C317" s="17" t="s">
        <v>223</v>
      </c>
      <c r="D317" s="28">
        <v>16.7</v>
      </c>
      <c r="E317" s="28">
        <v>16.7</v>
      </c>
      <c r="F317" s="13">
        <v>5</v>
      </c>
      <c r="G317" s="13"/>
      <c r="H317" s="13"/>
      <c r="I317" s="153"/>
      <c r="J317" s="98"/>
      <c r="K317" s="13">
        <f t="shared" si="12"/>
        <v>38.4</v>
      </c>
    </row>
    <row r="318" s="2" customFormat="1" ht="21.75" customHeight="1" spans="1:11">
      <c r="A318" s="13"/>
      <c r="B318" s="13"/>
      <c r="C318" s="17" t="s">
        <v>224</v>
      </c>
      <c r="D318" s="28">
        <v>0</v>
      </c>
      <c r="E318" s="28">
        <v>0</v>
      </c>
      <c r="F318" s="13">
        <v>0</v>
      </c>
      <c r="G318" s="13"/>
      <c r="H318" s="13"/>
      <c r="I318" s="153"/>
      <c r="J318" s="98"/>
      <c r="K318" s="13">
        <f t="shared" si="12"/>
        <v>0</v>
      </c>
    </row>
    <row r="319" s="2" customFormat="1" ht="21.75" customHeight="1" spans="1:11">
      <c r="A319" s="85" t="s">
        <v>225</v>
      </c>
      <c r="B319" s="85">
        <v>10.5</v>
      </c>
      <c r="C319" s="13" t="s">
        <v>226</v>
      </c>
      <c r="D319" s="28">
        <v>16.7</v>
      </c>
      <c r="E319" s="28">
        <v>16.7</v>
      </c>
      <c r="F319" s="28">
        <v>0</v>
      </c>
      <c r="G319" s="28"/>
      <c r="H319" s="28"/>
      <c r="I319" s="153"/>
      <c r="J319" s="98"/>
      <c r="K319" s="13">
        <f t="shared" si="12"/>
        <v>33.4</v>
      </c>
    </row>
    <row r="320" s="2" customFormat="1" ht="21.75" customHeight="1" spans="1:11">
      <c r="A320" s="85"/>
      <c r="B320" s="85"/>
      <c r="C320" s="13" t="s">
        <v>228</v>
      </c>
      <c r="D320" s="28">
        <v>16.7</v>
      </c>
      <c r="E320" s="28">
        <v>16.7</v>
      </c>
      <c r="F320" s="13">
        <v>10</v>
      </c>
      <c r="G320" s="13"/>
      <c r="H320" s="13"/>
      <c r="I320" s="153"/>
      <c r="J320" s="98"/>
      <c r="K320" s="13">
        <f t="shared" si="12"/>
        <v>43.4</v>
      </c>
    </row>
    <row r="321" s="2" customFormat="1" ht="21.75" customHeight="1" spans="1:11">
      <c r="A321" s="85"/>
      <c r="B321" s="85"/>
      <c r="C321" s="13" t="s">
        <v>227</v>
      </c>
      <c r="D321" s="28">
        <v>0</v>
      </c>
      <c r="E321" s="28">
        <v>0</v>
      </c>
      <c r="F321" s="13">
        <v>5</v>
      </c>
      <c r="G321" s="13"/>
      <c r="H321" s="13"/>
      <c r="I321" s="153"/>
      <c r="J321" s="98"/>
      <c r="K321" s="13">
        <f t="shared" si="12"/>
        <v>5</v>
      </c>
    </row>
    <row r="322" s="2" customFormat="1" ht="21.75" customHeight="1" spans="1:11">
      <c r="A322" s="85"/>
      <c r="B322" s="85"/>
      <c r="C322" s="13" t="s">
        <v>229</v>
      </c>
      <c r="D322" s="28">
        <v>16.7</v>
      </c>
      <c r="E322" s="28">
        <v>16.7</v>
      </c>
      <c r="F322" s="13">
        <v>5</v>
      </c>
      <c r="G322" s="13"/>
      <c r="H322" s="13"/>
      <c r="I322" s="153"/>
      <c r="J322" s="98"/>
      <c r="K322" s="13">
        <f t="shared" si="12"/>
        <v>38.4</v>
      </c>
    </row>
    <row r="323" s="2" customFormat="1" ht="21.75" customHeight="1" spans="1:11">
      <c r="A323" s="85"/>
      <c r="B323" s="85"/>
      <c r="C323" s="13" t="s">
        <v>240</v>
      </c>
      <c r="D323" s="28">
        <v>16.7</v>
      </c>
      <c r="E323" s="28">
        <v>16.7</v>
      </c>
      <c r="F323" s="13">
        <v>5</v>
      </c>
      <c r="G323" s="13"/>
      <c r="H323" s="13"/>
      <c r="I323" s="153"/>
      <c r="J323" s="98"/>
      <c r="K323" s="13">
        <f t="shared" si="12"/>
        <v>38.4</v>
      </c>
    </row>
    <row r="324" s="2" customFormat="1" ht="21.75" customHeight="1" spans="1:11">
      <c r="A324" s="28" t="s">
        <v>230</v>
      </c>
      <c r="B324" s="28">
        <v>10.5</v>
      </c>
      <c r="C324" s="13" t="s">
        <v>231</v>
      </c>
      <c r="D324" s="13">
        <v>10</v>
      </c>
      <c r="E324" s="13">
        <v>10</v>
      </c>
      <c r="F324" s="13">
        <v>10</v>
      </c>
      <c r="G324" s="13"/>
      <c r="H324" s="13"/>
      <c r="I324" s="153"/>
      <c r="J324" s="98"/>
      <c r="K324" s="13">
        <f t="shared" si="12"/>
        <v>30</v>
      </c>
    </row>
    <row r="325" s="2" customFormat="1" ht="21.75" customHeight="1" spans="1:11">
      <c r="A325" s="13" t="s">
        <v>232</v>
      </c>
      <c r="B325" s="13">
        <v>12</v>
      </c>
      <c r="C325" s="13" t="s">
        <v>233</v>
      </c>
      <c r="D325" s="13">
        <v>12</v>
      </c>
      <c r="E325" s="13">
        <v>12</v>
      </c>
      <c r="F325" s="13">
        <v>12</v>
      </c>
      <c r="G325" s="13"/>
      <c r="H325" s="13"/>
      <c r="I325" s="153"/>
      <c r="J325" s="98"/>
      <c r="K325" s="13">
        <f t="shared" si="12"/>
        <v>36</v>
      </c>
    </row>
    <row r="326" s="2" customFormat="1" ht="21.75" customHeight="1" spans="1:11">
      <c r="A326" s="17"/>
      <c r="B326" s="29"/>
      <c r="C326" s="29"/>
      <c r="D326" s="29"/>
      <c r="E326" s="29"/>
      <c r="F326" s="29"/>
      <c r="G326" s="29"/>
      <c r="H326" s="29"/>
      <c r="I326" s="29"/>
      <c r="J326" s="29"/>
      <c r="K326" s="13">
        <f>SUM(K305:K325)</f>
        <v>689.6</v>
      </c>
    </row>
    <row r="329" s="3" customFormat="1" ht="21" customHeight="1" spans="1:11">
      <c r="A329" s="133" t="s">
        <v>371</v>
      </c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</row>
    <row r="330" s="3" customFormat="1" ht="21" customHeight="1" spans="1:11">
      <c r="A330" s="134" t="s">
        <v>235</v>
      </c>
      <c r="B330" s="134"/>
      <c r="C330" s="134"/>
      <c r="D330" s="134" t="s">
        <v>383</v>
      </c>
      <c r="E330" s="134"/>
      <c r="F330" s="134"/>
      <c r="G330" s="134"/>
      <c r="H330" s="134"/>
      <c r="I330" s="134"/>
      <c r="J330" s="134"/>
      <c r="K330" s="134"/>
    </row>
    <row r="331" s="3" customFormat="1" ht="21" customHeight="1" spans="1:11">
      <c r="A331" s="135" t="s">
        <v>200</v>
      </c>
      <c r="B331" s="135" t="s">
        <v>201</v>
      </c>
      <c r="C331" s="136" t="s">
        <v>202</v>
      </c>
      <c r="D331" s="137" t="s">
        <v>6</v>
      </c>
      <c r="E331" s="137" t="s">
        <v>6</v>
      </c>
      <c r="F331" s="135" t="s">
        <v>6</v>
      </c>
      <c r="G331" s="135" t="s">
        <v>6</v>
      </c>
      <c r="H331" s="135" t="s">
        <v>6</v>
      </c>
      <c r="I331" s="135" t="s">
        <v>6</v>
      </c>
      <c r="J331" s="135" t="s">
        <v>203</v>
      </c>
      <c r="K331" s="135" t="s">
        <v>204</v>
      </c>
    </row>
    <row r="332" s="3" customFormat="1" ht="21" customHeight="1" spans="1:11">
      <c r="A332" s="68" t="s">
        <v>205</v>
      </c>
      <c r="B332" s="68">
        <v>12</v>
      </c>
      <c r="C332" s="113" t="s">
        <v>206</v>
      </c>
      <c r="D332" s="121">
        <v>12</v>
      </c>
      <c r="E332" s="121">
        <v>0</v>
      </c>
      <c r="F332" s="121"/>
      <c r="G332" s="121"/>
      <c r="H332" s="121"/>
      <c r="I332" s="68"/>
      <c r="J332" s="68"/>
      <c r="K332" s="56">
        <f>SUM(D332:J332)</f>
        <v>12</v>
      </c>
    </row>
    <row r="333" s="3" customFormat="1" ht="21" customHeight="1" spans="1:11">
      <c r="A333" s="116" t="s">
        <v>207</v>
      </c>
      <c r="B333" s="68">
        <v>11.5</v>
      </c>
      <c r="C333" s="117" t="s">
        <v>208</v>
      </c>
      <c r="D333" s="121">
        <v>16.5</v>
      </c>
      <c r="E333" s="121">
        <v>0</v>
      </c>
      <c r="F333" s="121"/>
      <c r="G333" s="121"/>
      <c r="H333" s="121"/>
      <c r="I333" s="68"/>
      <c r="J333" s="68"/>
      <c r="K333" s="56">
        <f>SUM(D333:J333)</f>
        <v>16.5</v>
      </c>
    </row>
    <row r="334" s="3" customFormat="1" ht="21" customHeight="1" spans="1:11">
      <c r="A334" s="116"/>
      <c r="B334" s="68"/>
      <c r="C334" s="117" t="s">
        <v>210</v>
      </c>
      <c r="D334" s="121">
        <v>16.5</v>
      </c>
      <c r="E334" s="121">
        <v>0</v>
      </c>
      <c r="F334" s="121"/>
      <c r="G334" s="121"/>
      <c r="H334" s="121"/>
      <c r="I334" s="68"/>
      <c r="J334" s="68"/>
      <c r="K334" s="56">
        <f t="shared" ref="K334:K353" si="13">SUM(D334:J334)</f>
        <v>16.5</v>
      </c>
    </row>
    <row r="335" s="3" customFormat="1" ht="21" customHeight="1" spans="1:11">
      <c r="A335" s="79" t="s">
        <v>237</v>
      </c>
      <c r="B335" s="56">
        <v>11.5</v>
      </c>
      <c r="C335" s="61" t="s">
        <v>212</v>
      </c>
      <c r="D335" s="121">
        <v>11.5</v>
      </c>
      <c r="E335" s="121">
        <v>0</v>
      </c>
      <c r="F335" s="121"/>
      <c r="G335" s="121"/>
      <c r="H335" s="121"/>
      <c r="I335" s="68"/>
      <c r="J335" s="68"/>
      <c r="K335" s="56">
        <f t="shared" si="13"/>
        <v>11.5</v>
      </c>
    </row>
    <row r="336" s="3" customFormat="1" ht="21" customHeight="1" spans="1:11">
      <c r="A336" s="80"/>
      <c r="B336" s="56"/>
      <c r="C336" s="3" t="s">
        <v>215</v>
      </c>
      <c r="D336" s="138">
        <v>11.5</v>
      </c>
      <c r="E336" s="139">
        <v>0</v>
      </c>
      <c r="F336" s="121"/>
      <c r="G336" s="121"/>
      <c r="H336" s="121"/>
      <c r="I336" s="68"/>
      <c r="J336" s="68"/>
      <c r="K336" s="56">
        <f t="shared" si="13"/>
        <v>11.5</v>
      </c>
    </row>
    <row r="337" s="3" customFormat="1" ht="21" customHeight="1" spans="1:11">
      <c r="A337" s="81" t="s">
        <v>238</v>
      </c>
      <c r="B337" s="56"/>
      <c r="C337" s="61" t="s">
        <v>213</v>
      </c>
      <c r="D337" s="140">
        <v>23</v>
      </c>
      <c r="E337" s="121">
        <v>0</v>
      </c>
      <c r="F337" s="121"/>
      <c r="G337" s="121"/>
      <c r="H337" s="121"/>
      <c r="I337" s="68"/>
      <c r="J337" s="68"/>
      <c r="K337" s="56">
        <f t="shared" si="13"/>
        <v>23</v>
      </c>
    </row>
    <row r="338" s="3" customFormat="1" ht="21" customHeight="1" spans="1:11">
      <c r="A338" s="82"/>
      <c r="B338" s="56"/>
      <c r="C338" s="61" t="s">
        <v>216</v>
      </c>
      <c r="D338" s="68">
        <v>23</v>
      </c>
      <c r="E338" s="121">
        <v>0</v>
      </c>
      <c r="F338" s="121"/>
      <c r="G338" s="121"/>
      <c r="H338" s="121"/>
      <c r="I338" s="121"/>
      <c r="J338" s="68"/>
      <c r="K338" s="56">
        <f t="shared" si="13"/>
        <v>23</v>
      </c>
    </row>
    <row r="339" s="3" customFormat="1" ht="21" customHeight="1" spans="1:11">
      <c r="A339" s="84" t="s">
        <v>239</v>
      </c>
      <c r="B339" s="56"/>
      <c r="C339" s="56" t="s">
        <v>214</v>
      </c>
      <c r="D339" s="68">
        <v>0</v>
      </c>
      <c r="E339" s="121">
        <v>15</v>
      </c>
      <c r="F339" s="121"/>
      <c r="G339" s="121"/>
      <c r="H339" s="121"/>
      <c r="I339" s="121"/>
      <c r="J339" s="68"/>
      <c r="K339" s="56">
        <f t="shared" si="13"/>
        <v>15</v>
      </c>
    </row>
    <row r="340" s="3" customFormat="1" ht="21" customHeight="1" spans="1:11">
      <c r="A340" s="68" t="s">
        <v>217</v>
      </c>
      <c r="B340" s="68">
        <v>10.5</v>
      </c>
      <c r="C340" s="68" t="s">
        <v>218</v>
      </c>
      <c r="D340" s="68">
        <v>0</v>
      </c>
      <c r="E340" s="121">
        <v>15</v>
      </c>
      <c r="F340" s="121"/>
      <c r="G340" s="121"/>
      <c r="H340" s="121"/>
      <c r="I340" s="68"/>
      <c r="J340" s="68"/>
      <c r="K340" s="56">
        <f t="shared" si="13"/>
        <v>15</v>
      </c>
    </row>
    <row r="341" s="3" customFormat="1" ht="21" customHeight="1" spans="1:11">
      <c r="A341" s="68"/>
      <c r="B341" s="68"/>
      <c r="C341" s="68" t="s">
        <v>219</v>
      </c>
      <c r="D341" s="68">
        <v>0</v>
      </c>
      <c r="E341" s="121">
        <v>15</v>
      </c>
      <c r="F341" s="121"/>
      <c r="G341" s="121"/>
      <c r="H341" s="121"/>
      <c r="I341" s="68"/>
      <c r="J341" s="68"/>
      <c r="K341" s="56">
        <f t="shared" si="13"/>
        <v>15</v>
      </c>
    </row>
    <row r="342" s="3" customFormat="1" ht="21" customHeight="1" spans="1:11">
      <c r="A342" s="68" t="s">
        <v>220</v>
      </c>
      <c r="B342" s="68">
        <v>11.5</v>
      </c>
      <c r="C342" s="117" t="s">
        <v>221</v>
      </c>
      <c r="D342" s="121">
        <v>19.4</v>
      </c>
      <c r="E342" s="121">
        <v>0</v>
      </c>
      <c r="F342" s="121"/>
      <c r="G342" s="121"/>
      <c r="H342" s="121"/>
      <c r="I342" s="68"/>
      <c r="J342" s="68"/>
      <c r="K342" s="56">
        <f t="shared" si="13"/>
        <v>19.4</v>
      </c>
    </row>
    <row r="343" s="3" customFormat="1" ht="21" customHeight="1" spans="1:11">
      <c r="A343" s="68"/>
      <c r="B343" s="68"/>
      <c r="C343" s="117" t="s">
        <v>222</v>
      </c>
      <c r="D343" s="121">
        <v>8.5</v>
      </c>
      <c r="E343" s="121">
        <v>0</v>
      </c>
      <c r="F343" s="121"/>
      <c r="G343" s="121"/>
      <c r="H343" s="121"/>
      <c r="I343" s="68"/>
      <c r="J343" s="68"/>
      <c r="K343" s="56">
        <f t="shared" si="13"/>
        <v>8.5</v>
      </c>
    </row>
    <row r="344" s="3" customFormat="1" ht="21" customHeight="1" spans="1:11">
      <c r="A344" s="68"/>
      <c r="B344" s="68"/>
      <c r="C344" s="117" t="s">
        <v>223</v>
      </c>
      <c r="D344" s="121">
        <v>10</v>
      </c>
      <c r="E344" s="121">
        <v>0</v>
      </c>
      <c r="F344" s="121"/>
      <c r="G344" s="121"/>
      <c r="H344" s="121"/>
      <c r="I344" s="68"/>
      <c r="J344" s="68"/>
      <c r="K344" s="56">
        <f t="shared" si="13"/>
        <v>10</v>
      </c>
    </row>
    <row r="345" s="3" customFormat="1" ht="21" customHeight="1" spans="1:11">
      <c r="A345" s="68"/>
      <c r="B345" s="68"/>
      <c r="C345" s="117" t="s">
        <v>224</v>
      </c>
      <c r="D345" s="68">
        <v>73</v>
      </c>
      <c r="E345" s="121">
        <v>0</v>
      </c>
      <c r="F345" s="121"/>
      <c r="G345" s="121"/>
      <c r="H345" s="121"/>
      <c r="I345" s="68"/>
      <c r="J345" s="68"/>
      <c r="K345" s="56">
        <f t="shared" si="13"/>
        <v>73</v>
      </c>
    </row>
    <row r="346" s="3" customFormat="1" ht="21" customHeight="1" spans="1:11">
      <c r="A346" s="119" t="s">
        <v>225</v>
      </c>
      <c r="B346" s="119">
        <v>10.5</v>
      </c>
      <c r="C346" s="68" t="s">
        <v>226</v>
      </c>
      <c r="D346" s="121">
        <v>12.1</v>
      </c>
      <c r="E346" s="121">
        <v>10</v>
      </c>
      <c r="F346" s="121"/>
      <c r="G346" s="121"/>
      <c r="H346" s="121"/>
      <c r="I346" s="68"/>
      <c r="J346" s="68"/>
      <c r="K346" s="56">
        <f t="shared" si="13"/>
        <v>22.1</v>
      </c>
    </row>
    <row r="347" s="3" customFormat="1" ht="21" customHeight="1" spans="1:11">
      <c r="A347" s="119"/>
      <c r="B347" s="119"/>
      <c r="C347" s="68" t="s">
        <v>250</v>
      </c>
      <c r="D347" s="121">
        <v>12.1</v>
      </c>
      <c r="E347" s="121">
        <v>10</v>
      </c>
      <c r="F347" s="121"/>
      <c r="G347" s="121"/>
      <c r="H347" s="121"/>
      <c r="I347" s="68"/>
      <c r="J347" s="68"/>
      <c r="K347" s="56">
        <f t="shared" si="13"/>
        <v>22.1</v>
      </c>
    </row>
    <row r="348" s="3" customFormat="1" ht="21" customHeight="1" spans="1:11">
      <c r="A348" s="119"/>
      <c r="B348" s="119"/>
      <c r="C348" s="68" t="s">
        <v>228</v>
      </c>
      <c r="D348" s="121">
        <v>12.1</v>
      </c>
      <c r="E348" s="121">
        <v>10</v>
      </c>
      <c r="F348" s="121"/>
      <c r="G348" s="121"/>
      <c r="H348" s="121"/>
      <c r="I348" s="68"/>
      <c r="J348" s="68"/>
      <c r="K348" s="56">
        <f t="shared" si="13"/>
        <v>22.1</v>
      </c>
    </row>
    <row r="349" s="3" customFormat="1" ht="21" customHeight="1" spans="1:11">
      <c r="A349" s="119"/>
      <c r="B349" s="119"/>
      <c r="C349" s="68" t="s">
        <v>227</v>
      </c>
      <c r="D349" s="121">
        <v>12.1</v>
      </c>
      <c r="E349" s="121">
        <v>10</v>
      </c>
      <c r="F349" s="121"/>
      <c r="G349" s="121"/>
      <c r="H349" s="121"/>
      <c r="I349" s="68"/>
      <c r="J349" s="68"/>
      <c r="K349" s="56">
        <f t="shared" si="13"/>
        <v>22.1</v>
      </c>
    </row>
    <row r="350" s="3" customFormat="1" ht="21" customHeight="1" spans="1:11">
      <c r="A350" s="119"/>
      <c r="B350" s="119"/>
      <c r="C350" s="68" t="s">
        <v>240</v>
      </c>
      <c r="D350" s="121">
        <v>12.1</v>
      </c>
      <c r="E350" s="121">
        <v>10</v>
      </c>
      <c r="F350" s="121"/>
      <c r="G350" s="121"/>
      <c r="H350" s="121"/>
      <c r="I350" s="68"/>
      <c r="J350" s="141"/>
      <c r="K350" s="56">
        <f t="shared" si="13"/>
        <v>22.1</v>
      </c>
    </row>
    <row r="351" s="3" customFormat="1" ht="21" customHeight="1" spans="1:11">
      <c r="A351" s="119"/>
      <c r="B351" s="119"/>
      <c r="C351" s="68" t="s">
        <v>229</v>
      </c>
      <c r="D351" s="121">
        <v>12.1</v>
      </c>
      <c r="E351" s="121">
        <v>10</v>
      </c>
      <c r="F351" s="121"/>
      <c r="G351" s="121"/>
      <c r="H351" s="121"/>
      <c r="I351" s="68"/>
      <c r="J351" s="141"/>
      <c r="K351" s="56">
        <f t="shared" si="13"/>
        <v>22.1</v>
      </c>
    </row>
    <row r="352" s="3" customFormat="1" ht="21" customHeight="1" spans="1:11">
      <c r="A352" s="121" t="s">
        <v>230</v>
      </c>
      <c r="B352" s="121">
        <v>10.5</v>
      </c>
      <c r="C352" s="68" t="s">
        <v>231</v>
      </c>
      <c r="D352" s="68">
        <v>10.5</v>
      </c>
      <c r="E352" s="121">
        <v>10</v>
      </c>
      <c r="F352" s="68"/>
      <c r="G352" s="68"/>
      <c r="H352" s="68"/>
      <c r="I352" s="68"/>
      <c r="J352" s="141"/>
      <c r="K352" s="56">
        <f t="shared" si="13"/>
        <v>20.5</v>
      </c>
    </row>
    <row r="353" s="3" customFormat="1" ht="21" customHeight="1" spans="1:11">
      <c r="A353" s="68" t="s">
        <v>232</v>
      </c>
      <c r="B353" s="68">
        <v>12</v>
      </c>
      <c r="C353" s="68" t="s">
        <v>233</v>
      </c>
      <c r="D353" s="68">
        <v>12</v>
      </c>
      <c r="E353" s="68">
        <v>10</v>
      </c>
      <c r="F353" s="68"/>
      <c r="G353" s="68"/>
      <c r="H353" s="68"/>
      <c r="I353" s="68"/>
      <c r="J353" s="141"/>
      <c r="K353" s="56">
        <f t="shared" si="13"/>
        <v>22</v>
      </c>
    </row>
    <row r="354" s="3" customFormat="1" ht="21" customHeight="1" spans="1:11">
      <c r="A354" s="142"/>
      <c r="B354" s="143"/>
      <c r="C354" s="143"/>
      <c r="D354" s="143"/>
      <c r="E354" s="143"/>
      <c r="F354" s="143"/>
      <c r="G354" s="143"/>
      <c r="H354" s="143"/>
      <c r="I354" s="143"/>
      <c r="J354" s="144"/>
      <c r="K354" s="68">
        <f>SUM(K332:K353)</f>
        <v>445</v>
      </c>
    </row>
    <row r="355" s="103" customFormat="1" ht="16.5"/>
    <row r="356" s="3" customFormat="1" ht="21" customHeight="1" spans="1:11">
      <c r="A356" s="133" t="s">
        <v>371</v>
      </c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</row>
    <row r="357" s="3" customFormat="1" ht="21" customHeight="1" spans="1:11">
      <c r="A357" s="134" t="s">
        <v>235</v>
      </c>
      <c r="B357" s="134"/>
      <c r="C357" s="134"/>
      <c r="D357" s="134" t="s">
        <v>384</v>
      </c>
      <c r="E357" s="134"/>
      <c r="F357" s="134"/>
      <c r="G357" s="134"/>
      <c r="H357" s="134"/>
      <c r="I357" s="134"/>
      <c r="J357" s="134"/>
      <c r="K357" s="134"/>
    </row>
    <row r="358" s="3" customFormat="1" ht="21" customHeight="1" spans="1:11">
      <c r="A358" s="135" t="s">
        <v>200</v>
      </c>
      <c r="B358" s="135" t="s">
        <v>201</v>
      </c>
      <c r="C358" s="136" t="s">
        <v>202</v>
      </c>
      <c r="D358" s="137" t="s">
        <v>6</v>
      </c>
      <c r="E358" s="137" t="s">
        <v>6</v>
      </c>
      <c r="F358" s="135" t="s">
        <v>6</v>
      </c>
      <c r="G358" s="135" t="s">
        <v>6</v>
      </c>
      <c r="H358" s="135" t="s">
        <v>6</v>
      </c>
      <c r="I358" s="135" t="s">
        <v>6</v>
      </c>
      <c r="J358" s="135" t="s">
        <v>203</v>
      </c>
      <c r="K358" s="135" t="s">
        <v>204</v>
      </c>
    </row>
    <row r="359" s="3" customFormat="1" ht="21" customHeight="1" spans="1:11">
      <c r="A359" s="68" t="s">
        <v>205</v>
      </c>
      <c r="B359" s="68">
        <v>12</v>
      </c>
      <c r="C359" s="113" t="s">
        <v>206</v>
      </c>
      <c r="D359" s="121">
        <v>0</v>
      </c>
      <c r="E359" s="121">
        <v>10</v>
      </c>
      <c r="F359" s="121"/>
      <c r="G359" s="121"/>
      <c r="H359" s="121"/>
      <c r="I359" s="68"/>
      <c r="J359" s="68"/>
      <c r="K359" s="56">
        <f>SUM(D359:J359)</f>
        <v>10</v>
      </c>
    </row>
    <row r="360" s="3" customFormat="1" ht="21" customHeight="1" spans="1:11">
      <c r="A360" s="116" t="s">
        <v>207</v>
      </c>
      <c r="B360" s="68">
        <v>11.5</v>
      </c>
      <c r="C360" s="117" t="s">
        <v>208</v>
      </c>
      <c r="D360" s="121">
        <v>0</v>
      </c>
      <c r="E360" s="121">
        <v>15</v>
      </c>
      <c r="F360" s="121"/>
      <c r="G360" s="121"/>
      <c r="H360" s="121"/>
      <c r="I360" s="68"/>
      <c r="J360" s="68"/>
      <c r="K360" s="56">
        <f>SUM(D360:J360)</f>
        <v>15</v>
      </c>
    </row>
    <row r="361" s="3" customFormat="1" ht="21" customHeight="1" spans="1:11">
      <c r="A361" s="116"/>
      <c r="B361" s="68"/>
      <c r="C361" s="117" t="s">
        <v>210</v>
      </c>
      <c r="D361" s="121">
        <v>10</v>
      </c>
      <c r="E361" s="121">
        <v>15</v>
      </c>
      <c r="F361" s="121"/>
      <c r="G361" s="121"/>
      <c r="H361" s="121"/>
      <c r="I361" s="68"/>
      <c r="J361" s="68"/>
      <c r="K361" s="56">
        <f t="shared" ref="K361:K380" si="14">SUM(D361:J361)</f>
        <v>25</v>
      </c>
    </row>
    <row r="362" s="3" customFormat="1" ht="21" customHeight="1" spans="1:11">
      <c r="A362" s="79" t="s">
        <v>237</v>
      </c>
      <c r="B362" s="56">
        <v>11.5</v>
      </c>
      <c r="C362" s="61" t="s">
        <v>212</v>
      </c>
      <c r="D362" s="121">
        <v>15</v>
      </c>
      <c r="E362" s="121">
        <v>10</v>
      </c>
      <c r="F362" s="121"/>
      <c r="G362" s="121"/>
      <c r="H362" s="121"/>
      <c r="I362" s="68"/>
      <c r="J362" s="68"/>
      <c r="K362" s="56">
        <f t="shared" si="14"/>
        <v>25</v>
      </c>
    </row>
    <row r="363" s="3" customFormat="1" ht="21" customHeight="1" spans="1:11">
      <c r="A363" s="80"/>
      <c r="B363" s="56"/>
      <c r="C363" s="3" t="s">
        <v>215</v>
      </c>
      <c r="D363" s="138">
        <v>10</v>
      </c>
      <c r="E363" s="139">
        <v>10</v>
      </c>
      <c r="F363" s="121"/>
      <c r="G363" s="121"/>
      <c r="H363" s="121"/>
      <c r="I363" s="68"/>
      <c r="J363" s="68"/>
      <c r="K363" s="56">
        <f t="shared" si="14"/>
        <v>20</v>
      </c>
    </row>
    <row r="364" s="3" customFormat="1" ht="21" customHeight="1" spans="1:11">
      <c r="A364" s="81" t="s">
        <v>238</v>
      </c>
      <c r="B364" s="56"/>
      <c r="C364" s="61" t="s">
        <v>213</v>
      </c>
      <c r="D364" s="140">
        <v>10</v>
      </c>
      <c r="E364" s="121">
        <v>0</v>
      </c>
      <c r="F364" s="121"/>
      <c r="G364" s="121"/>
      <c r="H364" s="121"/>
      <c r="I364" s="68"/>
      <c r="J364" s="68"/>
      <c r="K364" s="56">
        <f t="shared" si="14"/>
        <v>10</v>
      </c>
    </row>
    <row r="365" s="3" customFormat="1" ht="21" customHeight="1" spans="1:11">
      <c r="A365" s="82"/>
      <c r="B365" s="56"/>
      <c r="C365" s="61" t="s">
        <v>216</v>
      </c>
      <c r="D365" s="68">
        <v>0</v>
      </c>
      <c r="E365" s="121">
        <v>10</v>
      </c>
      <c r="F365" s="121"/>
      <c r="G365" s="121"/>
      <c r="H365" s="121"/>
      <c r="I365" s="121"/>
      <c r="J365" s="68"/>
      <c r="K365" s="56">
        <f t="shared" si="14"/>
        <v>10</v>
      </c>
    </row>
    <row r="366" s="3" customFormat="1" ht="21" customHeight="1" spans="1:11">
      <c r="A366" s="84" t="s">
        <v>239</v>
      </c>
      <c r="B366" s="56"/>
      <c r="C366" s="56" t="s">
        <v>214</v>
      </c>
      <c r="D366" s="68">
        <v>15</v>
      </c>
      <c r="E366" s="121">
        <v>0</v>
      </c>
      <c r="F366" s="121"/>
      <c r="G366" s="121"/>
      <c r="H366" s="121"/>
      <c r="I366" s="121"/>
      <c r="J366" s="68"/>
      <c r="K366" s="56">
        <f t="shared" si="14"/>
        <v>15</v>
      </c>
    </row>
    <row r="367" s="3" customFormat="1" ht="21" customHeight="1" spans="1:11">
      <c r="A367" s="68" t="s">
        <v>217</v>
      </c>
      <c r="B367" s="68">
        <v>10.5</v>
      </c>
      <c r="C367" s="68" t="s">
        <v>218</v>
      </c>
      <c r="D367" s="68">
        <v>15</v>
      </c>
      <c r="E367" s="121">
        <v>0</v>
      </c>
      <c r="F367" s="121"/>
      <c r="G367" s="121"/>
      <c r="H367" s="121"/>
      <c r="I367" s="68"/>
      <c r="J367" s="68"/>
      <c r="K367" s="56">
        <f t="shared" si="14"/>
        <v>15</v>
      </c>
    </row>
    <row r="368" s="3" customFormat="1" ht="21" customHeight="1" spans="1:11">
      <c r="A368" s="68"/>
      <c r="B368" s="68"/>
      <c r="C368" s="68" t="s">
        <v>219</v>
      </c>
      <c r="D368" s="68">
        <v>15</v>
      </c>
      <c r="E368" s="121">
        <v>0</v>
      </c>
      <c r="F368" s="121"/>
      <c r="G368" s="121"/>
      <c r="H368" s="121"/>
      <c r="I368" s="68"/>
      <c r="J368" s="68"/>
      <c r="K368" s="56">
        <f t="shared" si="14"/>
        <v>15</v>
      </c>
    </row>
    <row r="369" s="3" customFormat="1" ht="21" customHeight="1" spans="1:11">
      <c r="A369" s="68" t="s">
        <v>220</v>
      </c>
      <c r="B369" s="68">
        <v>11.5</v>
      </c>
      <c r="C369" s="117" t="s">
        <v>221</v>
      </c>
      <c r="D369" s="121">
        <v>20</v>
      </c>
      <c r="E369" s="121">
        <v>5</v>
      </c>
      <c r="F369" s="121"/>
      <c r="G369" s="121"/>
      <c r="H369" s="121"/>
      <c r="I369" s="68"/>
      <c r="J369" s="68"/>
      <c r="K369" s="56">
        <f t="shared" si="14"/>
        <v>25</v>
      </c>
    </row>
    <row r="370" s="3" customFormat="1" ht="21" customHeight="1" spans="1:11">
      <c r="A370" s="68"/>
      <c r="B370" s="68"/>
      <c r="C370" s="117" t="s">
        <v>222</v>
      </c>
      <c r="D370" s="121">
        <v>10</v>
      </c>
      <c r="E370" s="121">
        <v>5</v>
      </c>
      <c r="F370" s="121"/>
      <c r="G370" s="121"/>
      <c r="H370" s="121"/>
      <c r="I370" s="68"/>
      <c r="J370" s="68"/>
      <c r="K370" s="56">
        <f t="shared" si="14"/>
        <v>15</v>
      </c>
    </row>
    <row r="371" s="3" customFormat="1" ht="21" customHeight="1" spans="1:11">
      <c r="A371" s="68"/>
      <c r="B371" s="68"/>
      <c r="C371" s="117" t="s">
        <v>223</v>
      </c>
      <c r="D371" s="121">
        <v>10</v>
      </c>
      <c r="E371" s="121">
        <v>0</v>
      </c>
      <c r="F371" s="121"/>
      <c r="G371" s="121"/>
      <c r="H371" s="121"/>
      <c r="I371" s="68"/>
      <c r="J371" s="68"/>
      <c r="K371" s="56">
        <f t="shared" si="14"/>
        <v>10</v>
      </c>
    </row>
    <row r="372" s="3" customFormat="1" ht="21" customHeight="1" spans="1:11">
      <c r="A372" s="68"/>
      <c r="B372" s="68"/>
      <c r="C372" s="117" t="s">
        <v>224</v>
      </c>
      <c r="D372" s="68">
        <v>66.2</v>
      </c>
      <c r="E372" s="121">
        <v>0</v>
      </c>
      <c r="F372" s="121"/>
      <c r="G372" s="121"/>
      <c r="H372" s="121"/>
      <c r="I372" s="68"/>
      <c r="J372" s="68"/>
      <c r="K372" s="56">
        <f t="shared" si="14"/>
        <v>66.2</v>
      </c>
    </row>
    <row r="373" s="3" customFormat="1" ht="21" customHeight="1" spans="1:11">
      <c r="A373" s="119" t="s">
        <v>225</v>
      </c>
      <c r="B373" s="119">
        <v>10.5</v>
      </c>
      <c r="C373" s="68" t="s">
        <v>226</v>
      </c>
      <c r="D373" s="121">
        <v>11</v>
      </c>
      <c r="E373" s="121">
        <v>5</v>
      </c>
      <c r="F373" s="121"/>
      <c r="G373" s="121"/>
      <c r="H373" s="121"/>
      <c r="I373" s="68"/>
      <c r="J373" s="68"/>
      <c r="K373" s="56">
        <f t="shared" si="14"/>
        <v>16</v>
      </c>
    </row>
    <row r="374" s="3" customFormat="1" ht="21" customHeight="1" spans="1:11">
      <c r="A374" s="119"/>
      <c r="B374" s="119"/>
      <c r="C374" s="68" t="s">
        <v>385</v>
      </c>
      <c r="D374" s="121">
        <v>11</v>
      </c>
      <c r="E374" s="121">
        <v>5</v>
      </c>
      <c r="F374" s="121"/>
      <c r="G374" s="121"/>
      <c r="H374" s="121"/>
      <c r="I374" s="68"/>
      <c r="J374" s="68"/>
      <c r="K374" s="56">
        <f t="shared" si="14"/>
        <v>16</v>
      </c>
    </row>
    <row r="375" s="3" customFormat="1" ht="21" customHeight="1" spans="1:11">
      <c r="A375" s="119"/>
      <c r="B375" s="119"/>
      <c r="C375" s="68" t="s">
        <v>228</v>
      </c>
      <c r="D375" s="101">
        <v>15</v>
      </c>
      <c r="E375" s="121">
        <v>0</v>
      </c>
      <c r="F375" s="121"/>
      <c r="G375" s="121"/>
      <c r="H375" s="121"/>
      <c r="I375" s="68"/>
      <c r="J375" s="68"/>
      <c r="K375" s="56">
        <f t="shared" si="14"/>
        <v>15</v>
      </c>
    </row>
    <row r="376" s="3" customFormat="1" ht="21" customHeight="1" spans="1:11">
      <c r="A376" s="119"/>
      <c r="B376" s="119"/>
      <c r="C376" s="68" t="s">
        <v>227</v>
      </c>
      <c r="D376" s="121">
        <v>15</v>
      </c>
      <c r="E376" s="121">
        <v>0</v>
      </c>
      <c r="F376" s="121"/>
      <c r="G376" s="121"/>
      <c r="H376" s="121"/>
      <c r="I376" s="68"/>
      <c r="J376" s="68"/>
      <c r="K376" s="56">
        <f t="shared" si="14"/>
        <v>15</v>
      </c>
    </row>
    <row r="377" s="3" customFormat="1" ht="21" customHeight="1" spans="1:11">
      <c r="A377" s="119"/>
      <c r="B377" s="119"/>
      <c r="C377" s="68" t="s">
        <v>240</v>
      </c>
      <c r="D377" s="68">
        <v>11</v>
      </c>
      <c r="E377" s="121">
        <v>0</v>
      </c>
      <c r="F377" s="121"/>
      <c r="G377" s="121"/>
      <c r="H377" s="121"/>
      <c r="I377" s="68"/>
      <c r="J377" s="141"/>
      <c r="K377" s="56">
        <f t="shared" si="14"/>
        <v>11</v>
      </c>
    </row>
    <row r="378" s="3" customFormat="1" ht="21" customHeight="1" spans="1:11">
      <c r="A378" s="119"/>
      <c r="B378" s="119"/>
      <c r="C378" s="68" t="s">
        <v>229</v>
      </c>
      <c r="D378" s="121">
        <v>11</v>
      </c>
      <c r="E378" s="121">
        <v>5</v>
      </c>
      <c r="F378" s="121"/>
      <c r="G378" s="121"/>
      <c r="H378" s="121"/>
      <c r="I378" s="68"/>
      <c r="J378" s="141"/>
      <c r="K378" s="56">
        <f t="shared" si="14"/>
        <v>16</v>
      </c>
    </row>
    <row r="379" s="3" customFormat="1" ht="21" customHeight="1" spans="1:11">
      <c r="A379" s="121" t="s">
        <v>230</v>
      </c>
      <c r="B379" s="121">
        <v>10.5</v>
      </c>
      <c r="C379" s="68" t="s">
        <v>231</v>
      </c>
      <c r="D379" s="68">
        <v>10.5</v>
      </c>
      <c r="E379" s="121">
        <v>10.5</v>
      </c>
      <c r="F379" s="68"/>
      <c r="G379" s="68"/>
      <c r="H379" s="68"/>
      <c r="I379" s="68"/>
      <c r="J379" s="141"/>
      <c r="K379" s="56">
        <f t="shared" si="14"/>
        <v>21</v>
      </c>
    </row>
    <row r="380" s="3" customFormat="1" ht="21" customHeight="1" spans="1:11">
      <c r="A380" s="121" t="s">
        <v>232</v>
      </c>
      <c r="B380" s="121">
        <v>12</v>
      </c>
      <c r="C380" s="121" t="s">
        <v>233</v>
      </c>
      <c r="D380" s="121">
        <v>12</v>
      </c>
      <c r="E380" s="121">
        <v>12</v>
      </c>
      <c r="F380" s="121"/>
      <c r="G380" s="121"/>
      <c r="H380" s="121"/>
      <c r="I380" s="121"/>
      <c r="J380" s="139"/>
      <c r="K380" s="86">
        <f t="shared" si="14"/>
        <v>24</v>
      </c>
    </row>
    <row r="381" s="3" customFormat="1" ht="21" customHeight="1" spans="1:11">
      <c r="A381" s="61"/>
      <c r="B381" s="87"/>
      <c r="C381" s="87"/>
      <c r="D381" s="87"/>
      <c r="E381" s="87"/>
      <c r="F381" s="87"/>
      <c r="G381" s="87"/>
      <c r="H381" s="87"/>
      <c r="I381" s="87"/>
      <c r="J381" s="87"/>
      <c r="K381" s="145">
        <f>SUM(K359:K380)</f>
        <v>410.2</v>
      </c>
    </row>
    <row r="384" s="3" customFormat="1" ht="21" customHeight="1" spans="1:11">
      <c r="A384" s="133" t="s">
        <v>379</v>
      </c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</row>
    <row r="385" s="3" customFormat="1" ht="21" customHeight="1" spans="1:11">
      <c r="A385" s="134" t="s">
        <v>235</v>
      </c>
      <c r="B385" s="134"/>
      <c r="C385" s="134"/>
      <c r="D385" s="134" t="s">
        <v>386</v>
      </c>
      <c r="E385" s="134"/>
      <c r="F385" s="134"/>
      <c r="G385" s="134"/>
      <c r="H385" s="134"/>
      <c r="I385" s="134"/>
      <c r="J385" s="134"/>
      <c r="K385" s="134"/>
    </row>
    <row r="386" s="3" customFormat="1" ht="21" customHeight="1" spans="1:11">
      <c r="A386" s="135" t="s">
        <v>200</v>
      </c>
      <c r="B386" s="135" t="s">
        <v>201</v>
      </c>
      <c r="C386" s="136" t="s">
        <v>202</v>
      </c>
      <c r="D386" s="137" t="s">
        <v>6</v>
      </c>
      <c r="E386" s="137" t="s">
        <v>6</v>
      </c>
      <c r="F386" s="135" t="s">
        <v>6</v>
      </c>
      <c r="G386" s="135" t="s">
        <v>6</v>
      </c>
      <c r="H386" s="135" t="s">
        <v>6</v>
      </c>
      <c r="I386" s="135" t="s">
        <v>6</v>
      </c>
      <c r="J386" s="135" t="s">
        <v>203</v>
      </c>
      <c r="K386" s="135" t="s">
        <v>204</v>
      </c>
    </row>
    <row r="387" s="3" customFormat="1" ht="21" customHeight="1" spans="1:11">
      <c r="A387" s="68" t="s">
        <v>205</v>
      </c>
      <c r="B387" s="68">
        <v>12</v>
      </c>
      <c r="C387" s="113" t="s">
        <v>206</v>
      </c>
      <c r="D387" s="228">
        <v>12</v>
      </c>
      <c r="E387" s="228"/>
      <c r="F387" s="228"/>
      <c r="G387" s="228"/>
      <c r="H387" s="228"/>
      <c r="I387" s="68"/>
      <c r="J387" s="68"/>
      <c r="K387" s="56">
        <f>SUM(D387:J387)</f>
        <v>12</v>
      </c>
    </row>
    <row r="388" s="3" customFormat="1" ht="21" customHeight="1" spans="1:11">
      <c r="A388" s="116" t="s">
        <v>207</v>
      </c>
      <c r="B388" s="68">
        <v>11.5</v>
      </c>
      <c r="C388" s="117" t="s">
        <v>208</v>
      </c>
      <c r="D388" s="228">
        <v>31.5</v>
      </c>
      <c r="E388" s="228"/>
      <c r="F388" s="228"/>
      <c r="G388" s="228"/>
      <c r="H388" s="228"/>
      <c r="I388" s="68"/>
      <c r="J388" s="68"/>
      <c r="K388" s="56">
        <f>SUM(D388:J388)</f>
        <v>31.5</v>
      </c>
    </row>
    <row r="389" s="3" customFormat="1" ht="21" customHeight="1" spans="1:11">
      <c r="A389" s="116"/>
      <c r="B389" s="68"/>
      <c r="C389" s="117" t="s">
        <v>210</v>
      </c>
      <c r="D389" s="228">
        <v>23</v>
      </c>
      <c r="E389" s="228"/>
      <c r="F389" s="228"/>
      <c r="G389" s="228"/>
      <c r="H389" s="228"/>
      <c r="I389" s="68"/>
      <c r="J389" s="68"/>
      <c r="K389" s="56">
        <f t="shared" ref="K389:K407" si="15">SUM(D389:J389)</f>
        <v>23</v>
      </c>
    </row>
    <row r="390" s="3" customFormat="1" ht="21" customHeight="1" spans="1:11">
      <c r="A390" s="79" t="s">
        <v>237</v>
      </c>
      <c r="B390" s="56">
        <v>11.5</v>
      </c>
      <c r="C390" s="61" t="s">
        <v>212</v>
      </c>
      <c r="D390" s="228">
        <v>40</v>
      </c>
      <c r="E390" s="228"/>
      <c r="F390" s="228"/>
      <c r="G390" s="228"/>
      <c r="H390" s="228"/>
      <c r="I390" s="68"/>
      <c r="J390" s="68"/>
      <c r="K390" s="56">
        <f t="shared" si="15"/>
        <v>40</v>
      </c>
    </row>
    <row r="391" s="3" customFormat="1" ht="21" customHeight="1" spans="1:11">
      <c r="A391" s="80"/>
      <c r="B391" s="56"/>
      <c r="C391" s="3" t="s">
        <v>215</v>
      </c>
      <c r="D391" s="228">
        <v>30</v>
      </c>
      <c r="E391" s="228"/>
      <c r="F391" s="228"/>
      <c r="G391" s="228"/>
      <c r="H391" s="228"/>
      <c r="I391" s="68"/>
      <c r="J391" s="68"/>
      <c r="K391" s="56">
        <f t="shared" si="15"/>
        <v>30</v>
      </c>
    </row>
    <row r="392" s="3" customFormat="1" ht="21" customHeight="1" spans="1:11">
      <c r="A392" s="81" t="s">
        <v>238</v>
      </c>
      <c r="B392" s="56"/>
      <c r="C392" s="61" t="s">
        <v>213</v>
      </c>
      <c r="D392" s="228">
        <v>30</v>
      </c>
      <c r="E392" s="228"/>
      <c r="F392" s="228"/>
      <c r="G392" s="228"/>
      <c r="H392" s="228"/>
      <c r="I392" s="68"/>
      <c r="J392" s="68"/>
      <c r="K392" s="56">
        <f t="shared" si="15"/>
        <v>30</v>
      </c>
    </row>
    <row r="393" s="3" customFormat="1" ht="21" customHeight="1" spans="1:11">
      <c r="A393" s="82"/>
      <c r="B393" s="56"/>
      <c r="C393" s="61" t="s">
        <v>216</v>
      </c>
      <c r="D393" s="228">
        <v>30</v>
      </c>
      <c r="E393" s="228"/>
      <c r="F393" s="228"/>
      <c r="G393" s="228"/>
      <c r="H393" s="228"/>
      <c r="I393" s="121"/>
      <c r="J393" s="68"/>
      <c r="K393" s="56">
        <f t="shared" si="15"/>
        <v>30</v>
      </c>
    </row>
    <row r="394" s="3" customFormat="1" ht="21" customHeight="1" spans="1:11">
      <c r="A394" s="84" t="s">
        <v>239</v>
      </c>
      <c r="B394" s="56"/>
      <c r="C394" s="56" t="s">
        <v>214</v>
      </c>
      <c r="D394" s="228">
        <v>23</v>
      </c>
      <c r="E394" s="228"/>
      <c r="F394" s="228"/>
      <c r="G394" s="228"/>
      <c r="H394" s="228"/>
      <c r="I394" s="121"/>
      <c r="J394" s="68"/>
      <c r="K394" s="56">
        <f t="shared" si="15"/>
        <v>23</v>
      </c>
    </row>
    <row r="395" s="3" customFormat="1" ht="21" customHeight="1" spans="1:11">
      <c r="A395" s="68" t="s">
        <v>217</v>
      </c>
      <c r="B395" s="68">
        <v>10.5</v>
      </c>
      <c r="C395" s="68" t="s">
        <v>218</v>
      </c>
      <c r="D395" s="229">
        <v>30</v>
      </c>
      <c r="E395" s="229"/>
      <c r="F395" s="229"/>
      <c r="G395" s="229"/>
      <c r="H395" s="229"/>
      <c r="I395" s="68"/>
      <c r="J395" s="68"/>
      <c r="K395" s="56">
        <f t="shared" si="15"/>
        <v>30</v>
      </c>
    </row>
    <row r="396" s="3" customFormat="1" ht="21" customHeight="1" spans="1:11">
      <c r="A396" s="68"/>
      <c r="B396" s="68"/>
      <c r="C396" s="68" t="s">
        <v>219</v>
      </c>
      <c r="D396" s="228">
        <v>41</v>
      </c>
      <c r="E396" s="228"/>
      <c r="F396" s="228"/>
      <c r="G396" s="228"/>
      <c r="H396" s="228"/>
      <c r="I396" s="68"/>
      <c r="J396" s="68"/>
      <c r="K396" s="56">
        <f t="shared" si="15"/>
        <v>41</v>
      </c>
    </row>
    <row r="397" s="3" customFormat="1" ht="21" customHeight="1" spans="1:11">
      <c r="A397" s="68" t="s">
        <v>220</v>
      </c>
      <c r="B397" s="68">
        <v>11.5</v>
      </c>
      <c r="C397" s="117" t="s">
        <v>221</v>
      </c>
      <c r="D397" s="228">
        <v>41</v>
      </c>
      <c r="E397" s="228"/>
      <c r="F397" s="228"/>
      <c r="G397" s="228"/>
      <c r="H397" s="228"/>
      <c r="I397" s="68"/>
      <c r="J397" s="68"/>
      <c r="K397" s="56">
        <f t="shared" si="15"/>
        <v>41</v>
      </c>
    </row>
    <row r="398" s="3" customFormat="1" ht="21" customHeight="1" spans="1:11">
      <c r="A398" s="68"/>
      <c r="B398" s="68"/>
      <c r="C398" s="117" t="s">
        <v>222</v>
      </c>
      <c r="D398" s="228">
        <v>20.5</v>
      </c>
      <c r="E398" s="228"/>
      <c r="F398" s="228"/>
      <c r="G398" s="228"/>
      <c r="H398" s="228"/>
      <c r="I398" s="68"/>
      <c r="J398" s="68"/>
      <c r="K398" s="56">
        <f t="shared" si="15"/>
        <v>20.5</v>
      </c>
    </row>
    <row r="399" s="3" customFormat="1" ht="21" customHeight="1" spans="1:11">
      <c r="A399" s="68"/>
      <c r="B399" s="68"/>
      <c r="C399" s="117" t="s">
        <v>223</v>
      </c>
      <c r="D399" s="230">
        <v>29</v>
      </c>
      <c r="E399" s="230"/>
      <c r="F399" s="230"/>
      <c r="G399" s="230"/>
      <c r="H399" s="230"/>
      <c r="I399" s="68"/>
      <c r="J399" s="68"/>
      <c r="K399" s="56">
        <f t="shared" si="15"/>
        <v>29</v>
      </c>
    </row>
    <row r="400" s="3" customFormat="1" ht="21" customHeight="1" spans="1:11">
      <c r="A400" s="68"/>
      <c r="B400" s="68"/>
      <c r="C400" s="117" t="s">
        <v>224</v>
      </c>
      <c r="D400" s="231">
        <v>152</v>
      </c>
      <c r="E400" s="231"/>
      <c r="F400" s="231"/>
      <c r="G400" s="231"/>
      <c r="H400" s="231"/>
      <c r="I400" s="68"/>
      <c r="J400" s="68"/>
      <c r="K400" s="56">
        <f t="shared" si="15"/>
        <v>152</v>
      </c>
    </row>
    <row r="401" s="3" customFormat="1" ht="21" customHeight="1" spans="1:16">
      <c r="A401" s="119" t="s">
        <v>225</v>
      </c>
      <c r="B401" s="119">
        <v>10.5</v>
      </c>
      <c r="C401" s="68" t="s">
        <v>226</v>
      </c>
      <c r="D401" s="228">
        <v>25</v>
      </c>
      <c r="E401" s="228"/>
      <c r="F401" s="228"/>
      <c r="G401" s="228"/>
      <c r="H401" s="228"/>
      <c r="I401" s="68"/>
      <c r="J401" s="68"/>
      <c r="K401" s="56">
        <f t="shared" si="15"/>
        <v>25</v>
      </c>
    </row>
    <row r="402" s="3" customFormat="1" ht="21" customHeight="1" spans="1:16">
      <c r="A402" s="119"/>
      <c r="B402" s="119"/>
      <c r="C402" s="68" t="s">
        <v>228</v>
      </c>
      <c r="D402" s="228">
        <v>25</v>
      </c>
      <c r="E402" s="228"/>
      <c r="F402" s="228"/>
      <c r="G402" s="228"/>
      <c r="H402" s="228"/>
      <c r="I402" s="68"/>
      <c r="J402" s="68"/>
      <c r="K402" s="56">
        <f t="shared" si="15"/>
        <v>25</v>
      </c>
    </row>
    <row r="403" s="3" customFormat="1" ht="21" customHeight="1" spans="1:16">
      <c r="A403" s="119"/>
      <c r="B403" s="119"/>
      <c r="C403" s="68" t="s">
        <v>227</v>
      </c>
      <c r="D403" s="228">
        <v>25</v>
      </c>
      <c r="E403" s="228"/>
      <c r="F403" s="228"/>
      <c r="G403" s="228"/>
      <c r="H403" s="228"/>
      <c r="I403" s="68"/>
      <c r="J403" s="68"/>
      <c r="K403" s="56">
        <f t="shared" si="15"/>
        <v>25</v>
      </c>
    </row>
    <row r="404" s="3" customFormat="1" ht="21" customHeight="1" spans="1:16">
      <c r="A404" s="119"/>
      <c r="B404" s="119"/>
      <c r="C404" s="68" t="s">
        <v>229</v>
      </c>
      <c r="D404" s="228">
        <v>25</v>
      </c>
      <c r="E404" s="228"/>
      <c r="F404" s="228"/>
      <c r="G404" s="228"/>
      <c r="H404" s="228"/>
      <c r="I404" s="68"/>
      <c r="J404" s="141"/>
      <c r="K404" s="56">
        <f t="shared" si="15"/>
        <v>25</v>
      </c>
    </row>
    <row r="405" s="3" customFormat="1" ht="21" customHeight="1" spans="1:16">
      <c r="A405" s="119"/>
      <c r="B405" s="119"/>
      <c r="C405" s="68" t="s">
        <v>240</v>
      </c>
      <c r="D405" s="228">
        <v>25.5</v>
      </c>
      <c r="E405" s="228"/>
      <c r="F405" s="228"/>
      <c r="G405" s="228"/>
      <c r="H405" s="228"/>
      <c r="I405" s="68"/>
      <c r="J405" s="141"/>
      <c r="K405" s="56">
        <f t="shared" si="15"/>
        <v>25.5</v>
      </c>
    </row>
    <row r="406" s="3" customFormat="1" ht="21" customHeight="1" spans="1:16">
      <c r="A406" s="121" t="s">
        <v>230</v>
      </c>
      <c r="B406" s="121">
        <v>10.5</v>
      </c>
      <c r="C406" s="68" t="s">
        <v>231</v>
      </c>
      <c r="D406" s="228">
        <v>25</v>
      </c>
      <c r="E406" s="228"/>
      <c r="F406" s="228"/>
      <c r="G406" s="228"/>
      <c r="H406" s="228"/>
      <c r="I406" s="68"/>
      <c r="J406" s="141"/>
      <c r="K406" s="56">
        <f t="shared" si="15"/>
        <v>25</v>
      </c>
    </row>
    <row r="407" s="3" customFormat="1" ht="21" customHeight="1" spans="1:16">
      <c r="A407" s="121" t="s">
        <v>232</v>
      </c>
      <c r="B407" s="121">
        <v>12</v>
      </c>
      <c r="C407" s="121" t="s">
        <v>233</v>
      </c>
      <c r="D407" s="229">
        <v>12</v>
      </c>
      <c r="E407" s="228"/>
      <c r="F407" s="229"/>
      <c r="G407" s="229"/>
      <c r="H407" s="228"/>
      <c r="I407" s="121"/>
      <c r="J407" s="139"/>
      <c r="K407" s="86">
        <f t="shared" si="15"/>
        <v>12</v>
      </c>
    </row>
    <row r="408" s="3" customFormat="1" ht="21" customHeight="1" spans="1:16">
      <c r="A408" s="61"/>
      <c r="B408" s="87"/>
      <c r="C408" s="87"/>
      <c r="D408" s="87">
        <f>SUM(D387:D407)</f>
        <v>695.5</v>
      </c>
      <c r="E408" s="87"/>
      <c r="F408" s="87">
        <f>SUM(F387:F407)</f>
        <v>0</v>
      </c>
      <c r="G408" s="87">
        <f>SUM(G387:G407)</f>
        <v>0</v>
      </c>
      <c r="H408" s="87">
        <f>SUM(H387:H407)</f>
        <v>0</v>
      </c>
      <c r="I408" s="87"/>
      <c r="J408" s="87"/>
      <c r="K408" s="145">
        <f>SUM(K387:K407)</f>
        <v>695.5</v>
      </c>
      <c r="P408" s="3">
        <f>E408+F408+G408</f>
        <v>0</v>
      </c>
    </row>
    <row r="411" s="2" customFormat="1" ht="21.75" customHeight="1" spans="1:16">
      <c r="A411" s="88" t="s">
        <v>371</v>
      </c>
      <c r="B411" s="88"/>
      <c r="C411" s="88"/>
      <c r="D411" s="88"/>
      <c r="E411" s="88"/>
      <c r="F411" s="88"/>
      <c r="G411" s="88"/>
      <c r="H411" s="88"/>
      <c r="I411" s="88"/>
      <c r="J411" s="88"/>
      <c r="K411" s="88"/>
    </row>
    <row r="412" s="2" customFormat="1" ht="21.75" customHeight="1" spans="1:16">
      <c r="A412" s="35" t="s">
        <v>235</v>
      </c>
      <c r="B412" s="36"/>
      <c r="C412" s="36"/>
      <c r="D412" s="37" t="s">
        <v>387</v>
      </c>
      <c r="E412" s="36"/>
      <c r="F412" s="36"/>
      <c r="G412" s="36"/>
      <c r="H412" s="36"/>
      <c r="I412" s="36"/>
      <c r="J412" s="36"/>
      <c r="K412" s="36"/>
    </row>
    <row r="413" s="2" customFormat="1" ht="21.75" customHeight="1" spans="1:16">
      <c r="A413" s="27" t="s">
        <v>200</v>
      </c>
      <c r="B413" s="27" t="s">
        <v>201</v>
      </c>
      <c r="C413" s="38" t="s">
        <v>202</v>
      </c>
      <c r="D413" s="12" t="s">
        <v>6</v>
      </c>
      <c r="E413" s="12" t="s">
        <v>6</v>
      </c>
      <c r="F413" s="27" t="s">
        <v>6</v>
      </c>
      <c r="G413" s="27" t="s">
        <v>6</v>
      </c>
      <c r="H413" s="27" t="s">
        <v>6</v>
      </c>
      <c r="I413" s="27" t="s">
        <v>6</v>
      </c>
      <c r="J413" s="27" t="s">
        <v>203</v>
      </c>
      <c r="K413" s="27" t="s">
        <v>204</v>
      </c>
    </row>
    <row r="414" s="2" customFormat="1" ht="21.75" customHeight="1" spans="1:16">
      <c r="A414" s="27" t="s">
        <v>205</v>
      </c>
      <c r="B414" s="27">
        <v>12</v>
      </c>
      <c r="C414" s="38" t="s">
        <v>206</v>
      </c>
      <c r="D414" s="12">
        <v>12</v>
      </c>
      <c r="E414" s="12">
        <v>10</v>
      </c>
      <c r="F414" s="11"/>
      <c r="G414" s="11"/>
      <c r="H414" s="12"/>
      <c r="I414" s="27"/>
      <c r="J414" s="27"/>
      <c r="K414" s="27">
        <f>SUM(D414:J414)</f>
        <v>22</v>
      </c>
    </row>
    <row r="415" s="2" customFormat="1" ht="21.75" customHeight="1" spans="1:16">
      <c r="A415" s="43" t="s">
        <v>207</v>
      </c>
      <c r="B415" s="12">
        <v>11.5</v>
      </c>
      <c r="C415" s="38" t="s">
        <v>208</v>
      </c>
      <c r="D415" s="12">
        <v>17</v>
      </c>
      <c r="E415" s="12">
        <v>15</v>
      </c>
      <c r="F415" s="11"/>
      <c r="G415" s="11"/>
      <c r="H415" s="12"/>
      <c r="I415" s="27"/>
      <c r="J415" s="27"/>
      <c r="K415" s="27">
        <f>SUM(D415:J415)</f>
        <v>32</v>
      </c>
    </row>
    <row r="416" s="2" customFormat="1" ht="21.75" customHeight="1" spans="1:16">
      <c r="A416" s="44"/>
      <c r="B416" s="39"/>
      <c r="C416" s="38" t="s">
        <v>210</v>
      </c>
      <c r="D416" s="12">
        <v>17</v>
      </c>
      <c r="E416" s="12">
        <v>15</v>
      </c>
      <c r="F416" s="11"/>
      <c r="G416" s="11"/>
      <c r="H416" s="12"/>
      <c r="I416" s="27"/>
      <c r="J416" s="27"/>
      <c r="K416" s="27">
        <f t="shared" ref="K416:K435" si="16">SUM(D416:J416)</f>
        <v>32</v>
      </c>
    </row>
    <row r="417" s="2" customFormat="1" ht="21.75" customHeight="1" spans="1:11">
      <c r="A417" s="43" t="s">
        <v>211</v>
      </c>
      <c r="B417" s="12">
        <v>11.5</v>
      </c>
      <c r="C417" s="38" t="s">
        <v>212</v>
      </c>
      <c r="D417" s="12">
        <v>11.5</v>
      </c>
      <c r="E417" s="12">
        <v>0</v>
      </c>
      <c r="F417" s="11"/>
      <c r="G417" s="11"/>
      <c r="H417" s="12"/>
      <c r="I417" s="27"/>
      <c r="J417" s="27"/>
      <c r="K417" s="27">
        <f t="shared" si="16"/>
        <v>11.5</v>
      </c>
    </row>
    <row r="418" s="2" customFormat="1" ht="21.75" customHeight="1" spans="1:11">
      <c r="A418" s="44"/>
      <c r="B418" s="39"/>
      <c r="C418" s="38" t="s">
        <v>213</v>
      </c>
      <c r="D418" s="12">
        <v>23</v>
      </c>
      <c r="E418" s="12">
        <v>0</v>
      </c>
      <c r="F418" s="11"/>
      <c r="G418" s="11"/>
      <c r="H418" s="12"/>
      <c r="I418" s="27"/>
      <c r="J418" s="27"/>
      <c r="K418" s="27">
        <f t="shared" si="16"/>
        <v>23</v>
      </c>
    </row>
    <row r="419" s="2" customFormat="1" ht="21.75" customHeight="1" spans="1:11">
      <c r="A419" s="44"/>
      <c r="B419" s="39"/>
      <c r="C419" s="27" t="s">
        <v>214</v>
      </c>
      <c r="D419" s="12">
        <v>0</v>
      </c>
      <c r="E419" s="12">
        <v>15</v>
      </c>
      <c r="F419" s="11"/>
      <c r="G419" s="11"/>
      <c r="H419" s="12"/>
      <c r="I419" s="27"/>
      <c r="J419" s="27"/>
      <c r="K419" s="27">
        <f t="shared" si="16"/>
        <v>15</v>
      </c>
    </row>
    <row r="420" s="2" customFormat="1" ht="21.75" customHeight="1" spans="1:11">
      <c r="A420" s="44"/>
      <c r="B420" s="39"/>
      <c r="C420" s="38" t="s">
        <v>216</v>
      </c>
      <c r="D420" s="12">
        <v>23</v>
      </c>
      <c r="E420" s="121">
        <v>15</v>
      </c>
      <c r="F420" s="11"/>
      <c r="G420" s="11"/>
      <c r="H420" s="12"/>
      <c r="I420" s="12"/>
      <c r="J420" s="27"/>
      <c r="K420" s="27">
        <f t="shared" si="16"/>
        <v>38</v>
      </c>
    </row>
    <row r="421" s="2" customFormat="1" ht="21.75" customHeight="1" spans="1:11">
      <c r="A421" s="45"/>
      <c r="B421" s="46"/>
      <c r="C421" s="38" t="s">
        <v>215</v>
      </c>
      <c r="D421" s="12">
        <v>23</v>
      </c>
      <c r="E421" s="121">
        <v>15</v>
      </c>
      <c r="F421" s="11"/>
      <c r="G421" s="11"/>
      <c r="H421" s="12"/>
      <c r="I421" s="12"/>
      <c r="J421" s="27"/>
      <c r="K421" s="27">
        <f t="shared" si="16"/>
        <v>38</v>
      </c>
    </row>
    <row r="422" s="2" customFormat="1" ht="21.75" customHeight="1" spans="1:11">
      <c r="A422" s="27" t="s">
        <v>217</v>
      </c>
      <c r="B422" s="27">
        <v>10.5</v>
      </c>
      <c r="C422" s="27" t="s">
        <v>218</v>
      </c>
      <c r="D422" s="12">
        <v>10</v>
      </c>
      <c r="E422" s="121">
        <v>15</v>
      </c>
      <c r="F422" s="22"/>
      <c r="G422" s="22"/>
      <c r="H422" s="12"/>
      <c r="I422" s="27"/>
      <c r="J422" s="27"/>
      <c r="K422" s="27">
        <f t="shared" si="16"/>
        <v>25</v>
      </c>
    </row>
    <row r="423" s="2" customFormat="1" ht="21.75" customHeight="1" spans="1:11">
      <c r="A423" s="27"/>
      <c r="B423" s="27"/>
      <c r="C423" s="27" t="s">
        <v>219</v>
      </c>
      <c r="D423" s="12">
        <v>10</v>
      </c>
      <c r="E423" s="121">
        <v>0</v>
      </c>
      <c r="F423" s="11"/>
      <c r="G423" s="11"/>
      <c r="H423" s="12"/>
      <c r="I423" s="27"/>
      <c r="J423" s="27"/>
      <c r="K423" s="27">
        <f t="shared" si="16"/>
        <v>10</v>
      </c>
    </row>
    <row r="424" s="2" customFormat="1" ht="21.75" customHeight="1" spans="1:11">
      <c r="A424" s="27" t="s">
        <v>220</v>
      </c>
      <c r="B424" s="27">
        <v>11.5</v>
      </c>
      <c r="C424" s="38" t="s">
        <v>221</v>
      </c>
      <c r="D424" s="12">
        <v>21</v>
      </c>
      <c r="E424" s="121">
        <v>0</v>
      </c>
      <c r="F424" s="11"/>
      <c r="G424" s="11"/>
      <c r="H424" s="12"/>
      <c r="I424" s="27"/>
      <c r="J424" s="27"/>
      <c r="K424" s="27">
        <f t="shared" si="16"/>
        <v>21</v>
      </c>
    </row>
    <row r="425" s="2" customFormat="1" ht="21.75" customHeight="1" spans="1:11">
      <c r="A425" s="27"/>
      <c r="B425" s="27"/>
      <c r="C425" s="38" t="s">
        <v>222</v>
      </c>
      <c r="D425" s="12">
        <v>11.5</v>
      </c>
      <c r="E425" s="121">
        <v>0</v>
      </c>
      <c r="F425" s="11"/>
      <c r="G425" s="11"/>
      <c r="H425" s="12"/>
      <c r="I425" s="27"/>
      <c r="J425" s="27"/>
      <c r="K425" s="27">
        <f t="shared" si="16"/>
        <v>11.5</v>
      </c>
    </row>
    <row r="426" s="2" customFormat="1" ht="21.75" customHeight="1" spans="1:11">
      <c r="A426" s="27"/>
      <c r="B426" s="27"/>
      <c r="C426" s="38" t="s">
        <v>223</v>
      </c>
      <c r="D426" s="12">
        <v>10</v>
      </c>
      <c r="E426" s="121">
        <v>0</v>
      </c>
      <c r="F426" s="23"/>
      <c r="G426" s="23"/>
      <c r="H426" s="12"/>
      <c r="I426" s="27"/>
      <c r="J426" s="27"/>
      <c r="K426" s="27">
        <f t="shared" si="16"/>
        <v>10</v>
      </c>
    </row>
    <row r="427" s="2" customFormat="1" ht="21.75" customHeight="1" spans="1:11">
      <c r="A427" s="27"/>
      <c r="B427" s="27"/>
      <c r="C427" s="38" t="s">
        <v>224</v>
      </c>
      <c r="D427" s="12">
        <v>90</v>
      </c>
      <c r="E427" s="121">
        <v>10</v>
      </c>
      <c r="F427" s="24"/>
      <c r="G427" s="24"/>
      <c r="H427" s="12"/>
      <c r="I427" s="27"/>
      <c r="J427" s="27"/>
      <c r="K427" s="27">
        <f t="shared" si="16"/>
        <v>100</v>
      </c>
    </row>
    <row r="428" s="2" customFormat="1" ht="21.75" customHeight="1" spans="1:11">
      <c r="A428" s="39" t="s">
        <v>225</v>
      </c>
      <c r="B428" s="39">
        <v>10.5</v>
      </c>
      <c r="C428" s="27" t="s">
        <v>226</v>
      </c>
      <c r="D428" s="12">
        <v>10.5</v>
      </c>
      <c r="E428" s="121">
        <v>10</v>
      </c>
      <c r="F428" s="11"/>
      <c r="G428" s="11"/>
      <c r="H428" s="12"/>
      <c r="I428" s="27"/>
      <c r="J428" s="27"/>
      <c r="K428" s="27">
        <f t="shared" si="16"/>
        <v>20.5</v>
      </c>
    </row>
    <row r="429" s="2" customFormat="1" ht="21.75" customHeight="1" spans="1:11">
      <c r="A429" s="39"/>
      <c r="B429" s="39"/>
      <c r="C429" s="27" t="s">
        <v>250</v>
      </c>
      <c r="D429" s="12">
        <v>10.5</v>
      </c>
      <c r="E429" s="121">
        <v>10</v>
      </c>
      <c r="F429" s="11"/>
      <c r="G429" s="11"/>
      <c r="H429" s="12"/>
      <c r="I429" s="27"/>
      <c r="J429" s="27"/>
      <c r="K429" s="27">
        <f t="shared" si="16"/>
        <v>20.5</v>
      </c>
    </row>
    <row r="430" s="2" customFormat="1" ht="21.75" customHeight="1" spans="1:11">
      <c r="A430" s="39"/>
      <c r="B430" s="39"/>
      <c r="C430" s="27" t="s">
        <v>228</v>
      </c>
      <c r="D430" s="12">
        <v>10.5</v>
      </c>
      <c r="E430" s="121">
        <v>10</v>
      </c>
      <c r="F430" s="11"/>
      <c r="G430" s="11"/>
      <c r="H430" s="12"/>
      <c r="I430" s="27"/>
      <c r="J430" s="27"/>
      <c r="K430" s="27">
        <f t="shared" si="16"/>
        <v>20.5</v>
      </c>
    </row>
    <row r="431" s="2" customFormat="1" ht="21.75" customHeight="1" spans="1:11">
      <c r="A431" s="39"/>
      <c r="B431" s="39"/>
      <c r="C431" s="27" t="s">
        <v>227</v>
      </c>
      <c r="D431" s="12">
        <v>10.5</v>
      </c>
      <c r="E431" s="121">
        <v>10</v>
      </c>
      <c r="F431" s="11"/>
      <c r="G431" s="11"/>
      <c r="H431" s="12"/>
      <c r="I431" s="27"/>
      <c r="J431" s="27"/>
      <c r="K431" s="27">
        <f t="shared" si="16"/>
        <v>20.5</v>
      </c>
    </row>
    <row r="432" s="2" customFormat="1" ht="21.75" customHeight="1" spans="1:11">
      <c r="A432" s="39"/>
      <c r="B432" s="39"/>
      <c r="C432" s="27" t="s">
        <v>229</v>
      </c>
      <c r="D432" s="12">
        <v>10.5</v>
      </c>
      <c r="E432" s="121">
        <v>10</v>
      </c>
      <c r="F432" s="11"/>
      <c r="G432" s="11"/>
      <c r="H432" s="12"/>
      <c r="I432" s="27"/>
      <c r="J432" s="40"/>
      <c r="K432" s="27">
        <f t="shared" si="16"/>
        <v>20.5</v>
      </c>
    </row>
    <row r="433" s="2" customFormat="1" ht="21.75" customHeight="1" spans="1:11">
      <c r="A433" s="39"/>
      <c r="B433" s="39"/>
      <c r="C433" s="27" t="s">
        <v>240</v>
      </c>
      <c r="D433" s="12">
        <v>10.5</v>
      </c>
      <c r="E433" s="121">
        <v>10</v>
      </c>
      <c r="F433" s="11"/>
      <c r="G433" s="11"/>
      <c r="H433" s="12"/>
      <c r="I433" s="27"/>
      <c r="J433" s="40"/>
      <c r="K433" s="27">
        <f t="shared" si="16"/>
        <v>20.5</v>
      </c>
    </row>
    <row r="434" s="2" customFormat="1" ht="21.75" customHeight="1" spans="1:11">
      <c r="A434" s="12" t="s">
        <v>230</v>
      </c>
      <c r="B434" s="12">
        <v>10.5</v>
      </c>
      <c r="C434" s="27" t="s">
        <v>231</v>
      </c>
      <c r="D434" s="12">
        <v>10.5</v>
      </c>
      <c r="E434" s="68">
        <v>10.5</v>
      </c>
      <c r="F434" s="11"/>
      <c r="G434" s="11"/>
      <c r="H434" s="27"/>
      <c r="I434" s="27"/>
      <c r="J434" s="40"/>
      <c r="K434" s="27">
        <f t="shared" si="16"/>
        <v>21</v>
      </c>
    </row>
    <row r="435" s="2" customFormat="1" ht="21.75" customHeight="1" spans="1:11">
      <c r="A435" s="12" t="s">
        <v>232</v>
      </c>
      <c r="B435" s="12">
        <v>12</v>
      </c>
      <c r="C435" s="12" t="s">
        <v>233</v>
      </c>
      <c r="D435" s="12">
        <v>12</v>
      </c>
      <c r="E435" s="12">
        <v>12</v>
      </c>
      <c r="F435" s="89"/>
      <c r="G435" s="89"/>
      <c r="H435" s="12"/>
      <c r="I435" s="12"/>
      <c r="J435" s="90"/>
      <c r="K435" s="27">
        <f t="shared" si="16"/>
        <v>24</v>
      </c>
    </row>
    <row r="436" s="2" customFormat="1" ht="21.75" customHeight="1" spans="1:11">
      <c r="A436" s="38"/>
      <c r="B436" s="41"/>
      <c r="C436" s="41"/>
      <c r="D436" s="41"/>
      <c r="E436" s="41"/>
      <c r="F436" s="41"/>
      <c r="G436" s="41"/>
      <c r="H436" s="41"/>
      <c r="I436" s="41"/>
      <c r="J436" s="40"/>
      <c r="K436" s="27">
        <f>SUM(K414:K435)</f>
        <v>557</v>
      </c>
    </row>
    <row r="439" s="2" customFormat="1" ht="24" customHeight="1" spans="1:11">
      <c r="A439" s="48" t="s">
        <v>371</v>
      </c>
      <c r="B439" s="49"/>
      <c r="C439" s="49"/>
      <c r="D439" s="49"/>
      <c r="E439" s="49"/>
      <c r="F439" s="49"/>
      <c r="G439" s="49"/>
      <c r="H439" s="49"/>
      <c r="I439" s="49"/>
      <c r="J439" s="49"/>
      <c r="K439" s="50"/>
    </row>
    <row r="440" s="2" customFormat="1" ht="24" customHeight="1" spans="1:11">
      <c r="A440" s="51" t="s">
        <v>257</v>
      </c>
      <c r="B440" s="52"/>
      <c r="C440" s="52"/>
      <c r="D440" s="53" t="s">
        <v>388</v>
      </c>
      <c r="E440" s="52"/>
      <c r="F440" s="52"/>
      <c r="G440" s="52"/>
      <c r="H440" s="52"/>
      <c r="I440" s="52"/>
      <c r="J440" s="52"/>
      <c r="K440" s="52"/>
    </row>
    <row r="441" s="2" customFormat="1" ht="24" customHeight="1" spans="1:11">
      <c r="A441" s="47" t="s">
        <v>200</v>
      </c>
      <c r="B441" s="47" t="s">
        <v>201</v>
      </c>
      <c r="C441" s="54" t="s">
        <v>202</v>
      </c>
      <c r="D441" s="55" t="s">
        <v>6</v>
      </c>
      <c r="E441" s="55" t="s">
        <v>6</v>
      </c>
      <c r="F441" s="47" t="s">
        <v>6</v>
      </c>
      <c r="G441" s="47" t="s">
        <v>6</v>
      </c>
      <c r="H441" s="47" t="s">
        <v>6</v>
      </c>
      <c r="I441" s="47" t="s">
        <v>6</v>
      </c>
      <c r="J441" s="47" t="s">
        <v>203</v>
      </c>
      <c r="K441" s="47" t="s">
        <v>204</v>
      </c>
    </row>
    <row r="442" s="2" customFormat="1" ht="24" customHeight="1" spans="1:11">
      <c r="A442" s="55" t="s">
        <v>205</v>
      </c>
      <c r="B442" s="47">
        <v>12</v>
      </c>
      <c r="C442" s="54" t="s">
        <v>206</v>
      </c>
      <c r="D442" s="12">
        <v>12</v>
      </c>
      <c r="E442" s="12">
        <v>10</v>
      </c>
      <c r="F442" s="13">
        <v>0</v>
      </c>
      <c r="G442" s="55"/>
      <c r="H442" s="55"/>
      <c r="I442" s="47"/>
      <c r="J442" s="47"/>
      <c r="K442" s="56">
        <f t="shared" ref="K442:K462" si="17">SUM(D442:J442)</f>
        <v>22</v>
      </c>
    </row>
    <row r="443" s="2" customFormat="1" ht="24" customHeight="1" spans="1:11">
      <c r="A443" s="57" t="s">
        <v>207</v>
      </c>
      <c r="B443" s="58">
        <v>11.5</v>
      </c>
      <c r="C443" s="54" t="s">
        <v>208</v>
      </c>
      <c r="D443" s="12">
        <v>11.5</v>
      </c>
      <c r="E443" s="12">
        <v>10</v>
      </c>
      <c r="F443" s="13">
        <v>10</v>
      </c>
      <c r="G443" s="55"/>
      <c r="H443" s="55"/>
      <c r="I443" s="47"/>
      <c r="J443" s="47"/>
      <c r="K443" s="56">
        <f t="shared" si="17"/>
        <v>31.5</v>
      </c>
    </row>
    <row r="444" s="2" customFormat="1" ht="24" customHeight="1" spans="1:11">
      <c r="A444" s="57"/>
      <c r="B444" s="58"/>
      <c r="C444" s="54" t="s">
        <v>210</v>
      </c>
      <c r="D444" s="12">
        <v>23</v>
      </c>
      <c r="E444" s="12">
        <v>20</v>
      </c>
      <c r="F444" s="13">
        <v>5</v>
      </c>
      <c r="G444" s="55"/>
      <c r="H444" s="55"/>
      <c r="I444" s="47"/>
      <c r="J444" s="47"/>
      <c r="K444" s="56">
        <f t="shared" si="17"/>
        <v>48</v>
      </c>
    </row>
    <row r="445" s="2" customFormat="1" ht="24" customHeight="1" spans="1:11">
      <c r="A445" s="59" t="s">
        <v>237</v>
      </c>
      <c r="B445" s="60">
        <v>11.5</v>
      </c>
      <c r="C445" s="61" t="s">
        <v>212</v>
      </c>
      <c r="D445" s="27">
        <v>11.5</v>
      </c>
      <c r="E445" s="12">
        <v>11</v>
      </c>
      <c r="F445" s="13">
        <v>10</v>
      </c>
      <c r="G445" s="55"/>
      <c r="H445" s="55"/>
      <c r="I445" s="47"/>
      <c r="J445" s="47"/>
      <c r="K445" s="56">
        <f t="shared" si="17"/>
        <v>32.5</v>
      </c>
    </row>
    <row r="446" s="2" customFormat="1" ht="24" customHeight="1" spans="1:11">
      <c r="A446" s="59"/>
      <c r="B446" s="60"/>
      <c r="C446" s="3" t="s">
        <v>215</v>
      </c>
      <c r="D446" s="27">
        <v>10</v>
      </c>
      <c r="E446" s="12">
        <v>0</v>
      </c>
      <c r="F446" s="13">
        <v>5</v>
      </c>
      <c r="G446" s="55"/>
      <c r="H446" s="55"/>
      <c r="I446" s="47"/>
      <c r="J446" s="47"/>
      <c r="K446" s="56">
        <f t="shared" si="17"/>
        <v>15</v>
      </c>
    </row>
    <row r="447" s="2" customFormat="1" ht="24" customHeight="1" spans="1:11">
      <c r="A447" s="62" t="s">
        <v>238</v>
      </c>
      <c r="B447" s="60"/>
      <c r="C447" s="61" t="s">
        <v>213</v>
      </c>
      <c r="D447" s="27">
        <v>11.5</v>
      </c>
      <c r="E447" s="12">
        <v>11</v>
      </c>
      <c r="F447" s="13">
        <v>10</v>
      </c>
      <c r="G447" s="55"/>
      <c r="H447" s="55"/>
      <c r="I447" s="47"/>
      <c r="J447" s="47"/>
      <c r="K447" s="56">
        <f t="shared" si="17"/>
        <v>32.5</v>
      </c>
    </row>
    <row r="448" s="2" customFormat="1" ht="24" customHeight="1" spans="1:11">
      <c r="A448" s="62"/>
      <c r="B448" s="60"/>
      <c r="C448" s="61" t="s">
        <v>216</v>
      </c>
      <c r="D448" s="27">
        <v>10</v>
      </c>
      <c r="E448" s="12">
        <v>5</v>
      </c>
      <c r="F448" s="13">
        <v>0</v>
      </c>
      <c r="G448" s="55"/>
      <c r="H448" s="55"/>
      <c r="I448" s="55"/>
      <c r="J448" s="47"/>
      <c r="K448" s="56">
        <f t="shared" si="17"/>
        <v>15</v>
      </c>
    </row>
    <row r="449" s="2" customFormat="1" ht="24" customHeight="1" spans="1:11">
      <c r="A449" s="57" t="s">
        <v>239</v>
      </c>
      <c r="B449" s="60"/>
      <c r="C449" s="56" t="s">
        <v>214</v>
      </c>
      <c r="D449" s="27">
        <v>10</v>
      </c>
      <c r="E449" s="12">
        <v>0</v>
      </c>
      <c r="F449" s="13">
        <v>5</v>
      </c>
      <c r="G449" s="55"/>
      <c r="H449" s="55"/>
      <c r="I449" s="55"/>
      <c r="J449" s="47"/>
      <c r="K449" s="56">
        <f t="shared" si="17"/>
        <v>15</v>
      </c>
    </row>
    <row r="450" s="2" customFormat="1" ht="24" customHeight="1" spans="1:11">
      <c r="A450" s="63" t="s">
        <v>217</v>
      </c>
      <c r="B450" s="47">
        <v>10.5</v>
      </c>
      <c r="C450" s="47" t="s">
        <v>218</v>
      </c>
      <c r="D450" s="27">
        <v>10</v>
      </c>
      <c r="E450" s="12">
        <v>0</v>
      </c>
      <c r="F450" s="13">
        <v>5</v>
      </c>
      <c r="G450" s="55"/>
      <c r="H450" s="55"/>
      <c r="I450" s="47"/>
      <c r="J450" s="47"/>
      <c r="K450" s="56">
        <f t="shared" si="17"/>
        <v>15</v>
      </c>
    </row>
    <row r="451" s="2" customFormat="1" ht="24" customHeight="1" spans="1:11">
      <c r="A451" s="47"/>
      <c r="B451" s="47"/>
      <c r="C451" s="47" t="s">
        <v>219</v>
      </c>
      <c r="D451" s="27">
        <v>10</v>
      </c>
      <c r="E451" s="12">
        <v>0</v>
      </c>
      <c r="F451" s="13">
        <v>0</v>
      </c>
      <c r="G451" s="55"/>
      <c r="H451" s="55"/>
      <c r="I451" s="47"/>
      <c r="J451" s="47"/>
      <c r="K451" s="56">
        <f t="shared" si="17"/>
        <v>10</v>
      </c>
    </row>
    <row r="452" s="2" customFormat="1" ht="24" customHeight="1" spans="1:11">
      <c r="A452" s="47" t="s">
        <v>220</v>
      </c>
      <c r="B452" s="47">
        <v>11.5</v>
      </c>
      <c r="C452" s="54" t="s">
        <v>221</v>
      </c>
      <c r="D452" s="12">
        <v>20</v>
      </c>
      <c r="E452" s="12">
        <v>5</v>
      </c>
      <c r="F452" s="13">
        <v>0</v>
      </c>
      <c r="G452" s="55"/>
      <c r="H452" s="55"/>
      <c r="I452" s="47"/>
      <c r="J452" s="47"/>
      <c r="K452" s="56">
        <f t="shared" si="17"/>
        <v>25</v>
      </c>
    </row>
    <row r="453" s="2" customFormat="1" ht="24" customHeight="1" spans="1:11">
      <c r="A453" s="47"/>
      <c r="B453" s="47"/>
      <c r="C453" s="54" t="s">
        <v>222</v>
      </c>
      <c r="D453" s="12">
        <v>10</v>
      </c>
      <c r="E453" s="12">
        <v>0</v>
      </c>
      <c r="F453" s="13">
        <v>5</v>
      </c>
      <c r="G453" s="55"/>
      <c r="H453" s="55"/>
      <c r="I453" s="47"/>
      <c r="J453" s="47"/>
      <c r="K453" s="56">
        <f t="shared" si="17"/>
        <v>15</v>
      </c>
    </row>
    <row r="454" s="2" customFormat="1" ht="24" customHeight="1" spans="1:11">
      <c r="A454" s="47"/>
      <c r="B454" s="47"/>
      <c r="C454" s="54" t="s">
        <v>223</v>
      </c>
      <c r="D454" s="12">
        <v>10</v>
      </c>
      <c r="E454" s="12">
        <v>5</v>
      </c>
      <c r="F454" s="13">
        <v>0</v>
      </c>
      <c r="G454" s="55"/>
      <c r="H454" s="55"/>
      <c r="I454" s="47"/>
      <c r="J454" s="47"/>
      <c r="K454" s="56">
        <f t="shared" si="17"/>
        <v>15</v>
      </c>
    </row>
    <row r="455" s="2" customFormat="1" ht="24" customHeight="1" spans="1:11">
      <c r="A455" s="47"/>
      <c r="B455" s="47"/>
      <c r="C455" s="54" t="s">
        <v>224</v>
      </c>
      <c r="D455" s="12">
        <v>30</v>
      </c>
      <c r="E455" s="12">
        <v>5</v>
      </c>
      <c r="F455" s="13">
        <v>5</v>
      </c>
      <c r="G455" s="55"/>
      <c r="H455" s="55"/>
      <c r="I455" s="47"/>
      <c r="J455" s="47"/>
      <c r="K455" s="56">
        <f t="shared" si="17"/>
        <v>40</v>
      </c>
    </row>
    <row r="456" s="2" customFormat="1" ht="24" customHeight="1" spans="1:11">
      <c r="A456" s="64" t="s">
        <v>225</v>
      </c>
      <c r="B456" s="64">
        <v>10.5</v>
      </c>
      <c r="C456" s="47" t="s">
        <v>226</v>
      </c>
      <c r="D456" s="12">
        <v>6</v>
      </c>
      <c r="E456" s="12">
        <v>5</v>
      </c>
      <c r="F456" s="28">
        <v>5</v>
      </c>
      <c r="G456" s="55"/>
      <c r="H456" s="55"/>
      <c r="I456" s="47"/>
      <c r="J456" s="47"/>
      <c r="K456" s="56">
        <f t="shared" si="17"/>
        <v>16</v>
      </c>
    </row>
    <row r="457" s="2" customFormat="1" ht="24" customHeight="1" spans="1:11">
      <c r="A457" s="64"/>
      <c r="B457" s="64"/>
      <c r="C457" s="47" t="s">
        <v>228</v>
      </c>
      <c r="D457" s="12">
        <v>6</v>
      </c>
      <c r="E457" s="12">
        <v>0</v>
      </c>
      <c r="F457" s="13">
        <v>5</v>
      </c>
      <c r="G457" s="55"/>
      <c r="H457" s="55"/>
      <c r="I457" s="47"/>
      <c r="J457" s="47"/>
      <c r="K457" s="56">
        <f t="shared" si="17"/>
        <v>11</v>
      </c>
    </row>
    <row r="458" s="2" customFormat="1" ht="24" customHeight="1" spans="1:11">
      <c r="A458" s="64"/>
      <c r="B458" s="64"/>
      <c r="C458" s="47" t="s">
        <v>227</v>
      </c>
      <c r="D458" s="12">
        <v>5</v>
      </c>
      <c r="E458" s="12">
        <v>0</v>
      </c>
      <c r="F458" s="13">
        <v>5</v>
      </c>
      <c r="G458" s="55"/>
      <c r="H458" s="55"/>
      <c r="I458" s="47"/>
      <c r="J458" s="47"/>
      <c r="K458" s="56">
        <f t="shared" si="17"/>
        <v>10</v>
      </c>
    </row>
    <row r="459" s="2" customFormat="1" ht="24" customHeight="1" spans="1:11">
      <c r="A459" s="64"/>
      <c r="B459" s="64"/>
      <c r="C459" s="47" t="s">
        <v>229</v>
      </c>
      <c r="D459" s="12">
        <v>6</v>
      </c>
      <c r="E459" s="12">
        <v>5</v>
      </c>
      <c r="F459" s="13">
        <v>5</v>
      </c>
      <c r="G459" s="55"/>
      <c r="H459" s="55"/>
      <c r="I459" s="47"/>
      <c r="J459" s="58"/>
      <c r="K459" s="56">
        <f t="shared" si="17"/>
        <v>16</v>
      </c>
    </row>
    <row r="460" s="2" customFormat="1" ht="24" customHeight="1" spans="1:11">
      <c r="A460" s="64"/>
      <c r="B460" s="64"/>
      <c r="C460" s="47" t="s">
        <v>240</v>
      </c>
      <c r="D460" s="12">
        <v>6</v>
      </c>
      <c r="E460" s="12">
        <v>5</v>
      </c>
      <c r="F460" s="13">
        <v>5</v>
      </c>
      <c r="G460" s="55"/>
      <c r="H460" s="55"/>
      <c r="I460" s="47"/>
      <c r="J460" s="58"/>
      <c r="K460" s="56">
        <f t="shared" si="17"/>
        <v>16</v>
      </c>
    </row>
    <row r="461" s="2" customFormat="1" ht="24" customHeight="1" spans="1:11">
      <c r="A461" s="55" t="s">
        <v>230</v>
      </c>
      <c r="B461" s="55">
        <v>10.5</v>
      </c>
      <c r="C461" s="47" t="s">
        <v>231</v>
      </c>
      <c r="D461" s="27">
        <v>10.5</v>
      </c>
      <c r="E461" s="27">
        <v>10.5</v>
      </c>
      <c r="F461" s="13">
        <v>0</v>
      </c>
      <c r="G461" s="47"/>
      <c r="H461" s="47"/>
      <c r="I461" s="47"/>
      <c r="J461" s="58"/>
      <c r="K461" s="56">
        <f t="shared" si="17"/>
        <v>21</v>
      </c>
    </row>
    <row r="462" s="2" customFormat="1" ht="24" customHeight="1" spans="1:11">
      <c r="A462" s="47" t="s">
        <v>232</v>
      </c>
      <c r="B462" s="47">
        <v>12</v>
      </c>
      <c r="C462" s="47" t="s">
        <v>233</v>
      </c>
      <c r="D462" s="27">
        <v>12</v>
      </c>
      <c r="E462" s="27">
        <v>12</v>
      </c>
      <c r="F462" s="13">
        <v>0</v>
      </c>
      <c r="G462" s="47"/>
      <c r="H462" s="47"/>
      <c r="I462" s="47"/>
      <c r="J462" s="58"/>
      <c r="K462" s="56">
        <f t="shared" si="17"/>
        <v>24</v>
      </c>
    </row>
    <row r="463" s="2" customFormat="1" ht="24" customHeight="1" spans="1:11">
      <c r="A463" s="54"/>
      <c r="B463" s="65"/>
      <c r="C463" s="65"/>
      <c r="D463" s="66">
        <f t="shared" ref="D463:F463" si="18">SUM(D442:D462)</f>
        <v>241</v>
      </c>
      <c r="E463" s="66">
        <f t="shared" si="18"/>
        <v>119.5</v>
      </c>
      <c r="F463" s="66">
        <f t="shared" si="18"/>
        <v>85</v>
      </c>
      <c r="G463" s="65"/>
      <c r="H463" s="65"/>
      <c r="I463" s="65"/>
      <c r="J463" s="67"/>
      <c r="K463" s="68">
        <f>SUM(K442:K462)</f>
        <v>445.5</v>
      </c>
    </row>
    <row r="466" s="2" customFormat="1" ht="21.75" customHeight="1" spans="1:11">
      <c r="A466" s="42" t="s">
        <v>371</v>
      </c>
      <c r="B466" s="42"/>
      <c r="C466" s="42"/>
      <c r="D466" s="42"/>
      <c r="E466" s="42"/>
      <c r="F466" s="42"/>
      <c r="G466" s="42"/>
      <c r="H466" s="42"/>
      <c r="I466" s="42"/>
      <c r="J466" s="42"/>
      <c r="K466" s="42"/>
    </row>
    <row r="467" s="2" customFormat="1" ht="21.75" customHeight="1" spans="1:11">
      <c r="A467" s="35" t="s">
        <v>267</v>
      </c>
      <c r="B467" s="36"/>
      <c r="C467" s="36"/>
      <c r="D467" s="37" t="s">
        <v>389</v>
      </c>
      <c r="E467" s="36"/>
      <c r="F467" s="36"/>
      <c r="G467" s="36"/>
      <c r="H467" s="36"/>
      <c r="I467" s="36"/>
      <c r="J467" s="36"/>
      <c r="K467" s="36"/>
    </row>
    <row r="468" s="2" customFormat="1" ht="21.75" customHeight="1" spans="1:11">
      <c r="A468" s="27" t="s">
        <v>200</v>
      </c>
      <c r="B468" s="27" t="s">
        <v>201</v>
      </c>
      <c r="C468" s="38" t="s">
        <v>202</v>
      </c>
      <c r="D468" s="12" t="s">
        <v>6</v>
      </c>
      <c r="E468" s="12" t="s">
        <v>6</v>
      </c>
      <c r="F468" s="27" t="s">
        <v>6</v>
      </c>
      <c r="G468" s="27" t="s">
        <v>6</v>
      </c>
      <c r="H468" s="27" t="s">
        <v>6</v>
      </c>
      <c r="I468" s="27" t="s">
        <v>6</v>
      </c>
      <c r="J468" s="27" t="s">
        <v>203</v>
      </c>
      <c r="K468" s="27" t="s">
        <v>204</v>
      </c>
    </row>
    <row r="469" s="2" customFormat="1" ht="21.75" customHeight="1" spans="1:11">
      <c r="A469" s="27" t="s">
        <v>205</v>
      </c>
      <c r="B469" s="27">
        <v>12</v>
      </c>
      <c r="C469" s="38" t="s">
        <v>206</v>
      </c>
      <c r="D469" s="12">
        <v>12</v>
      </c>
      <c r="E469" s="12">
        <v>10</v>
      </c>
      <c r="F469" s="11"/>
      <c r="G469" s="11"/>
      <c r="H469" s="12"/>
      <c r="I469" s="27"/>
      <c r="J469" s="27"/>
      <c r="K469" s="27">
        <f t="shared" ref="K469:K490" si="19">SUM(D469:J469)</f>
        <v>22</v>
      </c>
    </row>
    <row r="470" s="2" customFormat="1" ht="21.75" customHeight="1" spans="1:11">
      <c r="A470" s="43" t="s">
        <v>207</v>
      </c>
      <c r="B470" s="12">
        <v>11.5</v>
      </c>
      <c r="C470" s="38" t="s">
        <v>208</v>
      </c>
      <c r="D470" s="12">
        <v>11.5</v>
      </c>
      <c r="E470" s="12">
        <v>10</v>
      </c>
      <c r="F470" s="11"/>
      <c r="G470" s="11"/>
      <c r="H470" s="12"/>
      <c r="I470" s="27"/>
      <c r="J470" s="27"/>
      <c r="K470" s="27">
        <f t="shared" si="19"/>
        <v>21.5</v>
      </c>
    </row>
    <row r="471" s="2" customFormat="1" ht="21.75" customHeight="1" spans="1:11">
      <c r="A471" s="44"/>
      <c r="B471" s="39"/>
      <c r="C471" s="27" t="s">
        <v>209</v>
      </c>
      <c r="D471" s="12">
        <v>11.5</v>
      </c>
      <c r="E471" s="12">
        <v>10</v>
      </c>
      <c r="F471" s="11"/>
      <c r="G471" s="11"/>
      <c r="H471" s="12"/>
      <c r="I471" s="27"/>
      <c r="J471" s="27"/>
      <c r="K471" s="27">
        <f t="shared" si="19"/>
        <v>21.5</v>
      </c>
    </row>
    <row r="472" s="2" customFormat="1" ht="21.75" customHeight="1" spans="1:11">
      <c r="A472" s="44"/>
      <c r="B472" s="39"/>
      <c r="C472" s="38" t="s">
        <v>210</v>
      </c>
      <c r="D472" s="12">
        <v>11.5</v>
      </c>
      <c r="E472" s="12">
        <v>10</v>
      </c>
      <c r="F472" s="11"/>
      <c r="G472" s="11"/>
      <c r="H472" s="12"/>
      <c r="I472" s="27"/>
      <c r="J472" s="27"/>
      <c r="K472" s="27">
        <f t="shared" si="19"/>
        <v>21.5</v>
      </c>
    </row>
    <row r="473" s="2" customFormat="1" ht="21.75" customHeight="1" spans="1:11">
      <c r="A473" s="43" t="s">
        <v>211</v>
      </c>
      <c r="B473" s="12">
        <v>11.5</v>
      </c>
      <c r="C473" s="38" t="s">
        <v>212</v>
      </c>
      <c r="D473" s="27">
        <v>0</v>
      </c>
      <c r="E473" s="27">
        <v>0</v>
      </c>
      <c r="F473" s="11"/>
      <c r="G473" s="11"/>
      <c r="H473" s="12"/>
      <c r="I473" s="27"/>
      <c r="J473" s="27"/>
      <c r="K473" s="27">
        <f t="shared" si="19"/>
        <v>0</v>
      </c>
    </row>
    <row r="474" s="2" customFormat="1" ht="21.75" customHeight="1" spans="1:11">
      <c r="A474" s="44"/>
      <c r="B474" s="39"/>
      <c r="C474" s="38" t="s">
        <v>213</v>
      </c>
      <c r="D474" s="12">
        <v>11.5</v>
      </c>
      <c r="E474" s="12">
        <v>10</v>
      </c>
      <c r="F474" s="11"/>
      <c r="G474" s="11"/>
      <c r="H474" s="12"/>
      <c r="I474" s="27"/>
      <c r="J474" s="27"/>
      <c r="K474" s="27">
        <f t="shared" si="19"/>
        <v>21.5</v>
      </c>
    </row>
    <row r="475" s="2" customFormat="1" ht="21.75" customHeight="1" spans="1:11">
      <c r="A475" s="44"/>
      <c r="B475" s="39"/>
      <c r="C475" s="27" t="s">
        <v>214</v>
      </c>
      <c r="D475" s="27">
        <v>0</v>
      </c>
      <c r="E475" s="27">
        <v>0</v>
      </c>
      <c r="F475" s="11"/>
      <c r="G475" s="11"/>
      <c r="H475" s="12"/>
      <c r="I475" s="27"/>
      <c r="J475" s="27"/>
      <c r="K475" s="27">
        <f t="shared" si="19"/>
        <v>0</v>
      </c>
    </row>
    <row r="476" s="2" customFormat="1" ht="21.75" customHeight="1" spans="1:11">
      <c r="A476" s="44"/>
      <c r="B476" s="39"/>
      <c r="C476" s="38" t="s">
        <v>216</v>
      </c>
      <c r="D476" s="27">
        <v>0</v>
      </c>
      <c r="E476" s="27">
        <v>0</v>
      </c>
      <c r="F476" s="11"/>
      <c r="G476" s="11"/>
      <c r="H476" s="12"/>
      <c r="I476" s="12"/>
      <c r="J476" s="27"/>
      <c r="K476" s="27">
        <f t="shared" si="19"/>
        <v>0</v>
      </c>
    </row>
    <row r="477" s="2" customFormat="1" ht="21.75" customHeight="1" spans="1:11">
      <c r="A477" s="45"/>
      <c r="B477" s="46"/>
      <c r="C477" s="38" t="s">
        <v>215</v>
      </c>
      <c r="D477" s="12">
        <v>11.5</v>
      </c>
      <c r="E477" s="12">
        <v>10</v>
      </c>
      <c r="F477" s="11"/>
      <c r="G477" s="11"/>
      <c r="H477" s="12"/>
      <c r="I477" s="12"/>
      <c r="J477" s="27"/>
      <c r="K477" s="27">
        <f t="shared" si="19"/>
        <v>21.5</v>
      </c>
    </row>
    <row r="478" s="2" customFormat="1" ht="21.75" customHeight="1" spans="1:11">
      <c r="A478" s="27" t="s">
        <v>217</v>
      </c>
      <c r="B478" s="27">
        <v>10.5</v>
      </c>
      <c r="C478" s="27" t="s">
        <v>218</v>
      </c>
      <c r="D478" s="12">
        <v>10.5</v>
      </c>
      <c r="E478" s="12">
        <v>5</v>
      </c>
      <c r="F478" s="22"/>
      <c r="G478" s="22"/>
      <c r="H478" s="12"/>
      <c r="I478" s="27"/>
      <c r="J478" s="27"/>
      <c r="K478" s="27">
        <f t="shared" si="19"/>
        <v>15.5</v>
      </c>
    </row>
    <row r="479" s="2" customFormat="1" ht="21.75" customHeight="1" spans="1:11">
      <c r="A479" s="27"/>
      <c r="B479" s="27"/>
      <c r="C479" s="27" t="s">
        <v>219</v>
      </c>
      <c r="D479" s="27">
        <v>10.5</v>
      </c>
      <c r="E479" s="27">
        <v>5</v>
      </c>
      <c r="F479" s="11"/>
      <c r="G479" s="11"/>
      <c r="H479" s="12"/>
      <c r="I479" s="27"/>
      <c r="J479" s="27"/>
      <c r="K479" s="27">
        <f t="shared" si="19"/>
        <v>15.5</v>
      </c>
    </row>
    <row r="480" s="2" customFormat="1" ht="21.75" customHeight="1" spans="1:11">
      <c r="A480" s="27" t="s">
        <v>220</v>
      </c>
      <c r="B480" s="27">
        <v>11.5</v>
      </c>
      <c r="C480" s="38" t="s">
        <v>221</v>
      </c>
      <c r="D480" s="27">
        <v>0</v>
      </c>
      <c r="E480" s="27">
        <v>0</v>
      </c>
      <c r="F480" s="11"/>
      <c r="G480" s="11"/>
      <c r="H480" s="12"/>
      <c r="I480" s="27"/>
      <c r="J480" s="27"/>
      <c r="K480" s="27">
        <f t="shared" si="19"/>
        <v>0</v>
      </c>
    </row>
    <row r="481" s="2" customFormat="1" ht="21.75" customHeight="1" spans="1:11">
      <c r="A481" s="27"/>
      <c r="B481" s="27"/>
      <c r="C481" s="38" t="s">
        <v>222</v>
      </c>
      <c r="D481" s="12">
        <v>0</v>
      </c>
      <c r="E481" s="12">
        <v>0</v>
      </c>
      <c r="F481" s="11"/>
      <c r="G481" s="11"/>
      <c r="H481" s="12"/>
      <c r="I481" s="27"/>
      <c r="J481" s="27"/>
      <c r="K481" s="27">
        <f t="shared" si="19"/>
        <v>0</v>
      </c>
    </row>
    <row r="482" s="2" customFormat="1" ht="21.75" customHeight="1" spans="1:11">
      <c r="A482" s="27"/>
      <c r="B482" s="27"/>
      <c r="C482" s="38" t="s">
        <v>223</v>
      </c>
      <c r="D482" s="12">
        <v>10.5</v>
      </c>
      <c r="E482" s="12">
        <v>5</v>
      </c>
      <c r="F482" s="23"/>
      <c r="G482" s="23"/>
      <c r="H482" s="12"/>
      <c r="I482" s="27"/>
      <c r="J482" s="27"/>
      <c r="K482" s="27">
        <f t="shared" si="19"/>
        <v>15.5</v>
      </c>
    </row>
    <row r="483" s="2" customFormat="1" ht="21.75" customHeight="1" spans="1:11">
      <c r="A483" s="27"/>
      <c r="B483" s="27"/>
      <c r="C483" s="38" t="s">
        <v>224</v>
      </c>
      <c r="D483" s="27">
        <v>0</v>
      </c>
      <c r="E483" s="27">
        <v>0</v>
      </c>
      <c r="F483" s="24"/>
      <c r="G483" s="24"/>
      <c r="H483" s="12"/>
      <c r="I483" s="27"/>
      <c r="J483" s="27"/>
      <c r="K483" s="27">
        <f t="shared" si="19"/>
        <v>0</v>
      </c>
    </row>
    <row r="484" s="2" customFormat="1" ht="21.75" customHeight="1" spans="1:11">
      <c r="A484" s="39" t="s">
        <v>225</v>
      </c>
      <c r="B484" s="39">
        <v>10.5</v>
      </c>
      <c r="C484" s="27" t="s">
        <v>226</v>
      </c>
      <c r="D484" s="12">
        <v>10.5</v>
      </c>
      <c r="E484" s="12">
        <v>5</v>
      </c>
      <c r="F484" s="11"/>
      <c r="G484" s="11"/>
      <c r="H484" s="12"/>
      <c r="I484" s="27"/>
      <c r="J484" s="27"/>
      <c r="K484" s="27">
        <f t="shared" si="19"/>
        <v>15.5</v>
      </c>
    </row>
    <row r="485" s="2" customFormat="1" ht="21.75" customHeight="1" spans="1:11">
      <c r="A485" s="39"/>
      <c r="B485" s="39"/>
      <c r="C485" s="27" t="s">
        <v>228</v>
      </c>
      <c r="D485" s="12">
        <v>10.5</v>
      </c>
      <c r="E485" s="12">
        <v>5</v>
      </c>
      <c r="F485" s="11"/>
      <c r="G485" s="11"/>
      <c r="H485" s="12"/>
      <c r="I485" s="27"/>
      <c r="J485" s="27"/>
      <c r="K485" s="27">
        <f t="shared" si="19"/>
        <v>15.5</v>
      </c>
    </row>
    <row r="486" s="2" customFormat="1" ht="21.75" customHeight="1" spans="1:11">
      <c r="A486" s="39"/>
      <c r="B486" s="39"/>
      <c r="C486" s="27" t="s">
        <v>227</v>
      </c>
      <c r="D486" s="12">
        <v>10.5</v>
      </c>
      <c r="E486" s="12">
        <v>5</v>
      </c>
      <c r="F486" s="11"/>
      <c r="G486" s="11"/>
      <c r="H486" s="12"/>
      <c r="I486" s="27"/>
      <c r="J486" s="27"/>
      <c r="K486" s="27">
        <f t="shared" si="19"/>
        <v>15.5</v>
      </c>
    </row>
    <row r="487" s="2" customFormat="1" ht="21.75" customHeight="1" spans="1:11">
      <c r="A487" s="39"/>
      <c r="B487" s="39"/>
      <c r="C487" s="27" t="s">
        <v>229</v>
      </c>
      <c r="D487" s="27">
        <v>0</v>
      </c>
      <c r="E487" s="27">
        <v>0</v>
      </c>
      <c r="F487" s="11"/>
      <c r="G487" s="11"/>
      <c r="H487" s="12"/>
      <c r="I487" s="27"/>
      <c r="J487" s="40"/>
      <c r="K487" s="27">
        <f t="shared" si="19"/>
        <v>0</v>
      </c>
    </row>
    <row r="488" s="2" customFormat="1" ht="21.75" customHeight="1" spans="1:11">
      <c r="A488" s="39"/>
      <c r="B488" s="39"/>
      <c r="C488" s="27" t="s">
        <v>240</v>
      </c>
      <c r="D488" s="27">
        <v>0</v>
      </c>
      <c r="E488" s="27">
        <v>0</v>
      </c>
      <c r="F488" s="11"/>
      <c r="G488" s="11"/>
      <c r="H488" s="12"/>
      <c r="I488" s="27"/>
      <c r="J488" s="40"/>
      <c r="K488" s="27">
        <f t="shared" si="19"/>
        <v>0</v>
      </c>
    </row>
    <row r="489" s="2" customFormat="1" ht="21.75" customHeight="1" spans="1:11">
      <c r="A489" s="12" t="s">
        <v>230</v>
      </c>
      <c r="B489" s="12">
        <v>10.5</v>
      </c>
      <c r="C489" s="27" t="s">
        <v>231</v>
      </c>
      <c r="D489" s="27">
        <v>10</v>
      </c>
      <c r="E489" s="27">
        <v>10</v>
      </c>
      <c r="F489" s="11"/>
      <c r="G489" s="11"/>
      <c r="H489" s="27"/>
      <c r="I489" s="27"/>
      <c r="J489" s="40"/>
      <c r="K489" s="27">
        <f t="shared" si="19"/>
        <v>20</v>
      </c>
    </row>
    <row r="490" s="2" customFormat="1" ht="21.75" customHeight="1" spans="1:11">
      <c r="A490" s="12" t="s">
        <v>232</v>
      </c>
      <c r="B490" s="12">
        <v>12</v>
      </c>
      <c r="C490" s="12" t="s">
        <v>233</v>
      </c>
      <c r="D490" s="12">
        <v>12</v>
      </c>
      <c r="E490" s="12">
        <v>12</v>
      </c>
      <c r="F490" s="89"/>
      <c r="G490" s="89"/>
      <c r="H490" s="12"/>
      <c r="I490" s="12"/>
      <c r="J490" s="90"/>
      <c r="K490" s="12">
        <f t="shared" si="19"/>
        <v>24</v>
      </c>
    </row>
    <row r="491" s="2" customFormat="1" ht="21.75" customHeight="1" spans="1:11">
      <c r="A491" s="38"/>
      <c r="B491" s="41"/>
      <c r="C491" s="41"/>
      <c r="D491" s="41"/>
      <c r="E491" s="41"/>
      <c r="F491" s="41"/>
      <c r="G491" s="41"/>
      <c r="H491" s="41"/>
      <c r="I491" s="41"/>
      <c r="J491" s="41"/>
      <c r="K491" s="27">
        <f>SUM(K469:K490)</f>
        <v>266.5</v>
      </c>
    </row>
  </sheetData>
  <mergeCells count="251">
    <mergeCell ref="A1:K1"/>
    <mergeCell ref="A2:C2"/>
    <mergeCell ref="D2:K2"/>
    <mergeCell ref="A28:K28"/>
    <mergeCell ref="A29:C29"/>
    <mergeCell ref="D29:K29"/>
    <mergeCell ref="A52:J52"/>
    <mergeCell ref="A56:K56"/>
    <mergeCell ref="A57:C57"/>
    <mergeCell ref="D57:K57"/>
    <mergeCell ref="A83:K83"/>
    <mergeCell ref="A84:C84"/>
    <mergeCell ref="D84:K84"/>
    <mergeCell ref="A110:K110"/>
    <mergeCell ref="A111:C111"/>
    <mergeCell ref="D111:K111"/>
    <mergeCell ref="A137:K137"/>
    <mergeCell ref="A138:C138"/>
    <mergeCell ref="D138:K138"/>
    <mergeCell ref="A161:J161"/>
    <mergeCell ref="A164:K164"/>
    <mergeCell ref="A165:C165"/>
    <mergeCell ref="D165:K165"/>
    <mergeCell ref="A192:K192"/>
    <mergeCell ref="A193:C193"/>
    <mergeCell ref="D193:K193"/>
    <mergeCell ref="A219:K219"/>
    <mergeCell ref="A220:C220"/>
    <mergeCell ref="D220:K220"/>
    <mergeCell ref="A246:K246"/>
    <mergeCell ref="A247:C247"/>
    <mergeCell ref="D247:K247"/>
    <mergeCell ref="A274:K274"/>
    <mergeCell ref="A275:C275"/>
    <mergeCell ref="D275:K275"/>
    <mergeCell ref="A302:K302"/>
    <mergeCell ref="A303:C303"/>
    <mergeCell ref="D303:K303"/>
    <mergeCell ref="A329:K329"/>
    <mergeCell ref="A330:C330"/>
    <mergeCell ref="D330:K330"/>
    <mergeCell ref="A354:J354"/>
    <mergeCell ref="A356:K356"/>
    <mergeCell ref="A357:C357"/>
    <mergeCell ref="D357:K357"/>
    <mergeCell ref="A384:K384"/>
    <mergeCell ref="A385:C385"/>
    <mergeCell ref="D385:K385"/>
    <mergeCell ref="A411:K411"/>
    <mergeCell ref="A412:C412"/>
    <mergeCell ref="D412:K412"/>
    <mergeCell ref="A439:K439"/>
    <mergeCell ref="A440:C440"/>
    <mergeCell ref="D440:K440"/>
    <mergeCell ref="A466:K466"/>
    <mergeCell ref="A467:C467"/>
    <mergeCell ref="D467:K467"/>
    <mergeCell ref="A5:A6"/>
    <mergeCell ref="A7:A8"/>
    <mergeCell ref="A9:A10"/>
    <mergeCell ref="A12:A13"/>
    <mergeCell ref="A14:A17"/>
    <mergeCell ref="A18:A22"/>
    <mergeCell ref="A32:A33"/>
    <mergeCell ref="A34:A35"/>
    <mergeCell ref="A36:A37"/>
    <mergeCell ref="A39:A40"/>
    <mergeCell ref="A41:A44"/>
    <mergeCell ref="A45:A47"/>
    <mergeCell ref="A60:A61"/>
    <mergeCell ref="A62:A63"/>
    <mergeCell ref="A64:A65"/>
    <mergeCell ref="A67:A68"/>
    <mergeCell ref="A69:A72"/>
    <mergeCell ref="A73:A75"/>
    <mergeCell ref="A87:A88"/>
    <mergeCell ref="A89:A90"/>
    <mergeCell ref="A91:A92"/>
    <mergeCell ref="A94:A95"/>
    <mergeCell ref="A96:A99"/>
    <mergeCell ref="A100:A102"/>
    <mergeCell ref="A114:A115"/>
    <mergeCell ref="A116:A117"/>
    <mergeCell ref="A118:A119"/>
    <mergeCell ref="A121:A122"/>
    <mergeCell ref="A123:A126"/>
    <mergeCell ref="A127:A129"/>
    <mergeCell ref="A141:A142"/>
    <mergeCell ref="A143:A147"/>
    <mergeCell ref="A148:A149"/>
    <mergeCell ref="A150:A153"/>
    <mergeCell ref="A154:A158"/>
    <mergeCell ref="A168:A169"/>
    <mergeCell ref="A170:A171"/>
    <mergeCell ref="A172:A173"/>
    <mergeCell ref="A175:A176"/>
    <mergeCell ref="A177:A180"/>
    <mergeCell ref="A181:A186"/>
    <mergeCell ref="A196:A197"/>
    <mergeCell ref="A198:A199"/>
    <mergeCell ref="A200:A201"/>
    <mergeCell ref="A203:A204"/>
    <mergeCell ref="A205:A208"/>
    <mergeCell ref="A209:A213"/>
    <mergeCell ref="A223:A224"/>
    <mergeCell ref="A225:A226"/>
    <mergeCell ref="A227:A228"/>
    <mergeCell ref="A230:A231"/>
    <mergeCell ref="A232:A235"/>
    <mergeCell ref="A236:A240"/>
    <mergeCell ref="A250:A251"/>
    <mergeCell ref="A252:A253"/>
    <mergeCell ref="A254:A255"/>
    <mergeCell ref="A257:A258"/>
    <mergeCell ref="A259:A262"/>
    <mergeCell ref="A263:A268"/>
    <mergeCell ref="A278:A279"/>
    <mergeCell ref="A280:A281"/>
    <mergeCell ref="A282:A283"/>
    <mergeCell ref="A285:A286"/>
    <mergeCell ref="A287:A290"/>
    <mergeCell ref="A291:A296"/>
    <mergeCell ref="A306:A307"/>
    <mergeCell ref="A308:A312"/>
    <mergeCell ref="A313:A314"/>
    <mergeCell ref="A315:A318"/>
    <mergeCell ref="A319:A323"/>
    <mergeCell ref="A333:A334"/>
    <mergeCell ref="A335:A336"/>
    <mergeCell ref="A337:A338"/>
    <mergeCell ref="A340:A341"/>
    <mergeCell ref="A342:A345"/>
    <mergeCell ref="A346:A349"/>
    <mergeCell ref="A360:A361"/>
    <mergeCell ref="A362:A363"/>
    <mergeCell ref="A364:A365"/>
    <mergeCell ref="A367:A368"/>
    <mergeCell ref="A369:A372"/>
    <mergeCell ref="A373:A376"/>
    <mergeCell ref="A388:A389"/>
    <mergeCell ref="A390:A391"/>
    <mergeCell ref="A392:A393"/>
    <mergeCell ref="A395:A396"/>
    <mergeCell ref="A397:A400"/>
    <mergeCell ref="A401:A403"/>
    <mergeCell ref="A415:A416"/>
    <mergeCell ref="A417:A421"/>
    <mergeCell ref="A422:A423"/>
    <mergeCell ref="A424:A427"/>
    <mergeCell ref="A428:A431"/>
    <mergeCell ref="A443:A444"/>
    <mergeCell ref="A445:A446"/>
    <mergeCell ref="A447:A448"/>
    <mergeCell ref="A450:A451"/>
    <mergeCell ref="A452:A455"/>
    <mergeCell ref="A456:A460"/>
    <mergeCell ref="A470:A472"/>
    <mergeCell ref="A473:A477"/>
    <mergeCell ref="A478:A479"/>
    <mergeCell ref="A480:A483"/>
    <mergeCell ref="A484:A488"/>
    <mergeCell ref="B5:B6"/>
    <mergeCell ref="B7:B11"/>
    <mergeCell ref="B12:B13"/>
    <mergeCell ref="B14:B17"/>
    <mergeCell ref="B18:B22"/>
    <mergeCell ref="B32:B33"/>
    <mergeCell ref="B34:B38"/>
    <mergeCell ref="B39:B40"/>
    <mergeCell ref="B41:B44"/>
    <mergeCell ref="B45:B47"/>
    <mergeCell ref="B60:B61"/>
    <mergeCell ref="B62:B66"/>
    <mergeCell ref="B67:B68"/>
    <mergeCell ref="B69:B72"/>
    <mergeCell ref="B73:B75"/>
    <mergeCell ref="B87:B88"/>
    <mergeCell ref="B89:B93"/>
    <mergeCell ref="B94:B95"/>
    <mergeCell ref="B96:B99"/>
    <mergeCell ref="B100:B102"/>
    <mergeCell ref="B114:B115"/>
    <mergeCell ref="B116:B120"/>
    <mergeCell ref="B121:B122"/>
    <mergeCell ref="B123:B126"/>
    <mergeCell ref="B127:B129"/>
    <mergeCell ref="B141:B142"/>
    <mergeCell ref="B143:B147"/>
    <mergeCell ref="B148:B149"/>
    <mergeCell ref="B150:B153"/>
    <mergeCell ref="B154:B158"/>
    <mergeCell ref="B168:B169"/>
    <mergeCell ref="B170:B174"/>
    <mergeCell ref="B175:B176"/>
    <mergeCell ref="B177:B180"/>
    <mergeCell ref="B181:B186"/>
    <mergeCell ref="B196:B197"/>
    <mergeCell ref="B198:B202"/>
    <mergeCell ref="B203:B204"/>
    <mergeCell ref="B205:B208"/>
    <mergeCell ref="B209:B213"/>
    <mergeCell ref="B223:B224"/>
    <mergeCell ref="B225:B229"/>
    <mergeCell ref="B230:B231"/>
    <mergeCell ref="B232:B235"/>
    <mergeCell ref="B236:B240"/>
    <mergeCell ref="B250:B251"/>
    <mergeCell ref="B252:B256"/>
    <mergeCell ref="B257:B258"/>
    <mergeCell ref="B259:B262"/>
    <mergeCell ref="B263:B268"/>
    <mergeCell ref="B278:B279"/>
    <mergeCell ref="B280:B284"/>
    <mergeCell ref="B285:B286"/>
    <mergeCell ref="B287:B290"/>
    <mergeCell ref="B291:B296"/>
    <mergeCell ref="B306:B307"/>
    <mergeCell ref="B308:B312"/>
    <mergeCell ref="B313:B314"/>
    <mergeCell ref="B315:B318"/>
    <mergeCell ref="B319:B323"/>
    <mergeCell ref="B333:B334"/>
    <mergeCell ref="B335:B339"/>
    <mergeCell ref="B340:B341"/>
    <mergeCell ref="B342:B345"/>
    <mergeCell ref="B346:B349"/>
    <mergeCell ref="B360:B361"/>
    <mergeCell ref="B362:B366"/>
    <mergeCell ref="B367:B368"/>
    <mergeCell ref="B369:B372"/>
    <mergeCell ref="B373:B376"/>
    <mergeCell ref="B388:B389"/>
    <mergeCell ref="B390:B394"/>
    <mergeCell ref="B395:B396"/>
    <mergeCell ref="B397:B400"/>
    <mergeCell ref="B401:B403"/>
    <mergeCell ref="B415:B416"/>
    <mergeCell ref="B417:B421"/>
    <mergeCell ref="B422:B423"/>
    <mergeCell ref="B424:B427"/>
    <mergeCell ref="B428:B431"/>
    <mergeCell ref="B443:B444"/>
    <mergeCell ref="B445:B449"/>
    <mergeCell ref="B450:B451"/>
    <mergeCell ref="B452:B455"/>
    <mergeCell ref="B456:B460"/>
    <mergeCell ref="B470:B472"/>
    <mergeCell ref="B473:B477"/>
    <mergeCell ref="B478:B479"/>
    <mergeCell ref="B480:B483"/>
    <mergeCell ref="B484:B48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4"/>
  <sheetViews>
    <sheetView topLeftCell="A144" workbookViewId="0">
      <selection activeCell="A140" sqref="$A140:$XFD166"/>
    </sheetView>
  </sheetViews>
  <sheetFormatPr defaultColWidth="9" defaultRowHeight="13.5"/>
  <sheetData>
    <row r="1" s="1" customFormat="1" ht="21" customHeight="1" spans="1:11">
      <c r="A1" s="32" t="s">
        <v>371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="1" customFormat="1" ht="21" customHeight="1" spans="1:11">
      <c r="A2" s="35" t="s">
        <v>259</v>
      </c>
      <c r="B2" s="36"/>
      <c r="C2" s="36"/>
      <c r="D2" s="37" t="s">
        <v>390</v>
      </c>
      <c r="E2" s="36"/>
      <c r="F2" s="36"/>
      <c r="G2" s="36"/>
      <c r="H2" s="36"/>
      <c r="I2" s="36"/>
      <c r="J2" s="36"/>
      <c r="K2" s="36"/>
    </row>
    <row r="3" s="1" customFormat="1" ht="21" customHeight="1" spans="1:11">
      <c r="A3" s="27" t="s">
        <v>200</v>
      </c>
      <c r="B3" s="27" t="s">
        <v>201</v>
      </c>
      <c r="C3" s="38" t="s">
        <v>202</v>
      </c>
      <c r="D3" s="12" t="s">
        <v>6</v>
      </c>
      <c r="E3" s="12" t="s">
        <v>6</v>
      </c>
      <c r="F3" s="12" t="s">
        <v>6</v>
      </c>
      <c r="G3" s="27" t="s">
        <v>6</v>
      </c>
      <c r="H3" s="27" t="s">
        <v>6</v>
      </c>
      <c r="I3" s="27" t="s">
        <v>6</v>
      </c>
      <c r="J3" s="27" t="s">
        <v>203</v>
      </c>
      <c r="K3" s="27" t="s">
        <v>204</v>
      </c>
    </row>
    <row r="4" s="1" customFormat="1" ht="21" customHeight="1" spans="1:11">
      <c r="A4" s="27" t="s">
        <v>205</v>
      </c>
      <c r="B4" s="27">
        <v>12</v>
      </c>
      <c r="C4" s="38" t="s">
        <v>206</v>
      </c>
      <c r="D4" s="12">
        <v>12</v>
      </c>
      <c r="E4" s="148">
        <v>10</v>
      </c>
      <c r="F4" s="149"/>
      <c r="G4" s="90"/>
      <c r="H4" s="12"/>
      <c r="I4" s="27"/>
      <c r="J4" s="27"/>
      <c r="K4" s="13">
        <f t="shared" ref="K4:K25" si="0">SUM(D4:J4)</f>
        <v>22</v>
      </c>
    </row>
    <row r="5" s="1" customFormat="1" ht="21" customHeight="1" spans="1:11">
      <c r="A5" s="21" t="s">
        <v>207</v>
      </c>
      <c r="B5" s="27">
        <v>11.5</v>
      </c>
      <c r="C5" s="38" t="s">
        <v>208</v>
      </c>
      <c r="D5" s="12">
        <v>11.5</v>
      </c>
      <c r="E5" s="148">
        <v>10</v>
      </c>
      <c r="F5" s="149"/>
      <c r="G5" s="90"/>
      <c r="H5" s="12"/>
      <c r="I5" s="27"/>
      <c r="J5" s="27"/>
      <c r="K5" s="13">
        <f t="shared" si="0"/>
        <v>21.5</v>
      </c>
    </row>
    <row r="6" s="1" customFormat="1" ht="21" customHeight="1" spans="1:11">
      <c r="A6" s="21"/>
      <c r="B6" s="27"/>
      <c r="C6" s="27" t="s">
        <v>209</v>
      </c>
      <c r="D6" s="12">
        <v>11.5</v>
      </c>
      <c r="E6" s="148">
        <v>10</v>
      </c>
      <c r="F6" s="149"/>
      <c r="G6" s="90"/>
      <c r="H6" s="12"/>
      <c r="I6" s="27"/>
      <c r="J6" s="27"/>
      <c r="K6" s="13">
        <f t="shared" si="0"/>
        <v>21.5</v>
      </c>
    </row>
    <row r="7" s="1" customFormat="1" ht="21" customHeight="1" spans="1:11">
      <c r="A7" s="21"/>
      <c r="B7" s="27"/>
      <c r="C7" s="38" t="s">
        <v>210</v>
      </c>
      <c r="D7" s="12">
        <v>11.5</v>
      </c>
      <c r="E7" s="148">
        <v>10</v>
      </c>
      <c r="F7" s="149"/>
      <c r="G7" s="90"/>
      <c r="H7" s="12"/>
      <c r="I7" s="27"/>
      <c r="J7" s="27"/>
      <c r="K7" s="13">
        <f t="shared" si="0"/>
        <v>21.5</v>
      </c>
    </row>
    <row r="8" s="1" customFormat="1" ht="21" customHeight="1" spans="1:11">
      <c r="A8" s="16" t="s">
        <v>237</v>
      </c>
      <c r="B8" s="13">
        <v>11.5</v>
      </c>
      <c r="C8" s="17" t="s">
        <v>212</v>
      </c>
      <c r="D8" s="27">
        <v>10</v>
      </c>
      <c r="E8" s="27">
        <v>10</v>
      </c>
      <c r="F8" s="39"/>
      <c r="G8" s="12"/>
      <c r="H8" s="12"/>
      <c r="I8" s="27"/>
      <c r="J8" s="27"/>
      <c r="K8" s="13">
        <f t="shared" si="0"/>
        <v>20</v>
      </c>
    </row>
    <row r="9" s="1" customFormat="1" ht="21" customHeight="1" spans="1:11">
      <c r="A9" s="18"/>
      <c r="B9" s="13"/>
      <c r="C9" s="1" t="s">
        <v>215</v>
      </c>
      <c r="D9" s="27">
        <v>0</v>
      </c>
      <c r="E9" s="27">
        <v>0</v>
      </c>
      <c r="F9" s="12"/>
      <c r="G9" s="12"/>
      <c r="H9" s="12"/>
      <c r="I9" s="27"/>
      <c r="J9" s="27"/>
      <c r="K9" s="13">
        <f t="shared" si="0"/>
        <v>0</v>
      </c>
    </row>
    <row r="10" s="1" customFormat="1" ht="21" customHeight="1" spans="1:11">
      <c r="A10" s="19" t="s">
        <v>238</v>
      </c>
      <c r="B10" s="13"/>
      <c r="C10" s="17" t="s">
        <v>213</v>
      </c>
      <c r="D10" s="27">
        <v>0</v>
      </c>
      <c r="E10" s="27">
        <v>0</v>
      </c>
      <c r="F10" s="12"/>
      <c r="G10" s="12"/>
      <c r="H10" s="12"/>
      <c r="I10" s="27"/>
      <c r="J10" s="27"/>
      <c r="K10" s="13">
        <f t="shared" si="0"/>
        <v>0</v>
      </c>
    </row>
    <row r="11" s="1" customFormat="1" ht="21" customHeight="1" spans="1:11">
      <c r="A11" s="20"/>
      <c r="B11" s="13"/>
      <c r="C11" s="17" t="s">
        <v>216</v>
      </c>
      <c r="D11" s="27">
        <v>0</v>
      </c>
      <c r="E11" s="27">
        <v>0</v>
      </c>
      <c r="F11" s="12"/>
      <c r="G11" s="12"/>
      <c r="H11" s="12"/>
      <c r="I11" s="12"/>
      <c r="J11" s="27"/>
      <c r="K11" s="13">
        <f t="shared" si="0"/>
        <v>0</v>
      </c>
    </row>
    <row r="12" s="1" customFormat="1" ht="21" customHeight="1" spans="1:11">
      <c r="A12" s="21" t="s">
        <v>239</v>
      </c>
      <c r="B12" s="13"/>
      <c r="C12" s="13" t="s">
        <v>214</v>
      </c>
      <c r="D12" s="27">
        <v>10</v>
      </c>
      <c r="E12" s="27">
        <v>10</v>
      </c>
      <c r="F12" s="12"/>
      <c r="G12" s="12"/>
      <c r="H12" s="12"/>
      <c r="I12" s="12"/>
      <c r="J12" s="27"/>
      <c r="K12" s="13">
        <f t="shared" si="0"/>
        <v>20</v>
      </c>
    </row>
    <row r="13" s="1" customFormat="1" ht="21" customHeight="1" spans="1:11">
      <c r="A13" s="27" t="s">
        <v>217</v>
      </c>
      <c r="B13" s="27">
        <v>10.5</v>
      </c>
      <c r="C13" s="27" t="s">
        <v>218</v>
      </c>
      <c r="D13" s="27">
        <v>0</v>
      </c>
      <c r="E13" s="27">
        <v>0</v>
      </c>
      <c r="F13" s="12"/>
      <c r="G13" s="12"/>
      <c r="H13" s="12"/>
      <c r="I13" s="27"/>
      <c r="J13" s="27"/>
      <c r="K13" s="13">
        <f t="shared" si="0"/>
        <v>0</v>
      </c>
    </row>
    <row r="14" s="1" customFormat="1" ht="21" customHeight="1" spans="1:11">
      <c r="A14" s="27"/>
      <c r="B14" s="27"/>
      <c r="C14" s="27" t="s">
        <v>219</v>
      </c>
      <c r="D14" s="27">
        <v>0</v>
      </c>
      <c r="E14" s="27">
        <v>0</v>
      </c>
      <c r="F14" s="12"/>
      <c r="G14" s="12"/>
      <c r="H14" s="12"/>
      <c r="I14" s="27"/>
      <c r="J14" s="27"/>
      <c r="K14" s="13">
        <f t="shared" si="0"/>
        <v>0</v>
      </c>
    </row>
    <row r="15" s="1" customFormat="1" ht="21" customHeight="1" spans="1:11">
      <c r="A15" s="27" t="s">
        <v>220</v>
      </c>
      <c r="B15" s="27">
        <v>11.5</v>
      </c>
      <c r="C15" s="38" t="s">
        <v>221</v>
      </c>
      <c r="D15" s="12">
        <v>40</v>
      </c>
      <c r="E15" s="12">
        <v>16.5</v>
      </c>
      <c r="F15" s="12"/>
      <c r="G15" s="12"/>
      <c r="H15" s="12"/>
      <c r="I15" s="27"/>
      <c r="J15" s="27"/>
      <c r="K15" s="13">
        <f t="shared" si="0"/>
        <v>56.5</v>
      </c>
    </row>
    <row r="16" s="1" customFormat="1" ht="21" customHeight="1" spans="1:11">
      <c r="A16" s="27"/>
      <c r="B16" s="27"/>
      <c r="C16" s="38" t="s">
        <v>222</v>
      </c>
      <c r="D16" s="148">
        <v>14</v>
      </c>
      <c r="E16" s="150">
        <v>15.2</v>
      </c>
      <c r="F16" s="90"/>
      <c r="G16" s="12"/>
      <c r="H16" s="12"/>
      <c r="I16" s="27"/>
      <c r="J16" s="27"/>
      <c r="K16" s="13">
        <f t="shared" si="0"/>
        <v>29.2</v>
      </c>
    </row>
    <row r="17" s="1" customFormat="1" ht="21" customHeight="1" spans="1:11">
      <c r="A17" s="27"/>
      <c r="B17" s="27"/>
      <c r="C17" s="38" t="s">
        <v>223</v>
      </c>
      <c r="D17" s="148">
        <v>0</v>
      </c>
      <c r="E17" s="149">
        <v>0</v>
      </c>
      <c r="F17" s="90"/>
      <c r="G17" s="12"/>
      <c r="H17" s="12"/>
      <c r="I17" s="27"/>
      <c r="J17" s="27"/>
      <c r="K17" s="13">
        <f t="shared" si="0"/>
        <v>0</v>
      </c>
    </row>
    <row r="18" s="1" customFormat="1" ht="21" customHeight="1" spans="1:11">
      <c r="A18" s="27"/>
      <c r="B18" s="27"/>
      <c r="C18" s="38" t="s">
        <v>224</v>
      </c>
      <c r="D18" s="12">
        <v>20</v>
      </c>
      <c r="E18" s="39">
        <v>0</v>
      </c>
      <c r="F18" s="12"/>
      <c r="G18" s="12"/>
      <c r="H18" s="12"/>
      <c r="I18" s="27"/>
      <c r="J18" s="27"/>
      <c r="K18" s="13">
        <f t="shared" si="0"/>
        <v>20</v>
      </c>
    </row>
    <row r="19" s="1" customFormat="1" ht="21" customHeight="1" spans="1:11">
      <c r="A19" s="39" t="s">
        <v>225</v>
      </c>
      <c r="B19" s="39">
        <v>10.5</v>
      </c>
      <c r="C19" s="27" t="s">
        <v>226</v>
      </c>
      <c r="D19" s="27">
        <v>20</v>
      </c>
      <c r="E19" s="27">
        <v>10</v>
      </c>
      <c r="F19" s="12"/>
      <c r="G19" s="12"/>
      <c r="H19" s="12"/>
      <c r="I19" s="27"/>
      <c r="J19" s="27"/>
      <c r="K19" s="13">
        <f t="shared" si="0"/>
        <v>30</v>
      </c>
    </row>
    <row r="20" s="1" customFormat="1" ht="21" customHeight="1" spans="1:11">
      <c r="A20" s="39"/>
      <c r="B20" s="39"/>
      <c r="C20" s="27" t="s">
        <v>228</v>
      </c>
      <c r="D20" s="27">
        <v>20</v>
      </c>
      <c r="E20" s="27">
        <v>10</v>
      </c>
      <c r="F20" s="12"/>
      <c r="G20" s="12"/>
      <c r="H20" s="12"/>
      <c r="I20" s="27"/>
      <c r="J20" s="27"/>
      <c r="K20" s="13">
        <f t="shared" si="0"/>
        <v>30</v>
      </c>
    </row>
    <row r="21" s="1" customFormat="1" ht="21" customHeight="1" spans="1:11">
      <c r="A21" s="39"/>
      <c r="B21" s="39"/>
      <c r="C21" s="27" t="s">
        <v>227</v>
      </c>
      <c r="D21" s="27">
        <v>20</v>
      </c>
      <c r="E21" s="27">
        <v>0</v>
      </c>
      <c r="F21" s="12"/>
      <c r="G21" s="12"/>
      <c r="H21" s="12"/>
      <c r="I21" s="27"/>
      <c r="J21" s="27"/>
      <c r="K21" s="13">
        <f t="shared" si="0"/>
        <v>20</v>
      </c>
    </row>
    <row r="22" s="1" customFormat="1" ht="21" customHeight="1" spans="1:11">
      <c r="A22" s="39"/>
      <c r="B22" s="39"/>
      <c r="C22" s="27" t="s">
        <v>229</v>
      </c>
      <c r="D22" s="27">
        <v>20</v>
      </c>
      <c r="E22" s="27">
        <v>10</v>
      </c>
      <c r="F22" s="12"/>
      <c r="G22" s="12"/>
      <c r="H22" s="12"/>
      <c r="I22" s="27"/>
      <c r="J22" s="40"/>
      <c r="K22" s="13">
        <f t="shared" si="0"/>
        <v>30</v>
      </c>
    </row>
    <row r="23" s="1" customFormat="1" ht="21" customHeight="1" spans="1:11">
      <c r="A23" s="39"/>
      <c r="B23" s="39"/>
      <c r="C23" s="27" t="s">
        <v>240</v>
      </c>
      <c r="D23" s="27">
        <v>20</v>
      </c>
      <c r="E23" s="27">
        <v>0</v>
      </c>
      <c r="F23" s="12"/>
      <c r="G23" s="12"/>
      <c r="H23" s="12"/>
      <c r="I23" s="27"/>
      <c r="J23" s="40"/>
      <c r="K23" s="13">
        <f t="shared" si="0"/>
        <v>20</v>
      </c>
    </row>
    <row r="24" s="1" customFormat="1" ht="21" customHeight="1" spans="1:11">
      <c r="A24" s="12" t="s">
        <v>230</v>
      </c>
      <c r="B24" s="12">
        <v>10.5</v>
      </c>
      <c r="C24" s="27" t="s">
        <v>231</v>
      </c>
      <c r="D24" s="27">
        <v>10</v>
      </c>
      <c r="E24" s="27">
        <v>10</v>
      </c>
      <c r="F24" s="12"/>
      <c r="G24" s="27"/>
      <c r="H24" s="27"/>
      <c r="I24" s="27"/>
      <c r="J24" s="40"/>
      <c r="K24" s="13">
        <f t="shared" si="0"/>
        <v>20</v>
      </c>
    </row>
    <row r="25" s="1" customFormat="1" ht="21" customHeight="1" spans="1:11">
      <c r="A25" s="27" t="s">
        <v>232</v>
      </c>
      <c r="B25" s="27">
        <v>12</v>
      </c>
      <c r="C25" s="27" t="s">
        <v>233</v>
      </c>
      <c r="D25" s="27">
        <v>12</v>
      </c>
      <c r="E25" s="27">
        <v>12</v>
      </c>
      <c r="F25" s="27"/>
      <c r="G25" s="27"/>
      <c r="H25" s="27"/>
      <c r="I25" s="27"/>
      <c r="J25" s="40"/>
      <c r="K25" s="13">
        <f t="shared" si="0"/>
        <v>24</v>
      </c>
    </row>
    <row r="26" s="1" customFormat="1" ht="21" customHeight="1" spans="1:11">
      <c r="A26" s="151"/>
      <c r="B26" s="151"/>
      <c r="C26" s="151"/>
      <c r="D26" s="151"/>
      <c r="E26" s="151"/>
      <c r="F26" s="152"/>
      <c r="G26" s="151"/>
      <c r="H26" s="151"/>
      <c r="I26" s="151"/>
      <c r="J26" s="151"/>
      <c r="K26" s="9">
        <f>SUM(K4:K25)</f>
        <v>406.2</v>
      </c>
    </row>
    <row r="27" s="104" customFormat="1"/>
    <row r="28" s="104" customFormat="1"/>
    <row r="29" s="3" customFormat="1" ht="21" customHeight="1" spans="1:11">
      <c r="A29" s="133" t="s">
        <v>371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</row>
    <row r="30" s="3" customFormat="1" ht="21" customHeight="1" spans="1:11">
      <c r="A30" s="134" t="s">
        <v>259</v>
      </c>
      <c r="B30" s="134"/>
      <c r="C30" s="134"/>
      <c r="D30" s="134" t="s">
        <v>391</v>
      </c>
      <c r="E30" s="134"/>
      <c r="F30" s="134"/>
      <c r="G30" s="134"/>
      <c r="H30" s="134"/>
      <c r="I30" s="134"/>
      <c r="J30" s="134"/>
      <c r="K30" s="134"/>
    </row>
    <row r="31" s="3" customFormat="1" ht="21" customHeight="1" spans="1:11">
      <c r="A31" s="135" t="s">
        <v>200</v>
      </c>
      <c r="B31" s="135" t="s">
        <v>201</v>
      </c>
      <c r="C31" s="136" t="s">
        <v>202</v>
      </c>
      <c r="D31" s="137" t="s">
        <v>6</v>
      </c>
      <c r="E31" s="137" t="s">
        <v>6</v>
      </c>
      <c r="F31" s="135" t="s">
        <v>6</v>
      </c>
      <c r="G31" s="135" t="s">
        <v>6</v>
      </c>
      <c r="H31" s="135" t="s">
        <v>6</v>
      </c>
      <c r="I31" s="135" t="s">
        <v>6</v>
      </c>
      <c r="J31" s="135" t="s">
        <v>203</v>
      </c>
      <c r="K31" s="135" t="s">
        <v>204</v>
      </c>
    </row>
    <row r="32" s="3" customFormat="1" ht="21" customHeight="1" spans="1:11">
      <c r="A32" s="68" t="s">
        <v>205</v>
      </c>
      <c r="B32" s="68">
        <v>12</v>
      </c>
      <c r="C32" s="113" t="s">
        <v>206</v>
      </c>
      <c r="D32" s="121">
        <v>0</v>
      </c>
      <c r="E32" s="121">
        <v>0</v>
      </c>
      <c r="F32" s="121"/>
      <c r="G32" s="121"/>
      <c r="H32" s="121"/>
      <c r="I32" s="68"/>
      <c r="J32" s="68"/>
      <c r="K32" s="56">
        <f t="shared" ref="K32:K53" si="1">SUM(D32:J32)</f>
        <v>0</v>
      </c>
    </row>
    <row r="33" s="3" customFormat="1" ht="21" customHeight="1" spans="1:11">
      <c r="A33" s="116" t="s">
        <v>207</v>
      </c>
      <c r="B33" s="68">
        <v>11.5</v>
      </c>
      <c r="C33" s="117" t="s">
        <v>208</v>
      </c>
      <c r="D33" s="121">
        <v>0</v>
      </c>
      <c r="E33" s="121">
        <v>0</v>
      </c>
      <c r="F33" s="121"/>
      <c r="G33" s="121"/>
      <c r="H33" s="121"/>
      <c r="I33" s="68"/>
      <c r="J33" s="68"/>
      <c r="K33" s="56">
        <f t="shared" si="1"/>
        <v>0</v>
      </c>
    </row>
    <row r="34" s="3" customFormat="1" ht="21" customHeight="1" spans="1:11">
      <c r="A34" s="116"/>
      <c r="B34" s="68"/>
      <c r="C34" s="68" t="s">
        <v>209</v>
      </c>
      <c r="D34" s="121">
        <v>0</v>
      </c>
      <c r="E34" s="121">
        <v>0</v>
      </c>
      <c r="F34" s="121"/>
      <c r="G34" s="121"/>
      <c r="H34" s="121"/>
      <c r="I34" s="68"/>
      <c r="J34" s="68"/>
      <c r="K34" s="56">
        <f t="shared" si="1"/>
        <v>0</v>
      </c>
    </row>
    <row r="35" s="3" customFormat="1" ht="21" customHeight="1" spans="1:11">
      <c r="A35" s="116"/>
      <c r="B35" s="68"/>
      <c r="C35" s="117" t="s">
        <v>210</v>
      </c>
      <c r="D35" s="121">
        <v>0</v>
      </c>
      <c r="E35" s="121">
        <v>0</v>
      </c>
      <c r="F35" s="121"/>
      <c r="G35" s="121"/>
      <c r="H35" s="121"/>
      <c r="I35" s="68"/>
      <c r="J35" s="68"/>
      <c r="K35" s="56">
        <f t="shared" si="1"/>
        <v>0</v>
      </c>
    </row>
    <row r="36" s="3" customFormat="1" ht="21" customHeight="1" spans="1:11">
      <c r="A36" s="79" t="s">
        <v>237</v>
      </c>
      <c r="B36" s="56">
        <v>11.5</v>
      </c>
      <c r="C36" s="61" t="s">
        <v>212</v>
      </c>
      <c r="D36" s="121">
        <v>0</v>
      </c>
      <c r="E36" s="121">
        <v>0</v>
      </c>
      <c r="F36" s="121"/>
      <c r="G36" s="121"/>
      <c r="H36" s="121"/>
      <c r="I36" s="68"/>
      <c r="J36" s="68"/>
      <c r="K36" s="56">
        <f t="shared" si="1"/>
        <v>0</v>
      </c>
    </row>
    <row r="37" s="3" customFormat="1" ht="21" customHeight="1" spans="1:11">
      <c r="A37" s="80"/>
      <c r="B37" s="56"/>
      <c r="C37" s="3" t="s">
        <v>215</v>
      </c>
      <c r="D37" s="138">
        <v>0</v>
      </c>
      <c r="E37" s="139">
        <v>5</v>
      </c>
      <c r="F37" s="121"/>
      <c r="G37" s="121"/>
      <c r="H37" s="121"/>
      <c r="I37" s="68"/>
      <c r="J37" s="68"/>
      <c r="K37" s="56">
        <f t="shared" si="1"/>
        <v>5</v>
      </c>
    </row>
    <row r="38" s="3" customFormat="1" ht="21" customHeight="1" spans="1:11">
      <c r="A38" s="81" t="s">
        <v>238</v>
      </c>
      <c r="B38" s="56"/>
      <c r="C38" s="61" t="s">
        <v>213</v>
      </c>
      <c r="D38" s="140">
        <v>0</v>
      </c>
      <c r="E38" s="121">
        <v>0</v>
      </c>
      <c r="F38" s="121"/>
      <c r="G38" s="121"/>
      <c r="H38" s="121"/>
      <c r="I38" s="68"/>
      <c r="J38" s="68"/>
      <c r="K38" s="56">
        <f t="shared" si="1"/>
        <v>0</v>
      </c>
    </row>
    <row r="39" s="3" customFormat="1" ht="21" customHeight="1" spans="1:11">
      <c r="A39" s="82"/>
      <c r="B39" s="56"/>
      <c r="C39" s="61" t="s">
        <v>216</v>
      </c>
      <c r="D39" s="68">
        <v>0</v>
      </c>
      <c r="E39" s="121">
        <v>0</v>
      </c>
      <c r="F39" s="121"/>
      <c r="G39" s="121"/>
      <c r="H39" s="121"/>
      <c r="I39" s="121"/>
      <c r="J39" s="68"/>
      <c r="K39" s="56">
        <f t="shared" si="1"/>
        <v>0</v>
      </c>
    </row>
    <row r="40" s="3" customFormat="1" ht="21" customHeight="1" spans="1:11">
      <c r="A40" s="84" t="s">
        <v>239</v>
      </c>
      <c r="B40" s="56"/>
      <c r="C40" s="56" t="s">
        <v>214</v>
      </c>
      <c r="D40" s="68">
        <v>0</v>
      </c>
      <c r="E40" s="121">
        <v>10</v>
      </c>
      <c r="F40" s="121"/>
      <c r="G40" s="121"/>
      <c r="H40" s="121"/>
      <c r="I40" s="121"/>
      <c r="J40" s="68"/>
      <c r="K40" s="56">
        <f t="shared" si="1"/>
        <v>10</v>
      </c>
    </row>
    <row r="41" s="3" customFormat="1" ht="21" customHeight="1" spans="1:11">
      <c r="A41" s="68" t="s">
        <v>217</v>
      </c>
      <c r="B41" s="68">
        <v>10.5</v>
      </c>
      <c r="C41" s="68" t="s">
        <v>218</v>
      </c>
      <c r="D41" s="68">
        <v>0</v>
      </c>
      <c r="E41" s="121">
        <v>0</v>
      </c>
      <c r="F41" s="121"/>
      <c r="G41" s="121"/>
      <c r="H41" s="121"/>
      <c r="I41" s="68"/>
      <c r="J41" s="68"/>
      <c r="K41" s="56">
        <f t="shared" si="1"/>
        <v>0</v>
      </c>
    </row>
    <row r="42" s="3" customFormat="1" ht="21" customHeight="1" spans="1:11">
      <c r="A42" s="68"/>
      <c r="B42" s="68"/>
      <c r="C42" s="68" t="s">
        <v>219</v>
      </c>
      <c r="D42" s="68">
        <v>0</v>
      </c>
      <c r="E42" s="121">
        <v>5</v>
      </c>
      <c r="F42" s="121"/>
      <c r="G42" s="121"/>
      <c r="H42" s="121"/>
      <c r="I42" s="68"/>
      <c r="J42" s="68"/>
      <c r="K42" s="56">
        <f t="shared" si="1"/>
        <v>5</v>
      </c>
    </row>
    <row r="43" s="3" customFormat="1" ht="21" customHeight="1" spans="1:11">
      <c r="A43" s="68" t="s">
        <v>220</v>
      </c>
      <c r="B43" s="68">
        <v>11.5</v>
      </c>
      <c r="C43" s="117" t="s">
        <v>221</v>
      </c>
      <c r="D43" s="121">
        <v>25.8</v>
      </c>
      <c r="E43" s="121">
        <v>0</v>
      </c>
      <c r="F43" s="121"/>
      <c r="G43" s="121"/>
      <c r="H43" s="121"/>
      <c r="I43" s="68"/>
      <c r="J43" s="68"/>
      <c r="K43" s="56">
        <f t="shared" si="1"/>
        <v>25.8</v>
      </c>
    </row>
    <row r="44" s="3" customFormat="1" ht="21" customHeight="1" spans="1:11">
      <c r="A44" s="68"/>
      <c r="B44" s="68"/>
      <c r="C44" s="117" t="s">
        <v>222</v>
      </c>
      <c r="D44" s="121">
        <v>6</v>
      </c>
      <c r="E44" s="121">
        <v>0</v>
      </c>
      <c r="F44" s="121"/>
      <c r="G44" s="121"/>
      <c r="H44" s="121"/>
      <c r="I44" s="68"/>
      <c r="J44" s="68"/>
      <c r="K44" s="56">
        <f t="shared" si="1"/>
        <v>6</v>
      </c>
    </row>
    <row r="45" s="3" customFormat="1" ht="21" customHeight="1" spans="1:11">
      <c r="A45" s="68"/>
      <c r="B45" s="68"/>
      <c r="C45" s="117" t="s">
        <v>223</v>
      </c>
      <c r="D45" s="121">
        <v>6</v>
      </c>
      <c r="E45" s="121">
        <v>0</v>
      </c>
      <c r="F45" s="121"/>
      <c r="G45" s="121"/>
      <c r="H45" s="121"/>
      <c r="I45" s="68"/>
      <c r="J45" s="68"/>
      <c r="K45" s="56">
        <f t="shared" si="1"/>
        <v>6</v>
      </c>
    </row>
    <row r="46" s="3" customFormat="1" ht="21" customHeight="1" spans="1:11">
      <c r="A46" s="68"/>
      <c r="B46" s="68"/>
      <c r="C46" s="117" t="s">
        <v>224</v>
      </c>
      <c r="D46" s="68">
        <v>56.1</v>
      </c>
      <c r="E46" s="121">
        <v>5</v>
      </c>
      <c r="F46" s="121"/>
      <c r="G46" s="121"/>
      <c r="H46" s="121"/>
      <c r="I46" s="68"/>
      <c r="J46" s="68"/>
      <c r="K46" s="56">
        <f t="shared" si="1"/>
        <v>61.1</v>
      </c>
    </row>
    <row r="47" s="3" customFormat="1" ht="21" customHeight="1" spans="1:11">
      <c r="A47" s="119" t="s">
        <v>225</v>
      </c>
      <c r="B47" s="119">
        <v>10.5</v>
      </c>
      <c r="C47" s="68" t="s">
        <v>226</v>
      </c>
      <c r="D47" s="121">
        <v>56.1</v>
      </c>
      <c r="E47" s="121">
        <v>5</v>
      </c>
      <c r="F47" s="121"/>
      <c r="G47" s="121"/>
      <c r="H47" s="121"/>
      <c r="I47" s="68"/>
      <c r="J47" s="68"/>
      <c r="K47" s="56">
        <f t="shared" si="1"/>
        <v>61.1</v>
      </c>
    </row>
    <row r="48" s="3" customFormat="1" ht="21" customHeight="1" spans="1:11">
      <c r="A48" s="119"/>
      <c r="B48" s="119"/>
      <c r="C48" s="68" t="s">
        <v>228</v>
      </c>
      <c r="D48" s="68">
        <v>6</v>
      </c>
      <c r="E48" s="121">
        <v>5</v>
      </c>
      <c r="F48" s="121"/>
      <c r="G48" s="121"/>
      <c r="H48" s="121"/>
      <c r="I48" s="68"/>
      <c r="J48" s="68"/>
      <c r="K48" s="56">
        <f t="shared" si="1"/>
        <v>11</v>
      </c>
    </row>
    <row r="49" s="3" customFormat="1" ht="21" customHeight="1" spans="1:11">
      <c r="A49" s="119"/>
      <c r="B49" s="119"/>
      <c r="C49" s="68" t="s">
        <v>227</v>
      </c>
      <c r="D49" s="121">
        <v>6</v>
      </c>
      <c r="E49" s="121">
        <v>0</v>
      </c>
      <c r="F49" s="121"/>
      <c r="G49" s="121"/>
      <c r="H49" s="121"/>
      <c r="I49" s="68"/>
      <c r="J49" s="68"/>
      <c r="K49" s="56">
        <f t="shared" si="1"/>
        <v>6</v>
      </c>
    </row>
    <row r="50" s="3" customFormat="1" ht="21" customHeight="1" spans="1:11">
      <c r="A50" s="119"/>
      <c r="B50" s="119"/>
      <c r="C50" s="68" t="s">
        <v>229</v>
      </c>
      <c r="D50" s="121">
        <v>6</v>
      </c>
      <c r="E50" s="121">
        <v>0</v>
      </c>
      <c r="F50" s="121"/>
      <c r="G50" s="121"/>
      <c r="H50" s="121"/>
      <c r="I50" s="68"/>
      <c r="J50" s="141"/>
      <c r="K50" s="56">
        <f t="shared" si="1"/>
        <v>6</v>
      </c>
    </row>
    <row r="51" s="3" customFormat="1" ht="21" customHeight="1" spans="1:11">
      <c r="A51" s="119"/>
      <c r="B51" s="119"/>
      <c r="C51" s="68" t="s">
        <v>240</v>
      </c>
      <c r="D51" s="121">
        <v>6</v>
      </c>
      <c r="E51" s="121">
        <v>0</v>
      </c>
      <c r="F51" s="121"/>
      <c r="G51" s="121"/>
      <c r="H51" s="121"/>
      <c r="I51" s="68"/>
      <c r="J51" s="141"/>
      <c r="K51" s="56">
        <f t="shared" si="1"/>
        <v>6</v>
      </c>
    </row>
    <row r="52" s="3" customFormat="1" ht="21" customHeight="1" spans="1:11">
      <c r="A52" s="121" t="s">
        <v>230</v>
      </c>
      <c r="B52" s="121">
        <v>10.5</v>
      </c>
      <c r="C52" s="68" t="s">
        <v>231</v>
      </c>
      <c r="D52" s="68">
        <v>10.5</v>
      </c>
      <c r="E52" s="121">
        <v>0</v>
      </c>
      <c r="F52" s="68"/>
      <c r="G52" s="68"/>
      <c r="H52" s="68"/>
      <c r="I52" s="68"/>
      <c r="J52" s="141"/>
      <c r="K52" s="56">
        <f t="shared" si="1"/>
        <v>10.5</v>
      </c>
    </row>
    <row r="53" s="3" customFormat="1" ht="21" customHeight="1" spans="1:11">
      <c r="A53" s="68" t="s">
        <v>232</v>
      </c>
      <c r="B53" s="68">
        <v>12</v>
      </c>
      <c r="C53" s="68" t="s">
        <v>233</v>
      </c>
      <c r="D53" s="68">
        <v>12</v>
      </c>
      <c r="E53" s="68">
        <v>0</v>
      </c>
      <c r="F53" s="68"/>
      <c r="G53" s="68"/>
      <c r="H53" s="68"/>
      <c r="I53" s="68"/>
      <c r="J53" s="141"/>
      <c r="K53" s="56">
        <f t="shared" si="1"/>
        <v>12</v>
      </c>
    </row>
    <row r="54" s="3" customFormat="1" ht="21" customHeight="1" spans="1:11">
      <c r="A54" s="142"/>
      <c r="B54" s="143"/>
      <c r="C54" s="143"/>
      <c r="D54" s="143"/>
      <c r="E54" s="143"/>
      <c r="F54" s="143"/>
      <c r="G54" s="143"/>
      <c r="H54" s="143"/>
      <c r="I54" s="143"/>
      <c r="J54" s="144"/>
      <c r="K54" s="68">
        <f>SUM(K32:K53)</f>
        <v>231.5</v>
      </c>
    </row>
    <row r="57" s="1" customFormat="1" ht="21" customHeight="1" spans="1:11">
      <c r="A57" s="4" t="s">
        <v>392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="1" customFormat="1" ht="21" customHeight="1" spans="1:11">
      <c r="A58" s="5" t="s">
        <v>235</v>
      </c>
      <c r="B58" s="5"/>
      <c r="C58" s="5"/>
      <c r="D58" s="5" t="s">
        <v>393</v>
      </c>
      <c r="E58" s="5"/>
      <c r="F58" s="5"/>
      <c r="G58" s="5"/>
      <c r="H58" s="5"/>
      <c r="I58" s="5"/>
      <c r="J58" s="5"/>
      <c r="K58" s="5"/>
    </row>
    <row r="59" s="1" customFormat="1" ht="21" customHeight="1" spans="1:11">
      <c r="A59" s="6" t="s">
        <v>200</v>
      </c>
      <c r="B59" s="6" t="s">
        <v>201</v>
      </c>
      <c r="C59" s="7" t="s">
        <v>202</v>
      </c>
      <c r="D59" s="8" t="s">
        <v>6</v>
      </c>
      <c r="E59" s="8" t="s">
        <v>6</v>
      </c>
      <c r="F59" s="6" t="s">
        <v>6</v>
      </c>
      <c r="G59" s="6" t="s">
        <v>6</v>
      </c>
      <c r="H59" s="6" t="s">
        <v>6</v>
      </c>
      <c r="I59" s="6" t="s">
        <v>6</v>
      </c>
      <c r="J59" s="6" t="s">
        <v>203</v>
      </c>
      <c r="K59" s="6" t="s">
        <v>204</v>
      </c>
    </row>
    <row r="60" s="1" customFormat="1" ht="21" customHeight="1" spans="1:11">
      <c r="A60" s="9" t="s">
        <v>205</v>
      </c>
      <c r="B60" s="9">
        <v>12</v>
      </c>
      <c r="C60" s="10" t="s">
        <v>206</v>
      </c>
      <c r="D60" s="11">
        <v>12</v>
      </c>
      <c r="E60" s="11">
        <v>12</v>
      </c>
      <c r="F60" s="11">
        <v>12</v>
      </c>
      <c r="G60" s="11"/>
      <c r="H60" s="26"/>
      <c r="I60" s="9"/>
      <c r="J60" s="9"/>
      <c r="K60" s="13">
        <f t="shared" ref="K60:K80" si="2">SUM(D60:J60)</f>
        <v>36</v>
      </c>
    </row>
    <row r="61" s="1" customFormat="1" ht="21" customHeight="1" spans="1:11">
      <c r="A61" s="14" t="s">
        <v>207</v>
      </c>
      <c r="B61" s="9">
        <v>11.5</v>
      </c>
      <c r="C61" s="15" t="s">
        <v>208</v>
      </c>
      <c r="D61" s="11">
        <v>30</v>
      </c>
      <c r="E61" s="11">
        <v>30</v>
      </c>
      <c r="F61" s="11">
        <v>30</v>
      </c>
      <c r="G61" s="11"/>
      <c r="H61" s="26"/>
      <c r="I61" s="9"/>
      <c r="J61" s="9"/>
      <c r="K61" s="13">
        <f t="shared" si="2"/>
        <v>90</v>
      </c>
    </row>
    <row r="62" s="1" customFormat="1" ht="21" customHeight="1" spans="1:11">
      <c r="A62" s="14"/>
      <c r="B62" s="9"/>
      <c r="C62" s="15" t="s">
        <v>210</v>
      </c>
      <c r="D62" s="11">
        <v>26.5</v>
      </c>
      <c r="E62" s="11">
        <v>26.5</v>
      </c>
      <c r="F62" s="11">
        <v>26.5</v>
      </c>
      <c r="G62" s="11"/>
      <c r="H62" s="26"/>
      <c r="I62" s="9"/>
      <c r="J62" s="9"/>
      <c r="K62" s="13">
        <f t="shared" si="2"/>
        <v>79.5</v>
      </c>
    </row>
    <row r="63" s="1" customFormat="1" ht="21" customHeight="1" spans="1:11">
      <c r="A63" s="16" t="s">
        <v>237</v>
      </c>
      <c r="B63" s="13">
        <v>11.5</v>
      </c>
      <c r="C63" s="17" t="s">
        <v>212</v>
      </c>
      <c r="D63" s="11">
        <v>23</v>
      </c>
      <c r="E63" s="11">
        <v>11.5</v>
      </c>
      <c r="F63" s="11">
        <v>11.5</v>
      </c>
      <c r="G63" s="11"/>
      <c r="H63" s="26"/>
      <c r="I63" s="9"/>
      <c r="J63" s="9"/>
      <c r="K63" s="13">
        <f t="shared" si="2"/>
        <v>46</v>
      </c>
    </row>
    <row r="64" s="1" customFormat="1" ht="21" customHeight="1" spans="1:11">
      <c r="A64" s="18"/>
      <c r="B64" s="13"/>
      <c r="C64" s="1" t="s">
        <v>215</v>
      </c>
      <c r="D64" s="11">
        <v>23</v>
      </c>
      <c r="E64" s="11">
        <v>23</v>
      </c>
      <c r="F64" s="11">
        <v>23</v>
      </c>
      <c r="G64" s="11"/>
      <c r="H64" s="26"/>
      <c r="I64" s="9"/>
      <c r="J64" s="9"/>
      <c r="K64" s="13">
        <f t="shared" si="2"/>
        <v>69</v>
      </c>
    </row>
    <row r="65" s="1" customFormat="1" ht="21" customHeight="1" spans="1:11">
      <c r="A65" s="19" t="s">
        <v>238</v>
      </c>
      <c r="B65" s="13"/>
      <c r="C65" s="17" t="s">
        <v>213</v>
      </c>
      <c r="D65" s="11">
        <v>23</v>
      </c>
      <c r="E65" s="11">
        <v>23</v>
      </c>
      <c r="F65" s="11">
        <v>23</v>
      </c>
      <c r="G65" s="11"/>
      <c r="H65" s="26"/>
      <c r="I65" s="9"/>
      <c r="J65" s="9"/>
      <c r="K65" s="13">
        <f t="shared" si="2"/>
        <v>69</v>
      </c>
    </row>
    <row r="66" s="1" customFormat="1" ht="21" customHeight="1" spans="1:11">
      <c r="A66" s="20"/>
      <c r="B66" s="13"/>
      <c r="C66" s="17" t="s">
        <v>216</v>
      </c>
      <c r="D66" s="11">
        <v>23</v>
      </c>
      <c r="E66" s="11">
        <v>23</v>
      </c>
      <c r="F66" s="11">
        <v>23</v>
      </c>
      <c r="G66" s="11"/>
      <c r="H66" s="26"/>
      <c r="I66" s="26"/>
      <c r="J66" s="9"/>
      <c r="K66" s="13">
        <f t="shared" si="2"/>
        <v>69</v>
      </c>
    </row>
    <row r="67" s="1" customFormat="1" ht="21" customHeight="1" spans="1:11">
      <c r="A67" s="21" t="s">
        <v>239</v>
      </c>
      <c r="B67" s="13"/>
      <c r="C67" s="13" t="s">
        <v>214</v>
      </c>
      <c r="D67" s="11">
        <v>21.5</v>
      </c>
      <c r="E67" s="11">
        <v>11.5</v>
      </c>
      <c r="F67" s="11">
        <v>11.5</v>
      </c>
      <c r="G67" s="11"/>
      <c r="H67" s="26"/>
      <c r="I67" s="26"/>
      <c r="J67" s="9"/>
      <c r="K67" s="13">
        <f t="shared" si="2"/>
        <v>44.5</v>
      </c>
    </row>
    <row r="68" s="1" customFormat="1" ht="21" customHeight="1" spans="1:11">
      <c r="A68" s="9" t="s">
        <v>217</v>
      </c>
      <c r="B68" s="9">
        <v>10.5</v>
      </c>
      <c r="C68" s="9" t="s">
        <v>218</v>
      </c>
      <c r="D68" s="22">
        <v>21</v>
      </c>
      <c r="E68" s="22">
        <v>20</v>
      </c>
      <c r="F68" s="22">
        <v>20</v>
      </c>
      <c r="G68" s="22"/>
      <c r="H68" s="26"/>
      <c r="I68" s="9"/>
      <c r="J68" s="9"/>
      <c r="K68" s="13">
        <f t="shared" si="2"/>
        <v>61</v>
      </c>
    </row>
    <row r="69" s="1" customFormat="1" ht="21" customHeight="1" spans="1:11">
      <c r="A69" s="9"/>
      <c r="B69" s="9"/>
      <c r="C69" s="9" t="s">
        <v>219</v>
      </c>
      <c r="D69" s="11">
        <v>21</v>
      </c>
      <c r="E69" s="11">
        <v>20</v>
      </c>
      <c r="F69" s="11">
        <v>20</v>
      </c>
      <c r="G69" s="11"/>
      <c r="H69" s="26"/>
      <c r="I69" s="9"/>
      <c r="J69" s="9"/>
      <c r="K69" s="13">
        <f t="shared" si="2"/>
        <v>61</v>
      </c>
    </row>
    <row r="70" s="1" customFormat="1" ht="21" customHeight="1" spans="1:11">
      <c r="A70" s="9" t="s">
        <v>220</v>
      </c>
      <c r="B70" s="9">
        <v>11.5</v>
      </c>
      <c r="C70" s="15" t="s">
        <v>221</v>
      </c>
      <c r="D70" s="11">
        <v>28</v>
      </c>
      <c r="E70" s="11">
        <v>28</v>
      </c>
      <c r="F70" s="11">
        <v>28</v>
      </c>
      <c r="G70" s="11"/>
      <c r="H70" s="26"/>
      <c r="I70" s="9"/>
      <c r="J70" s="9"/>
      <c r="K70" s="13">
        <f t="shared" si="2"/>
        <v>84</v>
      </c>
    </row>
    <row r="71" s="1" customFormat="1" ht="21" customHeight="1" spans="1:11">
      <c r="A71" s="9"/>
      <c r="B71" s="9"/>
      <c r="C71" s="15" t="s">
        <v>222</v>
      </c>
      <c r="D71" s="11">
        <v>18</v>
      </c>
      <c r="E71" s="11">
        <v>18</v>
      </c>
      <c r="F71" s="11">
        <v>18</v>
      </c>
      <c r="G71" s="11"/>
      <c r="H71" s="26"/>
      <c r="I71" s="9"/>
      <c r="J71" s="9"/>
      <c r="K71" s="13">
        <f t="shared" si="2"/>
        <v>54</v>
      </c>
    </row>
    <row r="72" s="1" customFormat="1" ht="21" customHeight="1" spans="1:11">
      <c r="A72" s="9"/>
      <c r="B72" s="9"/>
      <c r="C72" s="15" t="s">
        <v>223</v>
      </c>
      <c r="D72" s="23">
        <v>41</v>
      </c>
      <c r="E72" s="23">
        <v>41</v>
      </c>
      <c r="F72" s="23">
        <v>41</v>
      </c>
      <c r="G72" s="23"/>
      <c r="H72" s="26"/>
      <c r="I72" s="9"/>
      <c r="J72" s="9"/>
      <c r="K72" s="13">
        <f t="shared" si="2"/>
        <v>123</v>
      </c>
    </row>
    <row r="73" s="1" customFormat="1" ht="21" customHeight="1" spans="1:11">
      <c r="A73" s="9"/>
      <c r="B73" s="9"/>
      <c r="C73" s="15" t="s">
        <v>224</v>
      </c>
      <c r="D73" s="24">
        <v>155.7</v>
      </c>
      <c r="E73" s="24">
        <v>157</v>
      </c>
      <c r="F73" s="24">
        <v>157</v>
      </c>
      <c r="G73" s="24"/>
      <c r="H73" s="26"/>
      <c r="I73" s="9"/>
      <c r="J73" s="9"/>
      <c r="K73" s="13">
        <f t="shared" si="2"/>
        <v>469.7</v>
      </c>
    </row>
    <row r="74" s="1" customFormat="1" ht="21" customHeight="1" spans="1:11">
      <c r="A74" s="25" t="s">
        <v>225</v>
      </c>
      <c r="B74" s="25">
        <v>10.5</v>
      </c>
      <c r="C74" s="9" t="s">
        <v>226</v>
      </c>
      <c r="D74" s="11">
        <v>25</v>
      </c>
      <c r="E74" s="11">
        <v>25</v>
      </c>
      <c r="F74" s="11">
        <v>25</v>
      </c>
      <c r="G74" s="11"/>
      <c r="H74" s="26"/>
      <c r="I74" s="9"/>
      <c r="J74" s="9"/>
      <c r="K74" s="13">
        <f t="shared" si="2"/>
        <v>75</v>
      </c>
    </row>
    <row r="75" s="1" customFormat="1" ht="21" customHeight="1" spans="1:11">
      <c r="A75" s="25"/>
      <c r="B75" s="25"/>
      <c r="C75" s="9" t="s">
        <v>228</v>
      </c>
      <c r="D75" s="11">
        <v>50</v>
      </c>
      <c r="E75" s="11">
        <v>50</v>
      </c>
      <c r="F75" s="11">
        <v>50</v>
      </c>
      <c r="G75" s="11"/>
      <c r="H75" s="26"/>
      <c r="I75" s="9"/>
      <c r="J75" s="9"/>
      <c r="K75" s="13">
        <f t="shared" si="2"/>
        <v>150</v>
      </c>
    </row>
    <row r="76" s="1" customFormat="1" ht="21" customHeight="1" spans="1:11">
      <c r="A76" s="25"/>
      <c r="B76" s="25"/>
      <c r="C76" s="9" t="s">
        <v>227</v>
      </c>
      <c r="D76" s="11">
        <v>24.6</v>
      </c>
      <c r="E76" s="11">
        <v>24.5</v>
      </c>
      <c r="F76" s="11">
        <v>24.5</v>
      </c>
      <c r="G76" s="11"/>
      <c r="H76" s="26"/>
      <c r="I76" s="9"/>
      <c r="J76" s="9"/>
      <c r="K76" s="13">
        <f t="shared" si="2"/>
        <v>73.6</v>
      </c>
    </row>
    <row r="77" s="1" customFormat="1" ht="21" customHeight="1" spans="1:11">
      <c r="A77" s="25"/>
      <c r="B77" s="25"/>
      <c r="C77" s="9" t="s">
        <v>229</v>
      </c>
      <c r="D77" s="11">
        <v>24.6</v>
      </c>
      <c r="E77" s="11">
        <v>24.5</v>
      </c>
      <c r="F77" s="11">
        <v>24.5</v>
      </c>
      <c r="G77" s="11"/>
      <c r="H77" s="26"/>
      <c r="I77" s="9"/>
      <c r="J77" s="106"/>
      <c r="K77" s="13">
        <f t="shared" si="2"/>
        <v>73.6</v>
      </c>
    </row>
    <row r="78" s="1" customFormat="1" ht="21" customHeight="1" spans="1:11">
      <c r="A78" s="25"/>
      <c r="B78" s="25"/>
      <c r="C78" s="9" t="s">
        <v>240</v>
      </c>
      <c r="D78" s="11">
        <v>24.6</v>
      </c>
      <c r="E78" s="11">
        <v>24.5</v>
      </c>
      <c r="F78" s="11">
        <v>24.5</v>
      </c>
      <c r="G78" s="11"/>
      <c r="H78" s="26"/>
      <c r="I78" s="9"/>
      <c r="J78" s="106"/>
      <c r="K78" s="13">
        <f t="shared" si="2"/>
        <v>73.6</v>
      </c>
    </row>
    <row r="79" s="1" customFormat="1" ht="21" customHeight="1" spans="1:11">
      <c r="A79" s="26" t="s">
        <v>230</v>
      </c>
      <c r="B79" s="26">
        <v>10.5</v>
      </c>
      <c r="C79" s="9" t="s">
        <v>231</v>
      </c>
      <c r="D79" s="11">
        <v>10.5</v>
      </c>
      <c r="E79" s="11">
        <v>10.5</v>
      </c>
      <c r="F79" s="11">
        <v>10.5</v>
      </c>
      <c r="G79" s="11"/>
      <c r="H79" s="9"/>
      <c r="I79" s="9"/>
      <c r="J79" s="106"/>
      <c r="K79" s="13">
        <f t="shared" si="2"/>
        <v>31.5</v>
      </c>
    </row>
    <row r="80" s="1" customFormat="1" ht="21" customHeight="1" spans="1:11">
      <c r="A80" s="26" t="s">
        <v>232</v>
      </c>
      <c r="B80" s="26">
        <v>12</v>
      </c>
      <c r="C80" s="26" t="s">
        <v>233</v>
      </c>
      <c r="D80" s="22">
        <v>12</v>
      </c>
      <c r="E80" s="22">
        <v>12</v>
      </c>
      <c r="F80" s="22">
        <v>12</v>
      </c>
      <c r="G80" s="146"/>
      <c r="H80" s="26"/>
      <c r="I80" s="26"/>
      <c r="J80" s="107"/>
      <c r="K80" s="28">
        <f t="shared" si="2"/>
        <v>36</v>
      </c>
    </row>
    <row r="81" s="1" customFormat="1" ht="21" customHeight="1" spans="1:11">
      <c r="A81" s="17"/>
      <c r="B81" s="29"/>
      <c r="C81" s="29"/>
      <c r="D81" s="30"/>
      <c r="E81" s="30"/>
      <c r="F81" s="30"/>
      <c r="G81" s="29"/>
      <c r="H81" s="29"/>
      <c r="I81" s="29"/>
      <c r="J81" s="29"/>
      <c r="K81" s="31">
        <f>SUM(K60:K80)</f>
        <v>1869</v>
      </c>
    </row>
    <row r="84" s="2" customFormat="1" ht="21.75" customHeight="1" spans="1:11">
      <c r="A84" s="42" t="s">
        <v>392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</row>
    <row r="85" s="2" customFormat="1" ht="21.75" customHeight="1" spans="1:11">
      <c r="A85" s="35" t="s">
        <v>235</v>
      </c>
      <c r="B85" s="36"/>
      <c r="C85" s="36"/>
      <c r="D85" s="37" t="s">
        <v>394</v>
      </c>
      <c r="E85" s="36"/>
      <c r="F85" s="36"/>
      <c r="G85" s="36"/>
      <c r="H85" s="36"/>
      <c r="I85" s="36"/>
      <c r="J85" s="36"/>
      <c r="K85" s="36"/>
    </row>
    <row r="86" s="2" customFormat="1" ht="21.75" customHeight="1" spans="1:11">
      <c r="A86" s="27" t="s">
        <v>200</v>
      </c>
      <c r="B86" s="27" t="s">
        <v>201</v>
      </c>
      <c r="C86" s="38" t="s">
        <v>202</v>
      </c>
      <c r="D86" s="12" t="s">
        <v>6</v>
      </c>
      <c r="E86" s="12" t="s">
        <v>6</v>
      </c>
      <c r="F86" s="27" t="s">
        <v>6</v>
      </c>
      <c r="G86" s="27" t="s">
        <v>6</v>
      </c>
      <c r="H86" s="27" t="s">
        <v>6</v>
      </c>
      <c r="I86" s="27" t="s">
        <v>6</v>
      </c>
      <c r="J86" s="27" t="s">
        <v>203</v>
      </c>
      <c r="K86" s="27" t="s">
        <v>204</v>
      </c>
    </row>
    <row r="87" s="2" customFormat="1" ht="21.75" customHeight="1" spans="1:11">
      <c r="A87" s="27" t="s">
        <v>205</v>
      </c>
      <c r="B87" s="27">
        <v>12</v>
      </c>
      <c r="C87" s="38" t="s">
        <v>206</v>
      </c>
      <c r="D87" s="11">
        <v>12</v>
      </c>
      <c r="E87" s="11">
        <v>10</v>
      </c>
      <c r="F87" s="11"/>
      <c r="G87" s="11"/>
      <c r="H87" s="12"/>
      <c r="I87" s="27"/>
      <c r="J87" s="27"/>
      <c r="K87" s="27">
        <f t="shared" ref="K87:K107" si="3">SUM(D87:J87)</f>
        <v>22</v>
      </c>
    </row>
    <row r="88" s="2" customFormat="1" ht="21.75" customHeight="1" spans="1:11">
      <c r="A88" s="43" t="s">
        <v>207</v>
      </c>
      <c r="B88" s="12">
        <v>11.5</v>
      </c>
      <c r="C88" s="38" t="s">
        <v>208</v>
      </c>
      <c r="D88" s="11">
        <v>17.5</v>
      </c>
      <c r="E88" s="11">
        <v>15</v>
      </c>
      <c r="F88" s="11"/>
      <c r="G88" s="11"/>
      <c r="H88" s="12"/>
      <c r="I88" s="27"/>
      <c r="J88" s="27"/>
      <c r="K88" s="27">
        <f t="shared" si="3"/>
        <v>32.5</v>
      </c>
    </row>
    <row r="89" s="2" customFormat="1" ht="21.75" customHeight="1" spans="1:11">
      <c r="A89" s="44"/>
      <c r="B89" s="39"/>
      <c r="C89" s="38" t="s">
        <v>210</v>
      </c>
      <c r="D89" s="11">
        <v>17.5</v>
      </c>
      <c r="E89" s="11">
        <v>15</v>
      </c>
      <c r="F89" s="11"/>
      <c r="G89" s="11"/>
      <c r="H89" s="12"/>
      <c r="I89" s="27"/>
      <c r="J89" s="27"/>
      <c r="K89" s="27">
        <f t="shared" si="3"/>
        <v>32.5</v>
      </c>
    </row>
    <row r="90" s="2" customFormat="1" ht="21.75" customHeight="1" spans="1:11">
      <c r="A90" s="43" t="s">
        <v>211</v>
      </c>
      <c r="B90" s="12">
        <v>11.5</v>
      </c>
      <c r="C90" s="38" t="s">
        <v>212</v>
      </c>
      <c r="D90" s="11">
        <v>11.5</v>
      </c>
      <c r="E90" s="11">
        <v>11</v>
      </c>
      <c r="F90" s="11"/>
      <c r="G90" s="11"/>
      <c r="H90" s="12"/>
      <c r="I90" s="27"/>
      <c r="J90" s="27"/>
      <c r="K90" s="27">
        <f t="shared" si="3"/>
        <v>22.5</v>
      </c>
    </row>
    <row r="91" s="2" customFormat="1" ht="21.75" customHeight="1" spans="1:11">
      <c r="A91" s="44"/>
      <c r="B91" s="39"/>
      <c r="C91" s="38" t="s">
        <v>213</v>
      </c>
      <c r="D91" s="11">
        <v>11.5</v>
      </c>
      <c r="E91" s="11">
        <v>11</v>
      </c>
      <c r="F91" s="11"/>
      <c r="G91" s="11"/>
      <c r="H91" s="12"/>
      <c r="I91" s="27"/>
      <c r="J91" s="27"/>
      <c r="K91" s="27">
        <f t="shared" si="3"/>
        <v>22.5</v>
      </c>
    </row>
    <row r="92" s="2" customFormat="1" ht="21.75" customHeight="1" spans="1:11">
      <c r="A92" s="44"/>
      <c r="B92" s="39"/>
      <c r="C92" s="27" t="s">
        <v>214</v>
      </c>
      <c r="D92" s="11">
        <v>11.5</v>
      </c>
      <c r="E92" s="11">
        <v>11</v>
      </c>
      <c r="F92" s="11"/>
      <c r="G92" s="11"/>
      <c r="H92" s="12"/>
      <c r="I92" s="27"/>
      <c r="J92" s="27"/>
      <c r="K92" s="27">
        <f t="shared" si="3"/>
        <v>22.5</v>
      </c>
    </row>
    <row r="93" s="2" customFormat="1" ht="21.75" customHeight="1" spans="1:11">
      <c r="A93" s="44"/>
      <c r="B93" s="39"/>
      <c r="C93" s="38" t="s">
        <v>216</v>
      </c>
      <c r="D93" s="11">
        <v>11.5</v>
      </c>
      <c r="E93" s="11">
        <v>11</v>
      </c>
      <c r="F93" s="11"/>
      <c r="G93" s="11"/>
      <c r="H93" s="12"/>
      <c r="I93" s="12"/>
      <c r="J93" s="27"/>
      <c r="K93" s="27">
        <f t="shared" si="3"/>
        <v>22.5</v>
      </c>
    </row>
    <row r="94" s="2" customFormat="1" ht="21.75" customHeight="1" spans="1:11">
      <c r="A94" s="45"/>
      <c r="B94" s="46"/>
      <c r="C94" s="38" t="s">
        <v>215</v>
      </c>
      <c r="D94" s="11">
        <v>11.5</v>
      </c>
      <c r="E94" s="11">
        <v>11</v>
      </c>
      <c r="F94" s="11"/>
      <c r="G94" s="11"/>
      <c r="H94" s="12"/>
      <c r="I94" s="12"/>
      <c r="J94" s="27"/>
      <c r="K94" s="27">
        <f t="shared" si="3"/>
        <v>22.5</v>
      </c>
    </row>
    <row r="95" s="2" customFormat="1" ht="21.75" customHeight="1" spans="1:11">
      <c r="A95" s="27" t="s">
        <v>217</v>
      </c>
      <c r="B95" s="27">
        <v>10.5</v>
      </c>
      <c r="C95" s="27" t="s">
        <v>218</v>
      </c>
      <c r="D95" s="11">
        <v>9</v>
      </c>
      <c r="E95" s="11">
        <v>5</v>
      </c>
      <c r="F95" s="11"/>
      <c r="G95" s="11"/>
      <c r="H95" s="12"/>
      <c r="I95" s="27"/>
      <c r="J95" s="27"/>
      <c r="K95" s="27">
        <f t="shared" si="3"/>
        <v>14</v>
      </c>
    </row>
    <row r="96" s="2" customFormat="1" ht="21.75" customHeight="1" spans="1:11">
      <c r="A96" s="27"/>
      <c r="B96" s="27"/>
      <c r="C96" s="27" t="s">
        <v>219</v>
      </c>
      <c r="D96" s="11">
        <v>40</v>
      </c>
      <c r="E96" s="11">
        <v>0</v>
      </c>
      <c r="F96" s="11"/>
      <c r="G96" s="11"/>
      <c r="H96" s="12"/>
      <c r="I96" s="27"/>
      <c r="J96" s="27"/>
      <c r="K96" s="27">
        <f t="shared" si="3"/>
        <v>40</v>
      </c>
    </row>
    <row r="97" s="2" customFormat="1" ht="21.75" customHeight="1" spans="1:11">
      <c r="A97" s="27" t="s">
        <v>220</v>
      </c>
      <c r="B97" s="27">
        <v>11.5</v>
      </c>
      <c r="C97" s="38" t="s">
        <v>221</v>
      </c>
      <c r="D97" s="11">
        <v>19.5</v>
      </c>
      <c r="E97" s="11">
        <v>5</v>
      </c>
      <c r="F97" s="11"/>
      <c r="G97" s="11"/>
      <c r="H97" s="12"/>
      <c r="I97" s="27"/>
      <c r="J97" s="27"/>
      <c r="K97" s="27">
        <f t="shared" si="3"/>
        <v>24.5</v>
      </c>
    </row>
    <row r="98" s="2" customFormat="1" ht="21.75" customHeight="1" spans="1:11">
      <c r="A98" s="27"/>
      <c r="B98" s="27"/>
      <c r="C98" s="38" t="s">
        <v>222</v>
      </c>
      <c r="D98" s="11">
        <v>9</v>
      </c>
      <c r="E98" s="11">
        <v>5</v>
      </c>
      <c r="F98" s="11"/>
      <c r="G98" s="11"/>
      <c r="H98" s="12"/>
      <c r="I98" s="27"/>
      <c r="J98" s="27"/>
      <c r="K98" s="27">
        <f t="shared" si="3"/>
        <v>14</v>
      </c>
    </row>
    <row r="99" s="2" customFormat="1" ht="21.75" customHeight="1" spans="1:11">
      <c r="A99" s="27"/>
      <c r="B99" s="27"/>
      <c r="C99" s="38" t="s">
        <v>223</v>
      </c>
      <c r="D99" s="11">
        <v>40</v>
      </c>
      <c r="E99" s="23">
        <v>0</v>
      </c>
      <c r="F99" s="23"/>
      <c r="G99" s="23"/>
      <c r="H99" s="12"/>
      <c r="I99" s="27"/>
      <c r="J99" s="27"/>
      <c r="K99" s="27">
        <f t="shared" si="3"/>
        <v>40</v>
      </c>
    </row>
    <row r="100" s="2" customFormat="1" ht="21.75" customHeight="1" spans="1:11">
      <c r="A100" s="27"/>
      <c r="B100" s="27"/>
      <c r="C100" s="38" t="s">
        <v>224</v>
      </c>
      <c r="D100" s="24">
        <v>73.5</v>
      </c>
      <c r="E100" s="24">
        <v>5</v>
      </c>
      <c r="F100" s="24"/>
      <c r="G100" s="24"/>
      <c r="H100" s="12"/>
      <c r="I100" s="27"/>
      <c r="J100" s="27"/>
      <c r="K100" s="27">
        <f t="shared" si="3"/>
        <v>78.5</v>
      </c>
    </row>
    <row r="101" s="2" customFormat="1" ht="21.75" customHeight="1" spans="1:11">
      <c r="A101" s="39" t="s">
        <v>225</v>
      </c>
      <c r="B101" s="39">
        <v>10.5</v>
      </c>
      <c r="C101" s="27" t="s">
        <v>226</v>
      </c>
      <c r="D101" s="11">
        <v>23</v>
      </c>
      <c r="E101" s="11">
        <v>10</v>
      </c>
      <c r="F101" s="11"/>
      <c r="G101" s="11"/>
      <c r="H101" s="12"/>
      <c r="I101" s="27"/>
      <c r="J101" s="27"/>
      <c r="K101" s="27">
        <f t="shared" si="3"/>
        <v>33</v>
      </c>
    </row>
    <row r="102" s="2" customFormat="1" ht="21.75" customHeight="1" spans="1:11">
      <c r="A102" s="39"/>
      <c r="B102" s="39"/>
      <c r="C102" s="27" t="s">
        <v>228</v>
      </c>
      <c r="D102" s="11">
        <v>40</v>
      </c>
      <c r="E102" s="11">
        <v>0</v>
      </c>
      <c r="F102" s="11"/>
      <c r="G102" s="11"/>
      <c r="H102" s="12"/>
      <c r="I102" s="27"/>
      <c r="J102" s="27"/>
      <c r="K102" s="27">
        <f t="shared" si="3"/>
        <v>40</v>
      </c>
    </row>
    <row r="103" s="2" customFormat="1" ht="21.75" customHeight="1" spans="1:11">
      <c r="A103" s="39"/>
      <c r="B103" s="39"/>
      <c r="C103" s="27" t="s">
        <v>227</v>
      </c>
      <c r="D103" s="11">
        <v>40</v>
      </c>
      <c r="E103" s="11">
        <v>0</v>
      </c>
      <c r="F103" s="11"/>
      <c r="G103" s="11"/>
      <c r="H103" s="12"/>
      <c r="I103" s="27"/>
      <c r="J103" s="27"/>
      <c r="K103" s="27">
        <f t="shared" si="3"/>
        <v>40</v>
      </c>
    </row>
    <row r="104" s="2" customFormat="1" ht="21.75" customHeight="1" spans="1:11">
      <c r="A104" s="39"/>
      <c r="B104" s="39"/>
      <c r="C104" s="27" t="s">
        <v>229</v>
      </c>
      <c r="D104" s="11">
        <v>11.5</v>
      </c>
      <c r="E104" s="11">
        <v>5</v>
      </c>
      <c r="F104" s="11"/>
      <c r="G104" s="11"/>
      <c r="H104" s="12"/>
      <c r="I104" s="27"/>
      <c r="J104" s="40"/>
      <c r="K104" s="27">
        <f t="shared" si="3"/>
        <v>16.5</v>
      </c>
    </row>
    <row r="105" s="2" customFormat="1" ht="21.75" customHeight="1" spans="1:11">
      <c r="A105" s="39"/>
      <c r="B105" s="39"/>
      <c r="C105" s="27" t="s">
        <v>240</v>
      </c>
      <c r="D105" s="11">
        <v>11.5</v>
      </c>
      <c r="E105" s="11">
        <v>5</v>
      </c>
      <c r="F105" s="11"/>
      <c r="G105" s="11"/>
      <c r="H105" s="12"/>
      <c r="I105" s="27"/>
      <c r="J105" s="40"/>
      <c r="K105" s="27">
        <f t="shared" si="3"/>
        <v>16.5</v>
      </c>
    </row>
    <row r="106" s="2" customFormat="1" ht="21.75" customHeight="1" spans="1:11">
      <c r="A106" s="12" t="s">
        <v>230</v>
      </c>
      <c r="B106" s="12">
        <v>10.5</v>
      </c>
      <c r="C106" s="27" t="s">
        <v>231</v>
      </c>
      <c r="D106" s="11">
        <v>10.5</v>
      </c>
      <c r="E106" s="11">
        <v>10.5</v>
      </c>
      <c r="F106" s="11"/>
      <c r="G106" s="11"/>
      <c r="H106" s="27"/>
      <c r="I106" s="27"/>
      <c r="J106" s="40"/>
      <c r="K106" s="27">
        <f t="shared" si="3"/>
        <v>21</v>
      </c>
    </row>
    <row r="107" s="2" customFormat="1" ht="21.75" customHeight="1" spans="1:11">
      <c r="A107" s="27" t="s">
        <v>232</v>
      </c>
      <c r="B107" s="27">
        <v>12</v>
      </c>
      <c r="C107" s="27" t="s">
        <v>233</v>
      </c>
      <c r="D107" s="22">
        <v>12</v>
      </c>
      <c r="E107" s="22">
        <v>12</v>
      </c>
      <c r="F107" s="22"/>
      <c r="G107" s="22"/>
      <c r="H107" s="27"/>
      <c r="I107" s="27"/>
      <c r="J107" s="40"/>
      <c r="K107" s="27">
        <f t="shared" si="3"/>
        <v>24</v>
      </c>
    </row>
    <row r="108" s="2" customFormat="1" ht="21.75" customHeight="1" spans="1:11">
      <c r="A108" s="38"/>
      <c r="B108" s="41"/>
      <c r="C108" s="41"/>
      <c r="D108" s="41"/>
      <c r="E108" s="41"/>
      <c r="F108" s="41"/>
      <c r="G108" s="41"/>
      <c r="H108" s="41"/>
      <c r="I108" s="41"/>
      <c r="J108" s="40"/>
      <c r="K108" s="47">
        <f>SUM(K87:K107)</f>
        <v>601.5</v>
      </c>
    </row>
    <row r="111" s="2" customFormat="1" ht="21.75" customHeight="1" spans="1:11">
      <c r="A111" s="88" t="s">
        <v>392</v>
      </c>
      <c r="B111" s="88"/>
      <c r="C111" s="88"/>
      <c r="D111" s="88"/>
      <c r="E111" s="88"/>
      <c r="F111" s="88"/>
      <c r="G111" s="88"/>
      <c r="H111" s="88"/>
      <c r="I111" s="88"/>
      <c r="J111" s="88"/>
      <c r="K111" s="88"/>
    </row>
    <row r="112" s="2" customFormat="1" ht="21.75" customHeight="1" spans="1:11">
      <c r="A112" s="35" t="s">
        <v>235</v>
      </c>
      <c r="B112" s="36"/>
      <c r="C112" s="36"/>
      <c r="D112" s="37" t="s">
        <v>395</v>
      </c>
      <c r="E112" s="36"/>
      <c r="F112" s="36"/>
      <c r="G112" s="36"/>
      <c r="H112" s="36"/>
      <c r="I112" s="36"/>
      <c r="J112" s="36"/>
      <c r="K112" s="36"/>
    </row>
    <row r="113" s="2" customFormat="1" ht="21.75" customHeight="1" spans="1:11">
      <c r="A113" s="27" t="s">
        <v>200</v>
      </c>
      <c r="B113" s="27" t="s">
        <v>201</v>
      </c>
      <c r="C113" s="38" t="s">
        <v>202</v>
      </c>
      <c r="D113" s="12" t="s">
        <v>6</v>
      </c>
      <c r="E113" s="12" t="s">
        <v>6</v>
      </c>
      <c r="F113" s="27" t="s">
        <v>6</v>
      </c>
      <c r="G113" s="27" t="s">
        <v>6</v>
      </c>
      <c r="H113" s="27" t="s">
        <v>6</v>
      </c>
      <c r="I113" s="27" t="s">
        <v>6</v>
      </c>
      <c r="J113" s="27" t="s">
        <v>203</v>
      </c>
      <c r="K113" s="27" t="s">
        <v>204</v>
      </c>
    </row>
    <row r="114" s="2" customFormat="1" ht="21.75" customHeight="1" spans="1:11">
      <c r="A114" s="27" t="s">
        <v>205</v>
      </c>
      <c r="B114" s="27">
        <v>12</v>
      </c>
      <c r="C114" s="38" t="s">
        <v>206</v>
      </c>
      <c r="D114" s="12">
        <v>12</v>
      </c>
      <c r="E114" s="12">
        <v>10</v>
      </c>
      <c r="F114" s="11"/>
      <c r="G114" s="11"/>
      <c r="H114" s="12"/>
      <c r="I114" s="27"/>
      <c r="J114" s="27"/>
      <c r="K114" s="27">
        <f t="shared" ref="K114:K135" si="4">SUM(D114:J114)</f>
        <v>22</v>
      </c>
    </row>
    <row r="115" s="2" customFormat="1" ht="21.75" customHeight="1" spans="1:11">
      <c r="A115" s="43" t="s">
        <v>207</v>
      </c>
      <c r="B115" s="12">
        <v>11.5</v>
      </c>
      <c r="C115" s="38" t="s">
        <v>208</v>
      </c>
      <c r="D115" s="12">
        <v>17</v>
      </c>
      <c r="E115" s="12">
        <v>15</v>
      </c>
      <c r="F115" s="11"/>
      <c r="G115" s="11"/>
      <c r="H115" s="12"/>
      <c r="I115" s="27"/>
      <c r="J115" s="27"/>
      <c r="K115" s="27">
        <f t="shared" si="4"/>
        <v>32</v>
      </c>
    </row>
    <row r="116" s="2" customFormat="1" ht="21.75" customHeight="1" spans="1:11">
      <c r="A116" s="44"/>
      <c r="B116" s="39"/>
      <c r="C116" s="38" t="s">
        <v>210</v>
      </c>
      <c r="D116" s="12">
        <v>17</v>
      </c>
      <c r="E116" s="12">
        <v>15</v>
      </c>
      <c r="F116" s="11"/>
      <c r="G116" s="11"/>
      <c r="H116" s="12"/>
      <c r="I116" s="27"/>
      <c r="J116" s="27"/>
      <c r="K116" s="27">
        <f t="shared" si="4"/>
        <v>32</v>
      </c>
    </row>
    <row r="117" s="2" customFormat="1" ht="21.75" customHeight="1" spans="1:11">
      <c r="A117" s="43" t="s">
        <v>211</v>
      </c>
      <c r="B117" s="12">
        <v>11.5</v>
      </c>
      <c r="C117" s="38" t="s">
        <v>212</v>
      </c>
      <c r="D117" s="12">
        <v>11.5</v>
      </c>
      <c r="E117" s="12">
        <v>0</v>
      </c>
      <c r="F117" s="11"/>
      <c r="G117" s="11"/>
      <c r="H117" s="12"/>
      <c r="I117" s="27"/>
      <c r="J117" s="27"/>
      <c r="K117" s="27">
        <f t="shared" si="4"/>
        <v>11.5</v>
      </c>
    </row>
    <row r="118" s="2" customFormat="1" ht="21.75" customHeight="1" spans="1:11">
      <c r="A118" s="44"/>
      <c r="B118" s="39"/>
      <c r="C118" s="38" t="s">
        <v>213</v>
      </c>
      <c r="D118" s="12">
        <v>23</v>
      </c>
      <c r="E118" s="12">
        <v>0</v>
      </c>
      <c r="F118" s="11"/>
      <c r="G118" s="11"/>
      <c r="H118" s="12"/>
      <c r="I118" s="27"/>
      <c r="J118" s="27"/>
      <c r="K118" s="27">
        <f t="shared" si="4"/>
        <v>23</v>
      </c>
    </row>
    <row r="119" s="2" customFormat="1" ht="21.75" customHeight="1" spans="1:11">
      <c r="A119" s="44"/>
      <c r="B119" s="39"/>
      <c r="C119" s="27" t="s">
        <v>214</v>
      </c>
      <c r="D119" s="12">
        <v>0</v>
      </c>
      <c r="E119" s="12">
        <v>15</v>
      </c>
      <c r="F119" s="11"/>
      <c r="G119" s="11"/>
      <c r="H119" s="12"/>
      <c r="I119" s="27"/>
      <c r="J119" s="27"/>
      <c r="K119" s="27">
        <f t="shared" si="4"/>
        <v>15</v>
      </c>
    </row>
    <row r="120" s="2" customFormat="1" ht="21.75" customHeight="1" spans="1:11">
      <c r="A120" s="44"/>
      <c r="B120" s="39"/>
      <c r="C120" s="38" t="s">
        <v>216</v>
      </c>
      <c r="D120" s="12">
        <v>23</v>
      </c>
      <c r="E120" s="121">
        <v>15</v>
      </c>
      <c r="F120" s="11"/>
      <c r="G120" s="11"/>
      <c r="H120" s="12"/>
      <c r="I120" s="12"/>
      <c r="J120" s="27"/>
      <c r="K120" s="27">
        <f t="shared" si="4"/>
        <v>38</v>
      </c>
    </row>
    <row r="121" s="2" customFormat="1" ht="21.75" customHeight="1" spans="1:11">
      <c r="A121" s="45"/>
      <c r="B121" s="46"/>
      <c r="C121" s="38" t="s">
        <v>215</v>
      </c>
      <c r="D121" s="12">
        <v>23</v>
      </c>
      <c r="E121" s="121">
        <v>15</v>
      </c>
      <c r="F121" s="11"/>
      <c r="G121" s="11"/>
      <c r="H121" s="12"/>
      <c r="I121" s="12"/>
      <c r="J121" s="27"/>
      <c r="K121" s="27">
        <f t="shared" si="4"/>
        <v>38</v>
      </c>
    </row>
    <row r="122" s="2" customFormat="1" ht="21.75" customHeight="1" spans="1:11">
      <c r="A122" s="27" t="s">
        <v>217</v>
      </c>
      <c r="B122" s="27">
        <v>10.5</v>
      </c>
      <c r="C122" s="27" t="s">
        <v>218</v>
      </c>
      <c r="D122" s="12">
        <v>10</v>
      </c>
      <c r="E122" s="121">
        <v>15</v>
      </c>
      <c r="F122" s="22"/>
      <c r="G122" s="22"/>
      <c r="H122" s="12"/>
      <c r="I122" s="27"/>
      <c r="J122" s="27"/>
      <c r="K122" s="27">
        <f t="shared" si="4"/>
        <v>25</v>
      </c>
    </row>
    <row r="123" s="2" customFormat="1" ht="21.75" customHeight="1" spans="1:11">
      <c r="A123" s="27"/>
      <c r="B123" s="27"/>
      <c r="C123" s="27" t="s">
        <v>219</v>
      </c>
      <c r="D123" s="12">
        <v>10</v>
      </c>
      <c r="E123" s="121">
        <v>0</v>
      </c>
      <c r="F123" s="11"/>
      <c r="G123" s="11"/>
      <c r="H123" s="12"/>
      <c r="I123" s="27"/>
      <c r="J123" s="27"/>
      <c r="K123" s="27">
        <f t="shared" si="4"/>
        <v>10</v>
      </c>
    </row>
    <row r="124" s="2" customFormat="1" ht="21.75" customHeight="1" spans="1:11">
      <c r="A124" s="27" t="s">
        <v>220</v>
      </c>
      <c r="B124" s="27">
        <v>11.5</v>
      </c>
      <c r="C124" s="38" t="s">
        <v>221</v>
      </c>
      <c r="D124" s="12">
        <v>21</v>
      </c>
      <c r="E124" s="121">
        <v>0</v>
      </c>
      <c r="F124" s="11"/>
      <c r="G124" s="11"/>
      <c r="H124" s="12"/>
      <c r="I124" s="27"/>
      <c r="J124" s="27"/>
      <c r="K124" s="27">
        <f t="shared" si="4"/>
        <v>21</v>
      </c>
    </row>
    <row r="125" s="2" customFormat="1" ht="21.75" customHeight="1" spans="1:11">
      <c r="A125" s="27"/>
      <c r="B125" s="27"/>
      <c r="C125" s="38" t="s">
        <v>222</v>
      </c>
      <c r="D125" s="12">
        <v>11.5</v>
      </c>
      <c r="E125" s="121">
        <v>0</v>
      </c>
      <c r="F125" s="11"/>
      <c r="G125" s="11"/>
      <c r="H125" s="12"/>
      <c r="I125" s="27"/>
      <c r="J125" s="27"/>
      <c r="K125" s="27">
        <f t="shared" si="4"/>
        <v>11.5</v>
      </c>
    </row>
    <row r="126" s="2" customFormat="1" ht="21.75" customHeight="1" spans="1:11">
      <c r="A126" s="27"/>
      <c r="B126" s="27"/>
      <c r="C126" s="38" t="s">
        <v>223</v>
      </c>
      <c r="D126" s="12">
        <v>10</v>
      </c>
      <c r="E126" s="121">
        <v>0</v>
      </c>
      <c r="F126" s="23"/>
      <c r="G126" s="23"/>
      <c r="H126" s="12"/>
      <c r="I126" s="27"/>
      <c r="J126" s="27"/>
      <c r="K126" s="27">
        <f t="shared" si="4"/>
        <v>10</v>
      </c>
    </row>
    <row r="127" s="2" customFormat="1" ht="21.75" customHeight="1" spans="1:11">
      <c r="A127" s="27"/>
      <c r="B127" s="27"/>
      <c r="C127" s="38" t="s">
        <v>224</v>
      </c>
      <c r="D127" s="12">
        <v>90</v>
      </c>
      <c r="E127" s="121">
        <v>10</v>
      </c>
      <c r="F127" s="24"/>
      <c r="G127" s="24"/>
      <c r="H127" s="12"/>
      <c r="I127" s="27"/>
      <c r="J127" s="27"/>
      <c r="K127" s="27">
        <f t="shared" si="4"/>
        <v>100</v>
      </c>
    </row>
    <row r="128" s="2" customFormat="1" ht="21.75" customHeight="1" spans="1:11">
      <c r="A128" s="39" t="s">
        <v>225</v>
      </c>
      <c r="B128" s="39">
        <v>10.5</v>
      </c>
      <c r="C128" s="27" t="s">
        <v>226</v>
      </c>
      <c r="D128" s="12">
        <v>10.5</v>
      </c>
      <c r="E128" s="121">
        <v>10</v>
      </c>
      <c r="F128" s="11"/>
      <c r="G128" s="11"/>
      <c r="H128" s="12"/>
      <c r="I128" s="27"/>
      <c r="J128" s="27"/>
      <c r="K128" s="27">
        <f t="shared" si="4"/>
        <v>20.5</v>
      </c>
    </row>
    <row r="129" s="2" customFormat="1" ht="21.75" customHeight="1" spans="1:11">
      <c r="A129" s="39"/>
      <c r="B129" s="39"/>
      <c r="C129" s="27" t="s">
        <v>250</v>
      </c>
      <c r="D129" s="12">
        <v>10.5</v>
      </c>
      <c r="E129" s="121">
        <v>10</v>
      </c>
      <c r="F129" s="11"/>
      <c r="G129" s="11"/>
      <c r="H129" s="12"/>
      <c r="I129" s="27"/>
      <c r="J129" s="27"/>
      <c r="K129" s="27">
        <f t="shared" si="4"/>
        <v>20.5</v>
      </c>
    </row>
    <row r="130" s="2" customFormat="1" ht="21.75" customHeight="1" spans="1:11">
      <c r="A130" s="39"/>
      <c r="B130" s="39"/>
      <c r="C130" s="27" t="s">
        <v>228</v>
      </c>
      <c r="D130" s="12">
        <v>10.5</v>
      </c>
      <c r="E130" s="121">
        <v>10</v>
      </c>
      <c r="F130" s="11"/>
      <c r="G130" s="11"/>
      <c r="H130" s="12"/>
      <c r="I130" s="27"/>
      <c r="J130" s="27"/>
      <c r="K130" s="27">
        <f t="shared" si="4"/>
        <v>20.5</v>
      </c>
    </row>
    <row r="131" s="2" customFormat="1" ht="21.75" customHeight="1" spans="1:11">
      <c r="A131" s="39"/>
      <c r="B131" s="39"/>
      <c r="C131" s="27" t="s">
        <v>227</v>
      </c>
      <c r="D131" s="12">
        <v>10.5</v>
      </c>
      <c r="E131" s="121">
        <v>10</v>
      </c>
      <c r="F131" s="11"/>
      <c r="G131" s="11"/>
      <c r="H131" s="12"/>
      <c r="I131" s="27"/>
      <c r="J131" s="27"/>
      <c r="K131" s="27">
        <f t="shared" si="4"/>
        <v>20.5</v>
      </c>
    </row>
    <row r="132" s="2" customFormat="1" ht="21.75" customHeight="1" spans="1:11">
      <c r="A132" s="39"/>
      <c r="B132" s="39"/>
      <c r="C132" s="27" t="s">
        <v>229</v>
      </c>
      <c r="D132" s="12">
        <v>10.5</v>
      </c>
      <c r="E132" s="121">
        <v>10</v>
      </c>
      <c r="F132" s="11"/>
      <c r="G132" s="11"/>
      <c r="H132" s="12"/>
      <c r="I132" s="27"/>
      <c r="J132" s="40"/>
      <c r="K132" s="27">
        <f t="shared" si="4"/>
        <v>20.5</v>
      </c>
    </row>
    <row r="133" s="2" customFormat="1" ht="21.75" customHeight="1" spans="1:11">
      <c r="A133" s="39"/>
      <c r="B133" s="39"/>
      <c r="C133" s="27" t="s">
        <v>240</v>
      </c>
      <c r="D133" s="12">
        <v>10.5</v>
      </c>
      <c r="E133" s="121">
        <v>10</v>
      </c>
      <c r="F133" s="11"/>
      <c r="G133" s="11"/>
      <c r="H133" s="12"/>
      <c r="I133" s="27"/>
      <c r="J133" s="40"/>
      <c r="K133" s="27">
        <f t="shared" si="4"/>
        <v>20.5</v>
      </c>
    </row>
    <row r="134" s="2" customFormat="1" ht="21.75" customHeight="1" spans="1:11">
      <c r="A134" s="12" t="s">
        <v>230</v>
      </c>
      <c r="B134" s="12">
        <v>10.5</v>
      </c>
      <c r="C134" s="27" t="s">
        <v>231</v>
      </c>
      <c r="D134" s="12">
        <v>10.5</v>
      </c>
      <c r="E134" s="68">
        <v>10.5</v>
      </c>
      <c r="F134" s="11"/>
      <c r="G134" s="11"/>
      <c r="H134" s="27"/>
      <c r="I134" s="27"/>
      <c r="J134" s="40"/>
      <c r="K134" s="27">
        <f t="shared" si="4"/>
        <v>21</v>
      </c>
    </row>
    <row r="135" s="2" customFormat="1" ht="21.75" customHeight="1" spans="1:11">
      <c r="A135" s="12" t="s">
        <v>232</v>
      </c>
      <c r="B135" s="12">
        <v>12</v>
      </c>
      <c r="C135" s="12" t="s">
        <v>233</v>
      </c>
      <c r="D135" s="12">
        <v>12</v>
      </c>
      <c r="E135" s="12">
        <v>12</v>
      </c>
      <c r="F135" s="89"/>
      <c r="G135" s="89"/>
      <c r="H135" s="12"/>
      <c r="I135" s="12"/>
      <c r="J135" s="90"/>
      <c r="K135" s="27">
        <f t="shared" si="4"/>
        <v>24</v>
      </c>
    </row>
    <row r="136" s="2" customFormat="1" ht="21.75" customHeight="1" spans="1:11">
      <c r="A136" s="38"/>
      <c r="B136" s="41"/>
      <c r="C136" s="41"/>
      <c r="D136" s="41"/>
      <c r="E136" s="41"/>
      <c r="F136" s="41"/>
      <c r="G136" s="41"/>
      <c r="H136" s="41"/>
      <c r="I136" s="41"/>
      <c r="J136" s="40"/>
      <c r="K136" s="27">
        <f>SUM(K114:K135)</f>
        <v>557</v>
      </c>
    </row>
    <row r="140" s="1" customFormat="1" ht="21" customHeight="1" spans="1:11">
      <c r="A140" s="32" t="s">
        <v>392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4"/>
    </row>
    <row r="141" s="1" customFormat="1" ht="21" customHeight="1" spans="1:11">
      <c r="A141" s="35" t="s">
        <v>253</v>
      </c>
      <c r="B141" s="36"/>
      <c r="C141" s="36"/>
      <c r="D141" s="37" t="s">
        <v>396</v>
      </c>
      <c r="E141" s="36"/>
      <c r="F141" s="36"/>
      <c r="G141" s="36"/>
      <c r="H141" s="36"/>
      <c r="I141" s="36"/>
      <c r="J141" s="36"/>
      <c r="K141" s="36"/>
    </row>
    <row r="142" s="1" customFormat="1" ht="21" customHeight="1" spans="1:11">
      <c r="A142" s="27" t="s">
        <v>200</v>
      </c>
      <c r="B142" s="27" t="s">
        <v>201</v>
      </c>
      <c r="C142" s="38" t="s">
        <v>202</v>
      </c>
      <c r="D142" s="12" t="s">
        <v>6</v>
      </c>
      <c r="E142" s="12" t="s">
        <v>6</v>
      </c>
      <c r="F142" s="27" t="s">
        <v>6</v>
      </c>
      <c r="G142" s="27" t="s">
        <v>6</v>
      </c>
      <c r="H142" s="27" t="s">
        <v>6</v>
      </c>
      <c r="I142" s="27" t="s">
        <v>6</v>
      </c>
      <c r="J142" s="27" t="s">
        <v>203</v>
      </c>
      <c r="K142" s="27" t="s">
        <v>204</v>
      </c>
    </row>
    <row r="143" s="1" customFormat="1" ht="21" customHeight="1" spans="1:11">
      <c r="A143" s="27" t="s">
        <v>205</v>
      </c>
      <c r="B143" s="27">
        <v>12</v>
      </c>
      <c r="C143" s="38" t="s">
        <v>206</v>
      </c>
      <c r="D143" s="12">
        <v>15</v>
      </c>
      <c r="E143" s="12">
        <v>15</v>
      </c>
      <c r="F143" s="12">
        <v>10</v>
      </c>
      <c r="G143" s="12"/>
      <c r="H143" s="12"/>
      <c r="I143" s="27"/>
      <c r="J143" s="27"/>
      <c r="K143" s="13">
        <f t="shared" ref="K143:K165" si="5">SUM(D143:J143)</f>
        <v>40</v>
      </c>
    </row>
    <row r="144" s="1" customFormat="1" ht="21" customHeight="1" spans="1:11">
      <c r="A144" s="21" t="s">
        <v>207</v>
      </c>
      <c r="B144" s="27">
        <v>11.5</v>
      </c>
      <c r="C144" s="38" t="s">
        <v>208</v>
      </c>
      <c r="D144" s="12">
        <v>14.3</v>
      </c>
      <c r="E144" s="12">
        <v>14.3</v>
      </c>
      <c r="F144" s="12">
        <v>10</v>
      </c>
      <c r="G144" s="12"/>
      <c r="H144" s="12"/>
      <c r="I144" s="27"/>
      <c r="J144" s="27"/>
      <c r="K144" s="13">
        <f t="shared" si="5"/>
        <v>38.6</v>
      </c>
    </row>
    <row r="145" s="1" customFormat="1" ht="21" customHeight="1" spans="1:11">
      <c r="A145" s="21"/>
      <c r="B145" s="27"/>
      <c r="C145" s="27" t="s">
        <v>209</v>
      </c>
      <c r="D145" s="12">
        <v>14.3</v>
      </c>
      <c r="E145" s="12">
        <v>14.3</v>
      </c>
      <c r="F145" s="12">
        <v>10</v>
      </c>
      <c r="G145" s="12"/>
      <c r="H145" s="12"/>
      <c r="I145" s="27"/>
      <c r="J145" s="27"/>
      <c r="K145" s="13">
        <f t="shared" si="5"/>
        <v>38.6</v>
      </c>
    </row>
    <row r="146" s="1" customFormat="1" ht="21" customHeight="1" spans="1:11">
      <c r="A146" s="21"/>
      <c r="B146" s="27"/>
      <c r="C146" s="38" t="s">
        <v>210</v>
      </c>
      <c r="D146" s="12">
        <v>14.3</v>
      </c>
      <c r="E146" s="12">
        <v>14.3</v>
      </c>
      <c r="F146" s="12">
        <v>10</v>
      </c>
      <c r="G146" s="12"/>
      <c r="H146" s="12"/>
      <c r="I146" s="27"/>
      <c r="J146" s="27"/>
      <c r="K146" s="13">
        <f t="shared" si="5"/>
        <v>38.6</v>
      </c>
    </row>
    <row r="147" s="1" customFormat="1" ht="21" customHeight="1" spans="1:11">
      <c r="A147" s="16" t="s">
        <v>237</v>
      </c>
      <c r="B147" s="13">
        <v>11.5</v>
      </c>
      <c r="C147" s="17" t="s">
        <v>212</v>
      </c>
      <c r="D147" s="12">
        <v>14.3</v>
      </c>
      <c r="E147" s="12">
        <v>14.3</v>
      </c>
      <c r="F147" s="12">
        <v>11</v>
      </c>
      <c r="G147" s="12"/>
      <c r="H147" s="12"/>
      <c r="I147" s="27"/>
      <c r="J147" s="27"/>
      <c r="K147" s="13">
        <f t="shared" si="5"/>
        <v>39.6</v>
      </c>
    </row>
    <row r="148" s="1" customFormat="1" ht="21" customHeight="1" spans="1:11">
      <c r="A148" s="18"/>
      <c r="B148" s="13"/>
      <c r="C148" s="1" t="s">
        <v>215</v>
      </c>
      <c r="D148" s="12">
        <v>14.3</v>
      </c>
      <c r="E148" s="12">
        <v>14.3</v>
      </c>
      <c r="F148" s="12">
        <v>11</v>
      </c>
      <c r="G148" s="12"/>
      <c r="H148" s="12"/>
      <c r="I148" s="27"/>
      <c r="J148" s="27"/>
      <c r="K148" s="13">
        <f t="shared" si="5"/>
        <v>39.6</v>
      </c>
    </row>
    <row r="149" s="1" customFormat="1" ht="21" customHeight="1" spans="1:11">
      <c r="A149" s="19" t="s">
        <v>238</v>
      </c>
      <c r="B149" s="13"/>
      <c r="C149" s="17" t="s">
        <v>213</v>
      </c>
      <c r="D149" s="12">
        <v>14.3</v>
      </c>
      <c r="E149" s="12">
        <v>14.3</v>
      </c>
      <c r="F149" s="12">
        <v>11</v>
      </c>
      <c r="G149" s="12"/>
      <c r="H149" s="12"/>
      <c r="I149" s="27"/>
      <c r="J149" s="27"/>
      <c r="K149" s="13">
        <f t="shared" si="5"/>
        <v>39.6</v>
      </c>
    </row>
    <row r="150" s="1" customFormat="1" ht="21" customHeight="1" spans="1:11">
      <c r="A150" s="20"/>
      <c r="B150" s="13"/>
      <c r="C150" s="17" t="s">
        <v>216</v>
      </c>
      <c r="D150" s="12">
        <v>14.3</v>
      </c>
      <c r="E150" s="12">
        <v>14.3</v>
      </c>
      <c r="F150" s="12">
        <v>11</v>
      </c>
      <c r="G150" s="12"/>
      <c r="H150" s="12"/>
      <c r="I150" s="12"/>
      <c r="J150" s="27"/>
      <c r="K150" s="13">
        <f t="shared" si="5"/>
        <v>39.6</v>
      </c>
    </row>
    <row r="151" s="1" customFormat="1" ht="21" customHeight="1" spans="1:11">
      <c r="A151" s="21" t="s">
        <v>239</v>
      </c>
      <c r="B151" s="13"/>
      <c r="C151" s="13" t="s">
        <v>214</v>
      </c>
      <c r="D151" s="12">
        <v>14.3</v>
      </c>
      <c r="E151" s="12">
        <v>14.3</v>
      </c>
      <c r="F151" s="12">
        <v>11</v>
      </c>
      <c r="G151" s="12"/>
      <c r="H151" s="12"/>
      <c r="I151" s="12"/>
      <c r="J151" s="27"/>
      <c r="K151" s="13">
        <f t="shared" si="5"/>
        <v>39.6</v>
      </c>
    </row>
    <row r="152" s="1" customFormat="1" ht="21" customHeight="1" spans="1:11">
      <c r="A152" s="27" t="s">
        <v>217</v>
      </c>
      <c r="B152" s="27">
        <v>10.5</v>
      </c>
      <c r="C152" s="27" t="s">
        <v>218</v>
      </c>
      <c r="D152" s="12">
        <v>16.7</v>
      </c>
      <c r="E152" s="12">
        <v>16.7</v>
      </c>
      <c r="F152" s="12">
        <v>10</v>
      </c>
      <c r="G152" s="12"/>
      <c r="H152" s="12"/>
      <c r="I152" s="27"/>
      <c r="J152" s="27"/>
      <c r="K152" s="13">
        <f t="shared" si="5"/>
        <v>43.4</v>
      </c>
    </row>
    <row r="153" s="1" customFormat="1" ht="21" customHeight="1" spans="1:11">
      <c r="A153" s="27"/>
      <c r="B153" s="27"/>
      <c r="C153" s="27" t="s">
        <v>219</v>
      </c>
      <c r="D153" s="12">
        <v>16.7</v>
      </c>
      <c r="E153" s="12">
        <v>16.7</v>
      </c>
      <c r="F153" s="12">
        <v>10</v>
      </c>
      <c r="G153" s="12"/>
      <c r="H153" s="12"/>
      <c r="I153" s="27"/>
      <c r="J153" s="27"/>
      <c r="K153" s="13">
        <f t="shared" si="5"/>
        <v>43.4</v>
      </c>
    </row>
    <row r="154" s="1" customFormat="1" ht="21" customHeight="1" spans="1:11">
      <c r="A154" s="27" t="s">
        <v>220</v>
      </c>
      <c r="B154" s="27">
        <v>11.5</v>
      </c>
      <c r="C154" s="38" t="s">
        <v>221</v>
      </c>
      <c r="D154" s="12">
        <v>16.7</v>
      </c>
      <c r="E154" s="12">
        <v>16.7</v>
      </c>
      <c r="F154" s="12">
        <v>10</v>
      </c>
      <c r="G154" s="12"/>
      <c r="H154" s="12"/>
      <c r="I154" s="27"/>
      <c r="J154" s="27"/>
      <c r="K154" s="13">
        <f t="shared" si="5"/>
        <v>43.4</v>
      </c>
    </row>
    <row r="155" s="1" customFormat="1" ht="21" customHeight="1" spans="1:11">
      <c r="A155" s="27"/>
      <c r="B155" s="27"/>
      <c r="C155" s="38" t="s">
        <v>222</v>
      </c>
      <c r="D155" s="12">
        <v>16.7</v>
      </c>
      <c r="E155" s="12">
        <v>16.7</v>
      </c>
      <c r="F155" s="12">
        <v>10</v>
      </c>
      <c r="G155" s="12"/>
      <c r="H155" s="12"/>
      <c r="I155" s="27"/>
      <c r="J155" s="27"/>
      <c r="K155" s="13">
        <f t="shared" si="5"/>
        <v>43.4</v>
      </c>
    </row>
    <row r="156" s="1" customFormat="1" ht="21" customHeight="1" spans="1:11">
      <c r="A156" s="27"/>
      <c r="B156" s="27"/>
      <c r="C156" s="38" t="s">
        <v>223</v>
      </c>
      <c r="D156" s="12">
        <v>16.7</v>
      </c>
      <c r="E156" s="12">
        <v>16.7</v>
      </c>
      <c r="F156" s="12">
        <v>5</v>
      </c>
      <c r="G156" s="12"/>
      <c r="H156" s="12"/>
      <c r="I156" s="27"/>
      <c r="J156" s="27"/>
      <c r="K156" s="13">
        <f t="shared" si="5"/>
        <v>38.4</v>
      </c>
    </row>
    <row r="157" s="1" customFormat="1" ht="21" customHeight="1" spans="1:11">
      <c r="A157" s="27"/>
      <c r="B157" s="27"/>
      <c r="C157" s="38" t="s">
        <v>224</v>
      </c>
      <c r="D157" s="12">
        <v>0</v>
      </c>
      <c r="E157" s="12">
        <v>0</v>
      </c>
      <c r="F157" s="12">
        <v>0</v>
      </c>
      <c r="G157" s="12"/>
      <c r="H157" s="12"/>
      <c r="I157" s="27"/>
      <c r="J157" s="27"/>
      <c r="K157" s="13">
        <f t="shared" si="5"/>
        <v>0</v>
      </c>
    </row>
    <row r="158" s="1" customFormat="1" ht="21" customHeight="1" spans="1:11">
      <c r="A158" s="39" t="s">
        <v>225</v>
      </c>
      <c r="B158" s="39">
        <v>10.5</v>
      </c>
      <c r="C158" s="27" t="s">
        <v>226</v>
      </c>
      <c r="D158" s="12">
        <v>16.7</v>
      </c>
      <c r="E158" s="12">
        <v>16.7</v>
      </c>
      <c r="F158" s="12">
        <v>5</v>
      </c>
      <c r="G158" s="12"/>
      <c r="H158" s="12"/>
      <c r="I158" s="27"/>
      <c r="J158" s="27"/>
      <c r="K158" s="13">
        <f t="shared" si="5"/>
        <v>38.4</v>
      </c>
    </row>
    <row r="159" s="1" customFormat="1" ht="21" customHeight="1" spans="1:11">
      <c r="A159" s="39"/>
      <c r="B159" s="39"/>
      <c r="C159" s="27" t="s">
        <v>250</v>
      </c>
      <c r="D159" s="12">
        <v>16.7</v>
      </c>
      <c r="E159" s="12">
        <v>16.7</v>
      </c>
      <c r="F159" s="12">
        <v>5</v>
      </c>
      <c r="G159" s="12"/>
      <c r="H159" s="12"/>
      <c r="I159" s="27"/>
      <c r="J159" s="27"/>
      <c r="K159" s="13">
        <f t="shared" si="5"/>
        <v>38.4</v>
      </c>
    </row>
    <row r="160" s="1" customFormat="1" ht="21" customHeight="1" spans="1:11">
      <c r="A160" s="39"/>
      <c r="B160" s="39"/>
      <c r="C160" s="27" t="s">
        <v>228</v>
      </c>
      <c r="D160" s="12">
        <v>16.7</v>
      </c>
      <c r="E160" s="12">
        <v>16.7</v>
      </c>
      <c r="F160" s="12">
        <v>5</v>
      </c>
      <c r="G160" s="12"/>
      <c r="H160" s="12"/>
      <c r="I160" s="27"/>
      <c r="J160" s="27"/>
      <c r="K160" s="13">
        <f t="shared" si="5"/>
        <v>38.4</v>
      </c>
    </row>
    <row r="161" s="1" customFormat="1" ht="21" customHeight="1" spans="1:11">
      <c r="A161" s="39"/>
      <c r="B161" s="39"/>
      <c r="C161" s="27" t="s">
        <v>227</v>
      </c>
      <c r="D161" s="12">
        <v>0</v>
      </c>
      <c r="E161" s="12">
        <v>0</v>
      </c>
      <c r="F161" s="12">
        <v>0</v>
      </c>
      <c r="G161" s="12"/>
      <c r="H161" s="12"/>
      <c r="I161" s="27"/>
      <c r="J161" s="27"/>
      <c r="K161" s="13">
        <f t="shared" si="5"/>
        <v>0</v>
      </c>
    </row>
    <row r="162" s="1" customFormat="1" ht="21" customHeight="1" spans="1:11">
      <c r="A162" s="39"/>
      <c r="B162" s="39"/>
      <c r="C162" s="27" t="s">
        <v>229</v>
      </c>
      <c r="D162" s="12">
        <v>0</v>
      </c>
      <c r="E162" s="12">
        <v>0</v>
      </c>
      <c r="F162" s="12">
        <v>0</v>
      </c>
      <c r="G162" s="12"/>
      <c r="H162" s="12"/>
      <c r="I162" s="27"/>
      <c r="J162" s="40"/>
      <c r="K162" s="13">
        <f t="shared" si="5"/>
        <v>0</v>
      </c>
    </row>
    <row r="163" s="1" customFormat="1" ht="21" customHeight="1" spans="1:11">
      <c r="A163" s="39"/>
      <c r="B163" s="39"/>
      <c r="C163" s="27" t="s">
        <v>240</v>
      </c>
      <c r="D163" s="12">
        <v>16.7</v>
      </c>
      <c r="E163" s="12">
        <v>16.7</v>
      </c>
      <c r="F163" s="12">
        <v>5</v>
      </c>
      <c r="G163" s="12"/>
      <c r="H163" s="12"/>
      <c r="I163" s="27"/>
      <c r="J163" s="40"/>
      <c r="K163" s="13">
        <f t="shared" si="5"/>
        <v>38.4</v>
      </c>
    </row>
    <row r="164" s="1" customFormat="1" ht="21" customHeight="1" spans="1:11">
      <c r="A164" s="12" t="s">
        <v>230</v>
      </c>
      <c r="B164" s="12">
        <v>10.5</v>
      </c>
      <c r="C164" s="27" t="s">
        <v>231</v>
      </c>
      <c r="D164" s="27">
        <v>10</v>
      </c>
      <c r="E164" s="27">
        <v>10</v>
      </c>
      <c r="F164" s="27">
        <v>10</v>
      </c>
      <c r="G164" s="27"/>
      <c r="H164" s="27"/>
      <c r="I164" s="27"/>
      <c r="J164" s="40"/>
      <c r="K164" s="13">
        <f t="shared" si="5"/>
        <v>30</v>
      </c>
    </row>
    <row r="165" s="1" customFormat="1" ht="21" customHeight="1" spans="1:11">
      <c r="A165" s="27" t="s">
        <v>232</v>
      </c>
      <c r="B165" s="27">
        <v>12</v>
      </c>
      <c r="C165" s="27" t="s">
        <v>233</v>
      </c>
      <c r="D165" s="27">
        <v>12</v>
      </c>
      <c r="E165" s="27">
        <v>12</v>
      </c>
      <c r="F165" s="27">
        <v>12</v>
      </c>
      <c r="G165" s="27"/>
      <c r="H165" s="27"/>
      <c r="I165" s="27"/>
      <c r="J165" s="40"/>
      <c r="K165" s="13">
        <f t="shared" si="5"/>
        <v>36</v>
      </c>
    </row>
    <row r="166" s="1" customFormat="1" ht="21" customHeight="1" spans="1:11">
      <c r="A166" s="38"/>
      <c r="B166" s="41"/>
      <c r="C166" s="41"/>
      <c r="D166" s="41"/>
      <c r="E166" s="41"/>
      <c r="F166" s="30"/>
      <c r="G166" s="41"/>
      <c r="H166" s="41"/>
      <c r="I166" s="41"/>
      <c r="J166" s="41"/>
      <c r="K166" s="31">
        <f>SUM(K143:K165)</f>
        <v>785.4</v>
      </c>
    </row>
    <row r="169" ht="26" customHeight="1" spans="1:11">
      <c r="A169" s="42" t="s">
        <v>392</v>
      </c>
      <c r="B169" s="42"/>
      <c r="C169" s="42"/>
      <c r="D169" s="42"/>
      <c r="E169" s="42"/>
      <c r="F169" s="42"/>
      <c r="G169" s="42"/>
      <c r="H169" s="42"/>
      <c r="I169" s="42"/>
      <c r="J169" s="42"/>
      <c r="K169" s="42"/>
    </row>
    <row r="170" ht="26" customHeight="1" spans="1:11">
      <c r="A170" s="70" t="s">
        <v>257</v>
      </c>
      <c r="B170" s="27"/>
      <c r="C170" s="27"/>
      <c r="D170" s="37" t="s">
        <v>397</v>
      </c>
      <c r="E170" s="36"/>
      <c r="F170" s="36"/>
      <c r="G170" s="36"/>
      <c r="H170" s="36"/>
      <c r="I170" s="36"/>
      <c r="J170" s="36"/>
      <c r="K170" s="36"/>
    </row>
    <row r="171" ht="26" customHeight="1" spans="1:11">
      <c r="A171" s="27" t="s">
        <v>200</v>
      </c>
      <c r="B171" s="27" t="s">
        <v>201</v>
      </c>
      <c r="C171" s="38" t="s">
        <v>202</v>
      </c>
      <c r="D171" s="12" t="s">
        <v>6</v>
      </c>
      <c r="E171" s="12" t="s">
        <v>6</v>
      </c>
      <c r="F171" s="27" t="s">
        <v>6</v>
      </c>
      <c r="G171" s="27" t="s">
        <v>6</v>
      </c>
      <c r="H171" s="27" t="s">
        <v>6</v>
      </c>
      <c r="I171" s="27" t="s">
        <v>6</v>
      </c>
      <c r="J171" s="27" t="s">
        <v>203</v>
      </c>
      <c r="K171" s="27" t="s">
        <v>204</v>
      </c>
    </row>
    <row r="172" ht="26" customHeight="1" spans="1:11">
      <c r="A172" s="27" t="s">
        <v>205</v>
      </c>
      <c r="B172" s="27">
        <v>12</v>
      </c>
      <c r="C172" s="38" t="s">
        <v>206</v>
      </c>
      <c r="D172" s="12">
        <v>12</v>
      </c>
      <c r="E172" s="12">
        <v>12</v>
      </c>
      <c r="F172" s="12">
        <v>20</v>
      </c>
      <c r="G172" s="12"/>
      <c r="H172" s="12"/>
      <c r="I172" s="12"/>
      <c r="J172" s="12"/>
      <c r="K172" s="27">
        <f t="shared" ref="K172:K192" si="6">SUM(D172:J172)</f>
        <v>44</v>
      </c>
    </row>
    <row r="173" ht="26" customHeight="1" spans="1:11">
      <c r="A173" s="21" t="s">
        <v>207</v>
      </c>
      <c r="B173" s="27">
        <v>11.5</v>
      </c>
      <c r="C173" s="38" t="s">
        <v>208</v>
      </c>
      <c r="D173" s="12">
        <v>17.5</v>
      </c>
      <c r="E173" s="12">
        <v>17.5</v>
      </c>
      <c r="F173" s="12">
        <v>30</v>
      </c>
      <c r="G173" s="12"/>
      <c r="H173" s="12"/>
      <c r="I173" s="12"/>
      <c r="J173" s="12"/>
      <c r="K173" s="27">
        <f t="shared" si="6"/>
        <v>65</v>
      </c>
    </row>
    <row r="174" ht="26" customHeight="1" spans="1:11">
      <c r="A174" s="21"/>
      <c r="B174" s="27"/>
      <c r="C174" s="38" t="s">
        <v>210</v>
      </c>
      <c r="D174" s="12">
        <v>17.5</v>
      </c>
      <c r="E174" s="12">
        <v>17.5</v>
      </c>
      <c r="F174" s="12">
        <v>30</v>
      </c>
      <c r="G174" s="12"/>
      <c r="H174" s="12"/>
      <c r="I174" s="12"/>
      <c r="J174" s="12"/>
      <c r="K174" s="27">
        <f t="shared" si="6"/>
        <v>65</v>
      </c>
    </row>
    <row r="175" ht="26" customHeight="1" spans="1:11">
      <c r="A175" s="16" t="s">
        <v>237</v>
      </c>
      <c r="B175" s="13">
        <v>11.5</v>
      </c>
      <c r="C175" s="17" t="s">
        <v>212</v>
      </c>
      <c r="D175" s="27">
        <v>10</v>
      </c>
      <c r="E175" s="27">
        <v>10</v>
      </c>
      <c r="F175" s="12">
        <v>22</v>
      </c>
      <c r="G175" s="27"/>
      <c r="H175" s="27"/>
      <c r="I175" s="27"/>
      <c r="J175" s="12"/>
      <c r="K175" s="27">
        <f t="shared" si="6"/>
        <v>42</v>
      </c>
    </row>
    <row r="176" ht="26" customHeight="1" spans="1:11">
      <c r="A176" s="18"/>
      <c r="B176" s="13"/>
      <c r="C176" s="1" t="s">
        <v>215</v>
      </c>
      <c r="D176" s="27">
        <v>11.5</v>
      </c>
      <c r="E176" s="27">
        <v>11.5</v>
      </c>
      <c r="F176" s="12">
        <v>0</v>
      </c>
      <c r="G176" s="12"/>
      <c r="H176" s="12"/>
      <c r="I176" s="12"/>
      <c r="J176" s="12"/>
      <c r="K176" s="27">
        <f t="shared" si="6"/>
        <v>23</v>
      </c>
    </row>
    <row r="177" ht="26" customHeight="1" spans="1:11">
      <c r="A177" s="19" t="s">
        <v>238</v>
      </c>
      <c r="B177" s="13"/>
      <c r="C177" s="17" t="s">
        <v>213</v>
      </c>
      <c r="D177" s="27">
        <v>10</v>
      </c>
      <c r="E177" s="27">
        <v>10</v>
      </c>
      <c r="F177" s="12">
        <v>22</v>
      </c>
      <c r="G177" s="27"/>
      <c r="H177" s="27"/>
      <c r="I177" s="27"/>
      <c r="J177" s="12"/>
      <c r="K177" s="27">
        <f t="shared" si="6"/>
        <v>42</v>
      </c>
    </row>
    <row r="178" ht="26" customHeight="1" spans="1:11">
      <c r="A178" s="20"/>
      <c r="B178" s="13"/>
      <c r="C178" s="17" t="s">
        <v>216</v>
      </c>
      <c r="D178" s="27">
        <v>10</v>
      </c>
      <c r="E178" s="27">
        <v>10</v>
      </c>
      <c r="F178" s="12">
        <v>0</v>
      </c>
      <c r="G178" s="27"/>
      <c r="H178" s="27"/>
      <c r="I178" s="27"/>
      <c r="J178" s="12"/>
      <c r="K178" s="27">
        <f t="shared" si="6"/>
        <v>20</v>
      </c>
    </row>
    <row r="179" ht="26" customHeight="1" spans="1:11">
      <c r="A179" s="21" t="s">
        <v>239</v>
      </c>
      <c r="B179" s="13"/>
      <c r="C179" s="13" t="s">
        <v>214</v>
      </c>
      <c r="D179" s="27">
        <v>11.5</v>
      </c>
      <c r="E179" s="27">
        <v>11.5</v>
      </c>
      <c r="F179" s="12">
        <v>0</v>
      </c>
      <c r="G179" s="12"/>
      <c r="H179" s="12"/>
      <c r="I179" s="12"/>
      <c r="J179" s="12"/>
      <c r="K179" s="27">
        <f t="shared" si="6"/>
        <v>23</v>
      </c>
    </row>
    <row r="180" ht="26" customHeight="1" spans="1:11">
      <c r="A180" s="27" t="s">
        <v>217</v>
      </c>
      <c r="B180" s="27">
        <v>10.5</v>
      </c>
      <c r="C180" s="27" t="s">
        <v>218</v>
      </c>
      <c r="D180" s="27">
        <v>10</v>
      </c>
      <c r="E180" s="27">
        <v>10</v>
      </c>
      <c r="F180" s="12">
        <v>0</v>
      </c>
      <c r="G180" s="27"/>
      <c r="H180" s="27"/>
      <c r="I180" s="27"/>
      <c r="J180" s="12"/>
      <c r="K180" s="27">
        <f t="shared" si="6"/>
        <v>20</v>
      </c>
    </row>
    <row r="181" ht="26" customHeight="1" spans="1:11">
      <c r="A181" s="27"/>
      <c r="B181" s="27"/>
      <c r="C181" s="27" t="s">
        <v>219</v>
      </c>
      <c r="D181" s="27">
        <v>10</v>
      </c>
      <c r="E181" s="27">
        <v>10</v>
      </c>
      <c r="F181" s="12">
        <v>0</v>
      </c>
      <c r="G181" s="27"/>
      <c r="H181" s="27"/>
      <c r="I181" s="27"/>
      <c r="J181" s="12"/>
      <c r="K181" s="27">
        <f t="shared" si="6"/>
        <v>20</v>
      </c>
    </row>
    <row r="182" ht="26" customHeight="1" spans="1:11">
      <c r="A182" s="27" t="s">
        <v>220</v>
      </c>
      <c r="B182" s="27">
        <v>11.5</v>
      </c>
      <c r="C182" s="38" t="s">
        <v>221</v>
      </c>
      <c r="D182" s="12">
        <v>20</v>
      </c>
      <c r="E182" s="12">
        <v>10</v>
      </c>
      <c r="F182" s="12">
        <v>10</v>
      </c>
      <c r="G182" s="12"/>
      <c r="H182" s="12"/>
      <c r="I182" s="12"/>
      <c r="J182" s="12"/>
      <c r="K182" s="27">
        <f t="shared" si="6"/>
        <v>40</v>
      </c>
    </row>
    <row r="183" ht="26" customHeight="1" spans="1:11">
      <c r="A183" s="27"/>
      <c r="B183" s="27"/>
      <c r="C183" s="38" t="s">
        <v>222</v>
      </c>
      <c r="D183" s="12">
        <v>10</v>
      </c>
      <c r="E183" s="12">
        <v>10</v>
      </c>
      <c r="F183" s="12">
        <v>10</v>
      </c>
      <c r="G183" s="12"/>
      <c r="H183" s="12"/>
      <c r="I183" s="12"/>
      <c r="J183" s="12"/>
      <c r="K183" s="27">
        <f t="shared" si="6"/>
        <v>30</v>
      </c>
    </row>
    <row r="184" ht="26" customHeight="1" spans="1:11">
      <c r="A184" s="27"/>
      <c r="B184" s="27"/>
      <c r="C184" s="38" t="s">
        <v>223</v>
      </c>
      <c r="D184" s="12">
        <v>0</v>
      </c>
      <c r="E184" s="12">
        <v>0</v>
      </c>
      <c r="F184" s="12">
        <v>0</v>
      </c>
      <c r="G184" s="12"/>
      <c r="H184" s="12"/>
      <c r="I184" s="12"/>
      <c r="J184" s="12"/>
      <c r="K184" s="27">
        <f t="shared" si="6"/>
        <v>0</v>
      </c>
    </row>
    <row r="185" ht="26" customHeight="1" spans="1:11">
      <c r="A185" s="27"/>
      <c r="B185" s="27"/>
      <c r="C185" s="38" t="s">
        <v>224</v>
      </c>
      <c r="D185" s="12">
        <v>10</v>
      </c>
      <c r="E185" s="12">
        <v>10</v>
      </c>
      <c r="F185" s="12">
        <v>0</v>
      </c>
      <c r="G185" s="12"/>
      <c r="H185" s="12"/>
      <c r="I185" s="12"/>
      <c r="J185" s="12"/>
      <c r="K185" s="27">
        <f t="shared" si="6"/>
        <v>20</v>
      </c>
    </row>
    <row r="186" ht="26" customHeight="1" spans="1:11">
      <c r="A186" s="39" t="s">
        <v>225</v>
      </c>
      <c r="B186" s="39">
        <v>10.5</v>
      </c>
      <c r="C186" s="27" t="s">
        <v>226</v>
      </c>
      <c r="D186" s="12">
        <v>12</v>
      </c>
      <c r="E186" s="12">
        <v>12</v>
      </c>
      <c r="F186" s="12">
        <v>20</v>
      </c>
      <c r="G186" s="12"/>
      <c r="H186" s="12"/>
      <c r="I186" s="12"/>
      <c r="J186" s="12"/>
      <c r="K186" s="27">
        <f t="shared" si="6"/>
        <v>44</v>
      </c>
    </row>
    <row r="187" ht="26" customHeight="1" spans="1:11">
      <c r="A187" s="39"/>
      <c r="B187" s="39"/>
      <c r="C187" s="27" t="s">
        <v>228</v>
      </c>
      <c r="D187" s="12">
        <v>10</v>
      </c>
      <c r="E187" s="12">
        <v>10</v>
      </c>
      <c r="F187" s="12">
        <v>0</v>
      </c>
      <c r="G187" s="12"/>
      <c r="H187" s="12"/>
      <c r="I187" s="12"/>
      <c r="J187" s="12"/>
      <c r="K187" s="27">
        <f t="shared" si="6"/>
        <v>20</v>
      </c>
    </row>
    <row r="188" ht="26" customHeight="1" spans="1:11">
      <c r="A188" s="39"/>
      <c r="B188" s="39"/>
      <c r="C188" s="27" t="s">
        <v>289</v>
      </c>
      <c r="D188" s="12">
        <v>5</v>
      </c>
      <c r="E188" s="12">
        <v>5</v>
      </c>
      <c r="F188" s="12">
        <v>0</v>
      </c>
      <c r="G188" s="12"/>
      <c r="H188" s="12"/>
      <c r="I188" s="12"/>
      <c r="J188" s="12"/>
      <c r="K188" s="27">
        <f t="shared" si="6"/>
        <v>10</v>
      </c>
    </row>
    <row r="189" ht="26" customHeight="1" spans="1:11">
      <c r="A189" s="39"/>
      <c r="B189" s="39"/>
      <c r="C189" s="27" t="s">
        <v>229</v>
      </c>
      <c r="D189" s="12">
        <v>6</v>
      </c>
      <c r="E189" s="12">
        <v>6</v>
      </c>
      <c r="F189" s="12">
        <v>10</v>
      </c>
      <c r="G189" s="12"/>
      <c r="H189" s="12"/>
      <c r="I189" s="12"/>
      <c r="J189" s="12"/>
      <c r="K189" s="27">
        <f t="shared" si="6"/>
        <v>22</v>
      </c>
    </row>
    <row r="190" ht="26" customHeight="1" spans="1:11">
      <c r="A190" s="39"/>
      <c r="B190" s="39"/>
      <c r="C190" s="27" t="s">
        <v>240</v>
      </c>
      <c r="D190" s="12">
        <v>6</v>
      </c>
      <c r="E190" s="12">
        <v>6</v>
      </c>
      <c r="F190" s="12">
        <v>10</v>
      </c>
      <c r="G190" s="12"/>
      <c r="H190" s="12"/>
      <c r="I190" s="12"/>
      <c r="J190" s="12"/>
      <c r="K190" s="27">
        <f t="shared" si="6"/>
        <v>22</v>
      </c>
    </row>
    <row r="191" ht="26" customHeight="1" spans="1:11">
      <c r="A191" s="12" t="s">
        <v>230</v>
      </c>
      <c r="B191" s="12">
        <v>10.5</v>
      </c>
      <c r="C191" s="27" t="s">
        <v>231</v>
      </c>
      <c r="D191" s="27">
        <v>10.5</v>
      </c>
      <c r="E191" s="27">
        <v>10.5</v>
      </c>
      <c r="F191" s="27">
        <v>20</v>
      </c>
      <c r="G191" s="12"/>
      <c r="H191" s="12"/>
      <c r="I191" s="12"/>
      <c r="J191" s="27"/>
      <c r="K191" s="27">
        <f t="shared" si="6"/>
        <v>41</v>
      </c>
    </row>
    <row r="192" ht="26" customHeight="1" spans="1:11">
      <c r="A192" s="27" t="s">
        <v>232</v>
      </c>
      <c r="B192" s="27">
        <v>12</v>
      </c>
      <c r="C192" s="27" t="s">
        <v>233</v>
      </c>
      <c r="D192" s="27">
        <v>12</v>
      </c>
      <c r="E192" s="27">
        <v>12</v>
      </c>
      <c r="F192" s="27">
        <v>20</v>
      </c>
      <c r="G192" s="27"/>
      <c r="H192" s="27"/>
      <c r="I192" s="27"/>
      <c r="J192" s="27"/>
      <c r="K192" s="27">
        <f t="shared" si="6"/>
        <v>44</v>
      </c>
    </row>
    <row r="193" ht="26" customHeight="1" spans="1:11">
      <c r="A193" s="38"/>
      <c r="B193" s="41"/>
      <c r="C193" s="41"/>
      <c r="D193" s="41"/>
      <c r="E193" s="41"/>
      <c r="F193" s="41"/>
      <c r="G193" s="41"/>
      <c r="H193" s="41"/>
      <c r="I193" s="41"/>
      <c r="J193" s="40"/>
      <c r="K193" s="27">
        <f>SUM(K172:K192)</f>
        <v>657</v>
      </c>
    </row>
    <row r="196" s="2" customFormat="1" ht="21.75" customHeight="1" spans="1:11">
      <c r="A196" s="42" t="s">
        <v>392</v>
      </c>
      <c r="B196" s="42"/>
      <c r="C196" s="42"/>
      <c r="D196" s="42"/>
      <c r="E196" s="42"/>
      <c r="F196" s="42"/>
      <c r="G196" s="42"/>
      <c r="H196" s="42"/>
      <c r="I196" s="42"/>
      <c r="J196" s="42"/>
      <c r="K196" s="42"/>
    </row>
    <row r="197" s="2" customFormat="1" ht="21.75" customHeight="1" spans="1:11">
      <c r="A197" s="35" t="s">
        <v>267</v>
      </c>
      <c r="B197" s="36"/>
      <c r="C197" s="36"/>
      <c r="D197" s="37" t="s">
        <v>398</v>
      </c>
      <c r="E197" s="36"/>
      <c r="F197" s="36"/>
      <c r="G197" s="36"/>
      <c r="H197" s="36"/>
      <c r="I197" s="36"/>
      <c r="J197" s="36"/>
      <c r="K197" s="36"/>
    </row>
    <row r="198" s="2" customFormat="1" ht="21.75" customHeight="1" spans="1:11">
      <c r="A198" s="27" t="s">
        <v>200</v>
      </c>
      <c r="B198" s="27" t="s">
        <v>201</v>
      </c>
      <c r="C198" s="38" t="s">
        <v>202</v>
      </c>
      <c r="D198" s="12" t="s">
        <v>6</v>
      </c>
      <c r="E198" s="12" t="s">
        <v>6</v>
      </c>
      <c r="F198" s="27" t="s">
        <v>6</v>
      </c>
      <c r="G198" s="27" t="s">
        <v>6</v>
      </c>
      <c r="H198" s="27" t="s">
        <v>6</v>
      </c>
      <c r="I198" s="27" t="s">
        <v>6</v>
      </c>
      <c r="J198" s="27" t="s">
        <v>203</v>
      </c>
      <c r="K198" s="27" t="s">
        <v>204</v>
      </c>
    </row>
    <row r="199" s="2" customFormat="1" ht="21.75" customHeight="1" spans="1:11">
      <c r="A199" s="27" t="s">
        <v>205</v>
      </c>
      <c r="B199" s="27">
        <v>12</v>
      </c>
      <c r="C199" s="38" t="s">
        <v>206</v>
      </c>
      <c r="D199" s="12">
        <v>12</v>
      </c>
      <c r="E199" s="12">
        <v>10</v>
      </c>
      <c r="F199" s="11"/>
      <c r="G199" s="11"/>
      <c r="H199" s="12"/>
      <c r="I199" s="27"/>
      <c r="J199" s="27"/>
      <c r="K199" s="27">
        <f>SUM(D199:J199)</f>
        <v>22</v>
      </c>
    </row>
    <row r="200" s="2" customFormat="1" ht="21.75" customHeight="1" spans="1:11">
      <c r="A200" s="43" t="s">
        <v>207</v>
      </c>
      <c r="B200" s="12">
        <v>11.5</v>
      </c>
      <c r="C200" s="38" t="s">
        <v>208</v>
      </c>
      <c r="D200" s="12">
        <v>17.5</v>
      </c>
      <c r="E200" s="12">
        <v>15</v>
      </c>
      <c r="F200" s="11"/>
      <c r="G200" s="11"/>
      <c r="H200" s="12"/>
      <c r="I200" s="27"/>
      <c r="J200" s="27"/>
      <c r="K200" s="27">
        <f>SUM(D200:J200)</f>
        <v>32.5</v>
      </c>
    </row>
    <row r="201" s="2" customFormat="1" ht="21.75" customHeight="1" spans="1:11">
      <c r="A201" s="44"/>
      <c r="B201" s="39"/>
      <c r="C201" s="38" t="s">
        <v>210</v>
      </c>
      <c r="D201" s="12">
        <v>17.5</v>
      </c>
      <c r="E201" s="12">
        <v>15</v>
      </c>
      <c r="F201" s="11"/>
      <c r="G201" s="11"/>
      <c r="H201" s="12"/>
      <c r="I201" s="27"/>
      <c r="J201" s="27"/>
      <c r="K201" s="27">
        <f t="shared" ref="K201:K219" si="7">SUM(D201:J201)</f>
        <v>32.5</v>
      </c>
    </row>
    <row r="202" s="2" customFormat="1" ht="21.75" customHeight="1" spans="1:11">
      <c r="A202" s="43" t="s">
        <v>211</v>
      </c>
      <c r="B202" s="12">
        <v>11.5</v>
      </c>
      <c r="C202" s="38" t="s">
        <v>212</v>
      </c>
      <c r="D202" s="27">
        <v>0</v>
      </c>
      <c r="E202" s="27">
        <v>0</v>
      </c>
      <c r="F202" s="11"/>
      <c r="G202" s="11"/>
      <c r="H202" s="12"/>
      <c r="I202" s="27"/>
      <c r="J202" s="27"/>
      <c r="K202" s="27">
        <f t="shared" si="7"/>
        <v>0</v>
      </c>
    </row>
    <row r="203" s="2" customFormat="1" ht="21.75" customHeight="1" spans="1:11">
      <c r="A203" s="44"/>
      <c r="B203" s="39"/>
      <c r="C203" s="38" t="s">
        <v>213</v>
      </c>
      <c r="D203" s="12">
        <v>11.5</v>
      </c>
      <c r="E203" s="12">
        <v>10</v>
      </c>
      <c r="F203" s="11"/>
      <c r="G203" s="11"/>
      <c r="H203" s="12"/>
      <c r="I203" s="27"/>
      <c r="J203" s="27"/>
      <c r="K203" s="27">
        <f t="shared" si="7"/>
        <v>21.5</v>
      </c>
    </row>
    <row r="204" s="2" customFormat="1" ht="21.75" customHeight="1" spans="1:11">
      <c r="A204" s="44"/>
      <c r="B204" s="39"/>
      <c r="C204" s="27" t="s">
        <v>214</v>
      </c>
      <c r="D204" s="27">
        <v>0</v>
      </c>
      <c r="E204" s="27">
        <v>0</v>
      </c>
      <c r="F204" s="11"/>
      <c r="G204" s="11"/>
      <c r="H204" s="12"/>
      <c r="I204" s="27"/>
      <c r="J204" s="27"/>
      <c r="K204" s="27">
        <f t="shared" si="7"/>
        <v>0</v>
      </c>
    </row>
    <row r="205" s="2" customFormat="1" ht="21.75" customHeight="1" spans="1:11">
      <c r="A205" s="44"/>
      <c r="B205" s="39"/>
      <c r="C205" s="38" t="s">
        <v>216</v>
      </c>
      <c r="D205" s="27">
        <v>0</v>
      </c>
      <c r="E205" s="27">
        <v>0</v>
      </c>
      <c r="F205" s="11"/>
      <c r="G205" s="11"/>
      <c r="H205" s="12"/>
      <c r="I205" s="12"/>
      <c r="J205" s="27"/>
      <c r="K205" s="27">
        <f t="shared" si="7"/>
        <v>0</v>
      </c>
    </row>
    <row r="206" s="2" customFormat="1" ht="21.75" customHeight="1" spans="1:11">
      <c r="A206" s="45"/>
      <c r="B206" s="46"/>
      <c r="C206" s="38" t="s">
        <v>215</v>
      </c>
      <c r="D206" s="12">
        <v>11.5</v>
      </c>
      <c r="E206" s="12">
        <v>10</v>
      </c>
      <c r="F206" s="11"/>
      <c r="G206" s="11"/>
      <c r="H206" s="12"/>
      <c r="I206" s="12"/>
      <c r="J206" s="27"/>
      <c r="K206" s="27">
        <f t="shared" si="7"/>
        <v>21.5</v>
      </c>
    </row>
    <row r="207" s="2" customFormat="1" ht="21.75" customHeight="1" spans="1:11">
      <c r="A207" s="27" t="s">
        <v>217</v>
      </c>
      <c r="B207" s="27">
        <v>10.5</v>
      </c>
      <c r="C207" s="27" t="s">
        <v>218</v>
      </c>
      <c r="D207" s="12">
        <v>10.5</v>
      </c>
      <c r="E207" s="12">
        <v>5</v>
      </c>
      <c r="F207" s="22"/>
      <c r="G207" s="22"/>
      <c r="H207" s="12"/>
      <c r="I207" s="27"/>
      <c r="J207" s="27"/>
      <c r="K207" s="27">
        <f t="shared" si="7"/>
        <v>15.5</v>
      </c>
    </row>
    <row r="208" s="2" customFormat="1" ht="21.75" customHeight="1" spans="1:11">
      <c r="A208" s="27"/>
      <c r="B208" s="27"/>
      <c r="C208" s="27" t="s">
        <v>219</v>
      </c>
      <c r="D208" s="27">
        <v>10.5</v>
      </c>
      <c r="E208" s="27">
        <v>5</v>
      </c>
      <c r="F208" s="11"/>
      <c r="G208" s="11"/>
      <c r="H208" s="12"/>
      <c r="I208" s="27"/>
      <c r="J208" s="27"/>
      <c r="K208" s="27">
        <f t="shared" si="7"/>
        <v>15.5</v>
      </c>
    </row>
    <row r="209" s="2" customFormat="1" ht="21.75" customHeight="1" spans="1:11">
      <c r="A209" s="27" t="s">
        <v>220</v>
      </c>
      <c r="B209" s="27">
        <v>11.5</v>
      </c>
      <c r="C209" s="38" t="s">
        <v>221</v>
      </c>
      <c r="D209" s="27">
        <v>0</v>
      </c>
      <c r="E209" s="27">
        <v>0</v>
      </c>
      <c r="F209" s="11"/>
      <c r="G209" s="11"/>
      <c r="H209" s="12"/>
      <c r="I209" s="27"/>
      <c r="J209" s="27"/>
      <c r="K209" s="27">
        <f t="shared" si="7"/>
        <v>0</v>
      </c>
    </row>
    <row r="210" s="2" customFormat="1" ht="21.75" customHeight="1" spans="1:11">
      <c r="A210" s="27"/>
      <c r="B210" s="27"/>
      <c r="C210" s="38" t="s">
        <v>222</v>
      </c>
      <c r="D210" s="12">
        <v>0</v>
      </c>
      <c r="E210" s="12">
        <v>0</v>
      </c>
      <c r="F210" s="11"/>
      <c r="G210" s="11"/>
      <c r="H210" s="12"/>
      <c r="I210" s="27"/>
      <c r="J210" s="27"/>
      <c r="K210" s="27">
        <f t="shared" si="7"/>
        <v>0</v>
      </c>
    </row>
    <row r="211" s="2" customFormat="1" ht="21.75" customHeight="1" spans="1:11">
      <c r="A211" s="27"/>
      <c r="B211" s="27"/>
      <c r="C211" s="38" t="s">
        <v>223</v>
      </c>
      <c r="D211" s="12">
        <v>10.5</v>
      </c>
      <c r="E211" s="12">
        <v>5</v>
      </c>
      <c r="F211" s="23"/>
      <c r="G211" s="23"/>
      <c r="H211" s="12"/>
      <c r="I211" s="27"/>
      <c r="J211" s="27"/>
      <c r="K211" s="27">
        <f t="shared" si="7"/>
        <v>15.5</v>
      </c>
    </row>
    <row r="212" s="2" customFormat="1" ht="21.75" customHeight="1" spans="1:11">
      <c r="A212" s="27"/>
      <c r="B212" s="27"/>
      <c r="C212" s="38" t="s">
        <v>224</v>
      </c>
      <c r="D212" s="27">
        <v>0</v>
      </c>
      <c r="E212" s="27">
        <v>0</v>
      </c>
      <c r="F212" s="24"/>
      <c r="G212" s="24"/>
      <c r="H212" s="12"/>
      <c r="I212" s="27"/>
      <c r="J212" s="27"/>
      <c r="K212" s="27">
        <f t="shared" si="7"/>
        <v>0</v>
      </c>
    </row>
    <row r="213" s="2" customFormat="1" ht="21.75" customHeight="1" spans="1:11">
      <c r="A213" s="39" t="s">
        <v>225</v>
      </c>
      <c r="B213" s="39">
        <v>10.5</v>
      </c>
      <c r="C213" s="27" t="s">
        <v>226</v>
      </c>
      <c r="D213" s="12">
        <v>10.5</v>
      </c>
      <c r="E213" s="12">
        <v>5</v>
      </c>
      <c r="F213" s="11"/>
      <c r="G213" s="11"/>
      <c r="H213" s="12"/>
      <c r="I213" s="27"/>
      <c r="J213" s="27"/>
      <c r="K213" s="27">
        <f t="shared" si="7"/>
        <v>15.5</v>
      </c>
    </row>
    <row r="214" s="2" customFormat="1" ht="21.75" customHeight="1" spans="1:11">
      <c r="A214" s="39"/>
      <c r="B214" s="39"/>
      <c r="C214" s="27" t="s">
        <v>228</v>
      </c>
      <c r="D214" s="12">
        <v>10.5</v>
      </c>
      <c r="E214" s="12">
        <v>5</v>
      </c>
      <c r="F214" s="11"/>
      <c r="G214" s="11"/>
      <c r="H214" s="12"/>
      <c r="I214" s="27"/>
      <c r="J214" s="27"/>
      <c r="K214" s="27">
        <f t="shared" si="7"/>
        <v>15.5</v>
      </c>
    </row>
    <row r="215" s="2" customFormat="1" ht="21.75" customHeight="1" spans="1:11">
      <c r="A215" s="39"/>
      <c r="B215" s="39"/>
      <c r="C215" s="27" t="s">
        <v>227</v>
      </c>
      <c r="D215" s="12">
        <v>10.5</v>
      </c>
      <c r="E215" s="12">
        <v>5</v>
      </c>
      <c r="F215" s="11"/>
      <c r="G215" s="11"/>
      <c r="H215" s="12"/>
      <c r="I215" s="27"/>
      <c r="J215" s="27"/>
      <c r="K215" s="27">
        <f t="shared" si="7"/>
        <v>15.5</v>
      </c>
    </row>
    <row r="216" s="2" customFormat="1" ht="21.75" customHeight="1" spans="1:11">
      <c r="A216" s="39"/>
      <c r="B216" s="39"/>
      <c r="C216" s="27" t="s">
        <v>229</v>
      </c>
      <c r="D216" s="27">
        <v>0</v>
      </c>
      <c r="E216" s="27">
        <v>0</v>
      </c>
      <c r="F216" s="11"/>
      <c r="G216" s="11"/>
      <c r="H216" s="12"/>
      <c r="I216" s="27"/>
      <c r="J216" s="40"/>
      <c r="K216" s="27">
        <f t="shared" si="7"/>
        <v>0</v>
      </c>
    </row>
    <row r="217" s="2" customFormat="1" ht="21.75" customHeight="1" spans="1:11">
      <c r="A217" s="39"/>
      <c r="B217" s="39"/>
      <c r="C217" s="27" t="s">
        <v>240</v>
      </c>
      <c r="D217" s="27">
        <v>0</v>
      </c>
      <c r="E217" s="27">
        <v>0</v>
      </c>
      <c r="F217" s="11"/>
      <c r="G217" s="11"/>
      <c r="H217" s="12"/>
      <c r="I217" s="27"/>
      <c r="J217" s="40"/>
      <c r="K217" s="27">
        <f t="shared" si="7"/>
        <v>0</v>
      </c>
    </row>
    <row r="218" s="2" customFormat="1" ht="21.75" customHeight="1" spans="1:11">
      <c r="A218" s="12" t="s">
        <v>230</v>
      </c>
      <c r="B218" s="12">
        <v>10.5</v>
      </c>
      <c r="C218" s="27" t="s">
        <v>231</v>
      </c>
      <c r="D218" s="27">
        <v>10</v>
      </c>
      <c r="E218" s="27">
        <v>10</v>
      </c>
      <c r="F218" s="11"/>
      <c r="G218" s="11"/>
      <c r="H218" s="27"/>
      <c r="I218" s="27"/>
      <c r="J218" s="40"/>
      <c r="K218" s="27">
        <f t="shared" si="7"/>
        <v>20</v>
      </c>
    </row>
    <row r="219" s="2" customFormat="1" ht="21.75" customHeight="1" spans="1:11">
      <c r="A219" s="12" t="s">
        <v>232</v>
      </c>
      <c r="B219" s="12">
        <v>12</v>
      </c>
      <c r="C219" s="12" t="s">
        <v>233</v>
      </c>
      <c r="D219" s="12">
        <v>12</v>
      </c>
      <c r="E219" s="12">
        <v>12</v>
      </c>
      <c r="F219" s="89"/>
      <c r="G219" s="89"/>
      <c r="H219" s="12"/>
      <c r="I219" s="12"/>
      <c r="J219" s="90"/>
      <c r="K219" s="12">
        <f t="shared" si="7"/>
        <v>24</v>
      </c>
    </row>
    <row r="220" s="2" customFormat="1" ht="21.75" customHeight="1" spans="1:11">
      <c r="A220" s="38"/>
      <c r="B220" s="41"/>
      <c r="C220" s="41"/>
      <c r="D220" s="41"/>
      <c r="E220" s="41"/>
      <c r="F220" s="41"/>
      <c r="G220" s="41"/>
      <c r="H220" s="41"/>
      <c r="I220" s="41"/>
      <c r="J220" s="41"/>
      <c r="K220" s="27">
        <f>SUM(K199:K219)</f>
        <v>267</v>
      </c>
    </row>
    <row r="223" s="2" customFormat="1" ht="21.75" customHeight="1" spans="1:11">
      <c r="A223" s="88" t="s">
        <v>392</v>
      </c>
      <c r="B223" s="88"/>
      <c r="C223" s="88"/>
      <c r="D223" s="88"/>
      <c r="E223" s="88"/>
      <c r="F223" s="88"/>
      <c r="G223" s="88"/>
      <c r="H223" s="88"/>
      <c r="I223" s="88"/>
      <c r="J223" s="88"/>
      <c r="K223" s="88"/>
    </row>
    <row r="224" s="169" customFormat="1" ht="22.5" customHeight="1" spans="1:11">
      <c r="A224" s="183" t="s">
        <v>322</v>
      </c>
      <c r="B224" s="172"/>
      <c r="C224" s="172"/>
      <c r="D224" s="171" t="s">
        <v>399</v>
      </c>
      <c r="E224" s="172"/>
      <c r="F224" s="172"/>
      <c r="G224" s="172"/>
      <c r="H224" s="172"/>
      <c r="I224" s="172"/>
      <c r="J224" s="172"/>
      <c r="K224" s="172"/>
    </row>
    <row r="225" s="169" customFormat="1" ht="22.5" customHeight="1" spans="1:11">
      <c r="A225" s="172" t="s">
        <v>324</v>
      </c>
      <c r="B225" s="172" t="s">
        <v>201</v>
      </c>
      <c r="C225" s="173" t="s">
        <v>325</v>
      </c>
      <c r="D225" s="174" t="s">
        <v>6</v>
      </c>
      <c r="E225" s="174" t="s">
        <v>6</v>
      </c>
      <c r="F225" s="172" t="s">
        <v>6</v>
      </c>
      <c r="G225" s="174" t="s">
        <v>6</v>
      </c>
      <c r="H225" s="174" t="s">
        <v>6</v>
      </c>
      <c r="I225" s="172" t="s">
        <v>6</v>
      </c>
      <c r="J225" s="172" t="s">
        <v>326</v>
      </c>
      <c r="K225" s="172" t="s">
        <v>327</v>
      </c>
    </row>
    <row r="226" s="169" customFormat="1" ht="22.5" customHeight="1" spans="1:11">
      <c r="A226" s="27" t="s">
        <v>205</v>
      </c>
      <c r="B226" s="27">
        <v>12</v>
      </c>
      <c r="C226" s="12" t="s">
        <v>328</v>
      </c>
      <c r="D226" s="12">
        <v>12</v>
      </c>
      <c r="E226" s="12">
        <v>10</v>
      </c>
      <c r="F226" s="12"/>
      <c r="G226" s="12"/>
      <c r="H226" s="12"/>
      <c r="I226" s="12"/>
      <c r="J226" s="12"/>
      <c r="K226" s="12">
        <f t="shared" ref="K226:K228" si="8">SUM(D226:J226)</f>
        <v>22</v>
      </c>
    </row>
    <row r="227" s="169" customFormat="1" ht="22.5" customHeight="1" spans="1:11">
      <c r="A227" s="43" t="s">
        <v>207</v>
      </c>
      <c r="B227" s="12">
        <v>11.5</v>
      </c>
      <c r="C227" s="12" t="s">
        <v>329</v>
      </c>
      <c r="D227" s="12">
        <v>17</v>
      </c>
      <c r="E227" s="12">
        <v>15</v>
      </c>
      <c r="F227" s="12"/>
      <c r="G227" s="12"/>
      <c r="H227" s="12"/>
      <c r="I227" s="12"/>
      <c r="J227" s="12"/>
      <c r="K227" s="12">
        <f t="shared" si="8"/>
        <v>32</v>
      </c>
    </row>
    <row r="228" s="169" customFormat="1" ht="22.5" customHeight="1" spans="1:11">
      <c r="A228" s="44"/>
      <c r="B228" s="39"/>
      <c r="C228" s="12" t="s">
        <v>210</v>
      </c>
      <c r="D228" s="12">
        <v>17</v>
      </c>
      <c r="E228" s="12">
        <v>15</v>
      </c>
      <c r="F228" s="12"/>
      <c r="G228" s="12"/>
      <c r="H228" s="12"/>
      <c r="I228" s="12"/>
      <c r="J228" s="12"/>
      <c r="K228" s="12">
        <f t="shared" si="8"/>
        <v>32</v>
      </c>
    </row>
    <row r="229" s="169" customFormat="1" ht="22.5" customHeight="1" spans="1:11">
      <c r="A229" s="43" t="s">
        <v>211</v>
      </c>
      <c r="B229" s="12">
        <v>11.5</v>
      </c>
      <c r="C229" s="12" t="s">
        <v>330</v>
      </c>
      <c r="D229" s="12">
        <v>11.5</v>
      </c>
      <c r="E229" s="12">
        <v>11</v>
      </c>
      <c r="F229" s="12"/>
      <c r="G229" s="12"/>
      <c r="H229" s="12"/>
      <c r="I229" s="12"/>
      <c r="J229" s="12"/>
      <c r="K229" s="12">
        <f>SUM(E229:J229)</f>
        <v>11</v>
      </c>
    </row>
    <row r="230" s="169" customFormat="1" ht="22.5" customHeight="1" spans="1:11">
      <c r="A230" s="44"/>
      <c r="B230" s="39"/>
      <c r="C230" s="12" t="s">
        <v>213</v>
      </c>
      <c r="D230" s="12">
        <v>0</v>
      </c>
      <c r="E230" s="12">
        <v>0</v>
      </c>
      <c r="F230" s="12"/>
      <c r="G230" s="12"/>
      <c r="H230" s="12"/>
      <c r="I230" s="12"/>
      <c r="J230" s="12"/>
      <c r="K230" s="12">
        <f>SUM(E230:J230)</f>
        <v>0</v>
      </c>
    </row>
    <row r="231" s="169" customFormat="1" ht="22.5" customHeight="1" spans="1:11">
      <c r="A231" s="44"/>
      <c r="B231" s="39"/>
      <c r="C231" s="12" t="s">
        <v>214</v>
      </c>
      <c r="D231" s="12">
        <v>11.5</v>
      </c>
      <c r="E231" s="12">
        <v>11</v>
      </c>
      <c r="F231" s="12"/>
      <c r="G231" s="12"/>
      <c r="H231" s="12"/>
      <c r="I231" s="12"/>
      <c r="J231" s="12"/>
      <c r="K231" s="12">
        <f t="shared" ref="K231:K245" si="9">SUM(D231:J231)</f>
        <v>22.5</v>
      </c>
    </row>
    <row r="232" s="169" customFormat="1" ht="22.5" customHeight="1" spans="1:11">
      <c r="A232" s="44"/>
      <c r="B232" s="39"/>
      <c r="C232" s="12" t="s">
        <v>331</v>
      </c>
      <c r="D232" s="12">
        <v>0</v>
      </c>
      <c r="E232" s="12">
        <v>0</v>
      </c>
      <c r="F232" s="12"/>
      <c r="G232" s="12"/>
      <c r="H232" s="12"/>
      <c r="I232" s="12"/>
      <c r="J232" s="12"/>
      <c r="K232" s="12">
        <f t="shared" si="9"/>
        <v>0</v>
      </c>
    </row>
    <row r="233" s="169" customFormat="1" ht="22.5" customHeight="1" spans="1:11">
      <c r="A233" s="45"/>
      <c r="B233" s="46"/>
      <c r="C233" s="12" t="s">
        <v>215</v>
      </c>
      <c r="D233" s="12">
        <v>0</v>
      </c>
      <c r="E233" s="12">
        <v>0</v>
      </c>
      <c r="F233" s="12"/>
      <c r="G233" s="12"/>
      <c r="H233" s="12"/>
      <c r="I233" s="12"/>
      <c r="J233" s="12"/>
      <c r="K233" s="12">
        <f t="shared" si="9"/>
        <v>0</v>
      </c>
    </row>
    <row r="234" s="169" customFormat="1" ht="22.5" customHeight="1" spans="1:11">
      <c r="A234" s="27" t="s">
        <v>217</v>
      </c>
      <c r="B234" s="27">
        <v>10.5</v>
      </c>
      <c r="C234" s="12" t="s">
        <v>332</v>
      </c>
      <c r="D234" s="12">
        <v>0</v>
      </c>
      <c r="E234" s="12">
        <v>0</v>
      </c>
      <c r="F234" s="12"/>
      <c r="G234" s="12"/>
      <c r="H234" s="12"/>
      <c r="I234" s="12"/>
      <c r="J234" s="12"/>
      <c r="K234" s="12">
        <f t="shared" si="9"/>
        <v>0</v>
      </c>
    </row>
    <row r="235" s="169" customFormat="1" ht="22.5" customHeight="1" spans="1:11">
      <c r="A235" s="27"/>
      <c r="B235" s="27"/>
      <c r="C235" s="12" t="s">
        <v>333</v>
      </c>
      <c r="D235" s="12">
        <v>0</v>
      </c>
      <c r="E235" s="12">
        <v>20</v>
      </c>
      <c r="F235" s="12"/>
      <c r="G235" s="12"/>
      <c r="H235" s="12"/>
      <c r="I235" s="12"/>
      <c r="J235" s="12"/>
      <c r="K235" s="12">
        <f t="shared" si="9"/>
        <v>20</v>
      </c>
    </row>
    <row r="236" s="169" customFormat="1" ht="22.5" customHeight="1" spans="1:11">
      <c r="A236" s="27" t="s">
        <v>220</v>
      </c>
      <c r="B236" s="27">
        <v>11.5</v>
      </c>
      <c r="C236" s="12" t="s">
        <v>334</v>
      </c>
      <c r="D236" s="12">
        <v>50</v>
      </c>
      <c r="E236" s="12">
        <v>10</v>
      </c>
      <c r="F236" s="12"/>
      <c r="G236" s="12"/>
      <c r="H236" s="12"/>
      <c r="I236" s="12"/>
      <c r="J236" s="12"/>
      <c r="K236" s="12">
        <f t="shared" si="9"/>
        <v>60</v>
      </c>
    </row>
    <row r="237" s="169" customFormat="1" ht="22.5" customHeight="1" spans="1:11">
      <c r="A237" s="27"/>
      <c r="B237" s="27"/>
      <c r="C237" s="12" t="s">
        <v>222</v>
      </c>
      <c r="D237" s="12">
        <v>20</v>
      </c>
      <c r="E237" s="12">
        <v>20</v>
      </c>
      <c r="F237" s="12"/>
      <c r="G237" s="12"/>
      <c r="H237" s="12"/>
      <c r="I237" s="12"/>
      <c r="J237" s="12"/>
      <c r="K237" s="12">
        <f t="shared" si="9"/>
        <v>40</v>
      </c>
    </row>
    <row r="238" s="169" customFormat="1" ht="22.5" customHeight="1" spans="1:11">
      <c r="A238" s="27"/>
      <c r="B238" s="27"/>
      <c r="C238" s="12" t="s">
        <v>335</v>
      </c>
      <c r="D238" s="12">
        <v>50</v>
      </c>
      <c r="E238" s="12">
        <v>20</v>
      </c>
      <c r="F238" s="12"/>
      <c r="G238" s="12"/>
      <c r="H238" s="12"/>
      <c r="I238" s="12"/>
      <c r="J238" s="12"/>
      <c r="K238" s="12">
        <f t="shared" si="9"/>
        <v>70</v>
      </c>
    </row>
    <row r="239" s="169" customFormat="1" ht="22.5" customHeight="1" spans="1:11">
      <c r="A239" s="27"/>
      <c r="B239" s="27"/>
      <c r="C239" s="12" t="s">
        <v>224</v>
      </c>
      <c r="D239" s="12">
        <v>60</v>
      </c>
      <c r="E239" s="12">
        <v>30</v>
      </c>
      <c r="F239" s="12"/>
      <c r="G239" s="12"/>
      <c r="H239" s="12"/>
      <c r="I239" s="12"/>
      <c r="J239" s="12"/>
      <c r="K239" s="12">
        <f t="shared" si="9"/>
        <v>90</v>
      </c>
    </row>
    <row r="240" s="169" customFormat="1" ht="22.5" customHeight="1" spans="1:11">
      <c r="A240" s="39" t="s">
        <v>225</v>
      </c>
      <c r="B240" s="39">
        <v>10.5</v>
      </c>
      <c r="C240" s="12" t="s">
        <v>226</v>
      </c>
      <c r="D240" s="12">
        <v>25</v>
      </c>
      <c r="E240" s="12">
        <v>10</v>
      </c>
      <c r="F240" s="12"/>
      <c r="G240" s="12"/>
      <c r="H240" s="12"/>
      <c r="I240" s="12"/>
      <c r="J240" s="12"/>
      <c r="K240" s="12">
        <f t="shared" si="9"/>
        <v>35</v>
      </c>
    </row>
    <row r="241" s="169" customFormat="1" ht="22.5" customHeight="1" spans="1:11">
      <c r="A241" s="39"/>
      <c r="B241" s="39"/>
      <c r="C241" s="12" t="s">
        <v>336</v>
      </c>
      <c r="D241" s="12">
        <v>25</v>
      </c>
      <c r="E241" s="12">
        <v>20</v>
      </c>
      <c r="F241" s="12"/>
      <c r="G241" s="12"/>
      <c r="H241" s="12"/>
      <c r="I241" s="12"/>
      <c r="J241" s="12"/>
      <c r="K241" s="12">
        <f t="shared" si="9"/>
        <v>45</v>
      </c>
    </row>
    <row r="242" s="169" customFormat="1" ht="22.5" customHeight="1" spans="1:11">
      <c r="A242" s="39"/>
      <c r="B242" s="39"/>
      <c r="C242" s="12" t="s">
        <v>337</v>
      </c>
      <c r="D242" s="12">
        <v>25</v>
      </c>
      <c r="E242" s="12">
        <v>20</v>
      </c>
      <c r="F242" s="12"/>
      <c r="G242" s="12"/>
      <c r="H242" s="12"/>
      <c r="I242" s="12"/>
      <c r="J242" s="12"/>
      <c r="K242" s="12">
        <f t="shared" si="9"/>
        <v>45</v>
      </c>
    </row>
    <row r="243" s="169" customFormat="1" ht="22.5" customHeight="1" spans="1:11">
      <c r="A243" s="39"/>
      <c r="B243" s="39"/>
      <c r="C243" s="12" t="s">
        <v>229</v>
      </c>
      <c r="D243" s="12">
        <v>25</v>
      </c>
      <c r="E243" s="12">
        <v>5</v>
      </c>
      <c r="F243" s="12"/>
      <c r="G243" s="12"/>
      <c r="H243" s="12"/>
      <c r="I243" s="12"/>
      <c r="J243" s="12"/>
      <c r="K243" s="12">
        <f t="shared" si="9"/>
        <v>30</v>
      </c>
    </row>
    <row r="244" s="169" customFormat="1" ht="22.5" customHeight="1" spans="1:11">
      <c r="A244" s="39"/>
      <c r="B244" s="39"/>
      <c r="C244" s="12" t="s">
        <v>240</v>
      </c>
      <c r="D244" s="12">
        <v>25</v>
      </c>
      <c r="E244" s="12">
        <v>20</v>
      </c>
      <c r="F244" s="12"/>
      <c r="G244" s="12"/>
      <c r="H244" s="12"/>
      <c r="I244" s="12"/>
      <c r="J244" s="12"/>
      <c r="K244" s="12">
        <f t="shared" si="9"/>
        <v>45</v>
      </c>
    </row>
    <row r="245" s="169" customFormat="1" ht="22.5" customHeight="1" spans="1:11">
      <c r="A245" s="12" t="s">
        <v>230</v>
      </c>
      <c r="B245" s="12">
        <v>10.5</v>
      </c>
      <c r="C245" s="12" t="s">
        <v>338</v>
      </c>
      <c r="D245" s="12">
        <v>10.5</v>
      </c>
      <c r="E245" s="12">
        <v>10</v>
      </c>
      <c r="F245" s="12"/>
      <c r="G245" s="12"/>
      <c r="H245" s="12"/>
      <c r="I245" s="12"/>
      <c r="J245" s="12"/>
      <c r="K245" s="12">
        <f t="shared" si="9"/>
        <v>20.5</v>
      </c>
    </row>
    <row r="246" s="169" customFormat="1" ht="22.5" customHeight="1" spans="1:11">
      <c r="A246" s="27" t="s">
        <v>232</v>
      </c>
      <c r="B246" s="27">
        <v>12</v>
      </c>
      <c r="C246" s="27" t="s">
        <v>339</v>
      </c>
      <c r="D246" s="27">
        <v>12</v>
      </c>
      <c r="E246" s="27">
        <v>12</v>
      </c>
      <c r="F246" s="27"/>
      <c r="G246" s="27"/>
      <c r="H246" s="27"/>
      <c r="I246" s="27"/>
      <c r="J246" s="27"/>
      <c r="K246" s="179">
        <f>SUM(E246:J246)</f>
        <v>12</v>
      </c>
    </row>
    <row r="247" s="169" customFormat="1" ht="22.5" customHeight="1" spans="1:11">
      <c r="A247" s="180"/>
      <c r="B247" s="181"/>
      <c r="C247" s="181"/>
      <c r="D247" s="181"/>
      <c r="E247" s="181"/>
      <c r="F247" s="181"/>
      <c r="G247" s="181"/>
      <c r="H247" s="181"/>
      <c r="I247" s="181"/>
      <c r="J247" s="182"/>
      <c r="K247" s="179">
        <f>SUM(K226:K246)</f>
        <v>632</v>
      </c>
    </row>
    <row r="250" s="3" customFormat="1" ht="21" customHeight="1" spans="1:11">
      <c r="A250" s="71" t="s">
        <v>400</v>
      </c>
      <c r="B250" s="71"/>
      <c r="C250" s="71"/>
      <c r="D250" s="71"/>
      <c r="E250" s="71"/>
      <c r="F250" s="71"/>
      <c r="G250" s="71"/>
      <c r="H250" s="71"/>
      <c r="I250" s="71"/>
      <c r="J250" s="71"/>
      <c r="K250" s="71"/>
    </row>
    <row r="251" s="3" customFormat="1" ht="21" customHeight="1" spans="1:11">
      <c r="A251" s="72" t="s">
        <v>198</v>
      </c>
      <c r="B251" s="72"/>
      <c r="C251" s="72"/>
      <c r="D251" s="73" t="s">
        <v>401</v>
      </c>
      <c r="E251" s="72"/>
      <c r="F251" s="72"/>
      <c r="G251" s="72"/>
      <c r="H251" s="72"/>
      <c r="I251" s="72"/>
      <c r="J251" s="72"/>
      <c r="K251" s="72"/>
    </row>
    <row r="252" s="3" customFormat="1" ht="21" customHeight="1" spans="1:11">
      <c r="A252" s="74" t="s">
        <v>200</v>
      </c>
      <c r="B252" s="74" t="s">
        <v>201</v>
      </c>
      <c r="C252" s="75" t="s">
        <v>202</v>
      </c>
      <c r="D252" s="76" t="s">
        <v>6</v>
      </c>
      <c r="E252" s="76" t="s">
        <v>6</v>
      </c>
      <c r="F252" s="74" t="s">
        <v>6</v>
      </c>
      <c r="G252" s="74" t="s">
        <v>6</v>
      </c>
      <c r="H252" s="74" t="s">
        <v>6</v>
      </c>
      <c r="I252" s="74" t="s">
        <v>6</v>
      </c>
      <c r="J252" s="74" t="s">
        <v>203</v>
      </c>
      <c r="K252" s="74" t="s">
        <v>204</v>
      </c>
    </row>
    <row r="253" s="3" customFormat="1" ht="21" customHeight="1" spans="1:11">
      <c r="A253" s="56" t="s">
        <v>205</v>
      </c>
      <c r="B253" s="56">
        <v>12</v>
      </c>
      <c r="C253" s="54" t="s">
        <v>206</v>
      </c>
      <c r="D253" s="55">
        <v>12</v>
      </c>
      <c r="E253" s="100">
        <v>10</v>
      </c>
      <c r="F253" s="100"/>
      <c r="G253" s="77"/>
      <c r="H253" s="77"/>
      <c r="I253" s="58"/>
      <c r="J253" s="47"/>
      <c r="K253" s="56">
        <f t="shared" ref="K253:K273" si="10">SUM(D253:J253)</f>
        <v>22</v>
      </c>
    </row>
    <row r="254" s="3" customFormat="1" ht="21" customHeight="1" spans="1:11">
      <c r="A254" s="78" t="s">
        <v>207</v>
      </c>
      <c r="B254" s="56">
        <v>11.5</v>
      </c>
      <c r="C254" s="61" t="s">
        <v>208</v>
      </c>
      <c r="D254" s="55">
        <v>17.5</v>
      </c>
      <c r="E254" s="100">
        <v>15</v>
      </c>
      <c r="F254" s="100"/>
      <c r="G254" s="77"/>
      <c r="H254" s="77"/>
      <c r="I254" s="58"/>
      <c r="J254" s="47"/>
      <c r="K254" s="56">
        <f t="shared" si="10"/>
        <v>32.5</v>
      </c>
    </row>
    <row r="255" s="3" customFormat="1" ht="21" customHeight="1" spans="1:11">
      <c r="A255" s="78"/>
      <c r="B255" s="56"/>
      <c r="C255" s="61" t="s">
        <v>210</v>
      </c>
      <c r="D255" s="55">
        <v>17.5</v>
      </c>
      <c r="E255" s="100">
        <v>15</v>
      </c>
      <c r="F255" s="100"/>
      <c r="G255" s="77"/>
      <c r="H255" s="77"/>
      <c r="I255" s="58"/>
      <c r="J255" s="47"/>
      <c r="K255" s="56">
        <f t="shared" si="10"/>
        <v>32.5</v>
      </c>
    </row>
    <row r="256" s="3" customFormat="1" ht="21" customHeight="1" spans="1:11">
      <c r="A256" s="79" t="s">
        <v>237</v>
      </c>
      <c r="B256" s="56">
        <v>11.5</v>
      </c>
      <c r="C256" s="61" t="s">
        <v>212</v>
      </c>
      <c r="D256" s="55">
        <v>19</v>
      </c>
      <c r="E256" s="100">
        <v>11</v>
      </c>
      <c r="F256" s="100"/>
      <c r="G256" s="77"/>
      <c r="H256" s="77"/>
      <c r="I256" s="58"/>
      <c r="J256" s="47"/>
      <c r="K256" s="56">
        <f t="shared" si="10"/>
        <v>30</v>
      </c>
    </row>
    <row r="257" s="3" customFormat="1" ht="21" customHeight="1" spans="1:11">
      <c r="A257" s="80"/>
      <c r="B257" s="56"/>
      <c r="C257" s="3" t="s">
        <v>215</v>
      </c>
      <c r="D257" s="55">
        <v>45.5</v>
      </c>
      <c r="E257" s="100">
        <v>0</v>
      </c>
      <c r="F257" s="100"/>
      <c r="G257" s="77"/>
      <c r="H257" s="77"/>
      <c r="I257" s="58"/>
      <c r="J257" s="47"/>
      <c r="K257" s="56">
        <f t="shared" si="10"/>
        <v>45.5</v>
      </c>
    </row>
    <row r="258" s="3" customFormat="1" ht="21" customHeight="1" spans="1:11">
      <c r="A258" s="81" t="s">
        <v>238</v>
      </c>
      <c r="B258" s="56"/>
      <c r="C258" s="61" t="s">
        <v>213</v>
      </c>
      <c r="D258" s="55">
        <v>45.5</v>
      </c>
      <c r="E258" s="100">
        <v>0</v>
      </c>
      <c r="F258" s="100"/>
      <c r="G258" s="77"/>
      <c r="H258" s="77"/>
      <c r="I258" s="58"/>
      <c r="J258" s="47"/>
      <c r="K258" s="56">
        <f t="shared" si="10"/>
        <v>45.5</v>
      </c>
    </row>
    <row r="259" s="3" customFormat="1" ht="21" customHeight="1" spans="1:11">
      <c r="A259" s="82"/>
      <c r="B259" s="56"/>
      <c r="C259" s="61" t="s">
        <v>216</v>
      </c>
      <c r="D259" s="55">
        <v>45.5</v>
      </c>
      <c r="E259" s="100">
        <v>0</v>
      </c>
      <c r="F259" s="100"/>
      <c r="G259" s="77"/>
      <c r="H259" s="77"/>
      <c r="I259" s="83"/>
      <c r="J259" s="47"/>
      <c r="K259" s="56">
        <f t="shared" si="10"/>
        <v>45.5</v>
      </c>
    </row>
    <row r="260" s="3" customFormat="1" ht="21" customHeight="1" spans="1:11">
      <c r="A260" s="84" t="s">
        <v>239</v>
      </c>
      <c r="B260" s="56"/>
      <c r="C260" s="56" t="s">
        <v>214</v>
      </c>
      <c r="D260" s="55">
        <v>19</v>
      </c>
      <c r="E260" s="100">
        <v>11</v>
      </c>
      <c r="F260" s="100"/>
      <c r="G260" s="77"/>
      <c r="H260" s="77"/>
      <c r="I260" s="83"/>
      <c r="J260" s="47"/>
      <c r="K260" s="56">
        <f t="shared" si="10"/>
        <v>30</v>
      </c>
    </row>
    <row r="261" s="3" customFormat="1" ht="21" customHeight="1" spans="1:11">
      <c r="A261" s="56" t="s">
        <v>217</v>
      </c>
      <c r="B261" s="56">
        <v>10.5</v>
      </c>
      <c r="C261" s="56" t="s">
        <v>218</v>
      </c>
      <c r="D261" s="204">
        <v>24.5</v>
      </c>
      <c r="E261" s="205">
        <v>5</v>
      </c>
      <c r="F261" s="205"/>
      <c r="G261" s="77"/>
      <c r="H261" s="77"/>
      <c r="I261" s="58"/>
      <c r="J261" s="47"/>
      <c r="K261" s="56">
        <f t="shared" si="10"/>
        <v>29.5</v>
      </c>
    </row>
    <row r="262" s="3" customFormat="1" ht="21" customHeight="1" spans="1:11">
      <c r="A262" s="56"/>
      <c r="B262" s="56"/>
      <c r="C262" s="56" t="s">
        <v>219</v>
      </c>
      <c r="D262" s="206">
        <v>45.5</v>
      </c>
      <c r="E262" s="205">
        <v>0</v>
      </c>
      <c r="F262" s="205"/>
      <c r="G262" s="77"/>
      <c r="H262" s="77"/>
      <c r="I262" s="58"/>
      <c r="J262" s="47"/>
      <c r="K262" s="56">
        <f t="shared" si="10"/>
        <v>45.5</v>
      </c>
    </row>
    <row r="263" s="3" customFormat="1" ht="21" customHeight="1" spans="1:11">
      <c r="A263" s="56" t="s">
        <v>220</v>
      </c>
      <c r="B263" s="56">
        <v>11.5</v>
      </c>
      <c r="C263" s="61" t="s">
        <v>221</v>
      </c>
      <c r="D263" s="206">
        <v>36</v>
      </c>
      <c r="E263" s="205">
        <v>5</v>
      </c>
      <c r="F263" s="205"/>
      <c r="G263" s="77"/>
      <c r="H263" s="77"/>
      <c r="I263" s="58"/>
      <c r="J263" s="47"/>
      <c r="K263" s="56">
        <f t="shared" si="10"/>
        <v>41</v>
      </c>
    </row>
    <row r="264" s="3" customFormat="1" ht="21" customHeight="1" spans="1:11">
      <c r="A264" s="56"/>
      <c r="B264" s="56"/>
      <c r="C264" s="61" t="s">
        <v>222</v>
      </c>
      <c r="D264" s="204">
        <v>34.6</v>
      </c>
      <c r="E264" s="205">
        <v>5</v>
      </c>
      <c r="F264" s="205"/>
      <c r="G264" s="77"/>
      <c r="H264" s="77"/>
      <c r="I264" s="58"/>
      <c r="J264" s="47"/>
      <c r="K264" s="56">
        <f t="shared" si="10"/>
        <v>39.6</v>
      </c>
    </row>
    <row r="265" s="3" customFormat="1" ht="21" customHeight="1" spans="1:11">
      <c r="A265" s="56"/>
      <c r="B265" s="56"/>
      <c r="C265" s="61" t="s">
        <v>223</v>
      </c>
      <c r="D265" s="206">
        <v>34.6</v>
      </c>
      <c r="E265" s="205">
        <v>0</v>
      </c>
      <c r="F265" s="205"/>
      <c r="G265" s="77"/>
      <c r="H265" s="77"/>
      <c r="I265" s="58"/>
      <c r="J265" s="47"/>
      <c r="K265" s="56">
        <f t="shared" si="10"/>
        <v>34.6</v>
      </c>
    </row>
    <row r="266" s="3" customFormat="1" ht="21" customHeight="1" spans="1:11">
      <c r="A266" s="56"/>
      <c r="B266" s="56"/>
      <c r="C266" s="61" t="s">
        <v>224</v>
      </c>
      <c r="D266" s="204">
        <v>24.5</v>
      </c>
      <c r="E266" s="205">
        <v>5</v>
      </c>
      <c r="F266" s="205"/>
      <c r="G266" s="77"/>
      <c r="H266" s="77"/>
      <c r="I266" s="58"/>
      <c r="J266" s="47"/>
      <c r="K266" s="56">
        <f t="shared" si="10"/>
        <v>29.5</v>
      </c>
    </row>
    <row r="267" s="3" customFormat="1" ht="21" customHeight="1" spans="1:11">
      <c r="A267" s="85" t="s">
        <v>225</v>
      </c>
      <c r="B267" s="85">
        <v>10.5</v>
      </c>
      <c r="C267" s="56" t="s">
        <v>226</v>
      </c>
      <c r="D267" s="206">
        <v>56</v>
      </c>
      <c r="E267" s="205">
        <v>10</v>
      </c>
      <c r="F267" s="205"/>
      <c r="G267" s="77"/>
      <c r="H267" s="77"/>
      <c r="I267" s="58"/>
      <c r="J267" s="47"/>
      <c r="K267" s="56">
        <f t="shared" si="10"/>
        <v>66</v>
      </c>
    </row>
    <row r="268" s="3" customFormat="1" ht="21" customHeight="1" spans="1:11">
      <c r="A268" s="85"/>
      <c r="B268" s="85"/>
      <c r="C268" s="56" t="s">
        <v>228</v>
      </c>
      <c r="D268" s="206">
        <v>42.1</v>
      </c>
      <c r="E268" s="205">
        <v>0</v>
      </c>
      <c r="F268" s="205"/>
      <c r="G268" s="77"/>
      <c r="H268" s="77"/>
      <c r="I268" s="58"/>
      <c r="J268" s="47"/>
      <c r="K268" s="56">
        <f t="shared" si="10"/>
        <v>42.1</v>
      </c>
    </row>
    <row r="269" s="3" customFormat="1" ht="21" customHeight="1" spans="1:11">
      <c r="A269" s="85"/>
      <c r="B269" s="85"/>
      <c r="C269" s="61" t="s">
        <v>227</v>
      </c>
      <c r="D269" s="206">
        <v>42.1</v>
      </c>
      <c r="E269" s="205">
        <v>0</v>
      </c>
      <c r="F269" s="205"/>
      <c r="G269" s="77"/>
      <c r="H269" s="77"/>
      <c r="I269" s="58"/>
      <c r="J269" s="47"/>
      <c r="K269" s="56">
        <f t="shared" si="10"/>
        <v>42.1</v>
      </c>
    </row>
    <row r="270" s="3" customFormat="1" ht="21" customHeight="1" spans="1:11">
      <c r="A270" s="85"/>
      <c r="B270" s="85"/>
      <c r="C270" s="61" t="s">
        <v>240</v>
      </c>
      <c r="D270" s="207">
        <v>42.1</v>
      </c>
      <c r="E270" s="205">
        <v>5</v>
      </c>
      <c r="F270" s="205"/>
      <c r="G270" s="77"/>
      <c r="H270" s="77"/>
      <c r="I270" s="58"/>
      <c r="J270" s="58"/>
      <c r="K270" s="56">
        <f t="shared" si="10"/>
        <v>47.1</v>
      </c>
    </row>
    <row r="271" s="3" customFormat="1" ht="21" customHeight="1" spans="1:11">
      <c r="A271" s="85"/>
      <c r="B271" s="85"/>
      <c r="C271" s="56" t="s">
        <v>229</v>
      </c>
      <c r="D271" s="208">
        <v>42.1</v>
      </c>
      <c r="E271" s="205">
        <v>5</v>
      </c>
      <c r="F271" s="205"/>
      <c r="G271" s="77"/>
      <c r="H271" s="77"/>
      <c r="I271" s="58"/>
      <c r="J271" s="58"/>
      <c r="K271" s="56">
        <f t="shared" si="10"/>
        <v>47.1</v>
      </c>
    </row>
    <row r="272" s="3" customFormat="1" ht="21" customHeight="1" spans="1:11">
      <c r="A272" s="86" t="s">
        <v>230</v>
      </c>
      <c r="B272" s="86">
        <v>10.5</v>
      </c>
      <c r="C272" s="56" t="s">
        <v>231</v>
      </c>
      <c r="D272" s="206">
        <v>10.5</v>
      </c>
      <c r="E272" s="205">
        <v>10.5</v>
      </c>
      <c r="F272" s="205"/>
      <c r="G272" s="77"/>
      <c r="H272" s="77"/>
      <c r="I272" s="58"/>
      <c r="J272" s="58"/>
      <c r="K272" s="56">
        <f t="shared" si="10"/>
        <v>21</v>
      </c>
    </row>
    <row r="273" s="3" customFormat="1" ht="21" customHeight="1" spans="1:11">
      <c r="A273" s="56" t="s">
        <v>232</v>
      </c>
      <c r="B273" s="56">
        <v>12</v>
      </c>
      <c r="C273" s="56" t="s">
        <v>233</v>
      </c>
      <c r="D273" s="204">
        <v>12</v>
      </c>
      <c r="E273" s="209">
        <v>12</v>
      </c>
      <c r="F273" s="209"/>
      <c r="G273" s="77"/>
      <c r="H273" s="77"/>
      <c r="I273" s="58"/>
      <c r="J273" s="58"/>
      <c r="K273" s="56">
        <f t="shared" si="10"/>
        <v>24</v>
      </c>
    </row>
    <row r="274" s="3" customFormat="1" ht="21" customHeight="1" spans="1:1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47">
        <f>SUM(K253:K273)</f>
        <v>792.6</v>
      </c>
    </row>
  </sheetData>
  <mergeCells count="139">
    <mergeCell ref="A1:K1"/>
    <mergeCell ref="A2:C2"/>
    <mergeCell ref="D2:K2"/>
    <mergeCell ref="A29:K29"/>
    <mergeCell ref="A30:C30"/>
    <mergeCell ref="D30:K30"/>
    <mergeCell ref="A57:K57"/>
    <mergeCell ref="A58:C58"/>
    <mergeCell ref="D58:K58"/>
    <mergeCell ref="A84:K84"/>
    <mergeCell ref="A85:C85"/>
    <mergeCell ref="D85:K85"/>
    <mergeCell ref="A108:J108"/>
    <mergeCell ref="A111:K111"/>
    <mergeCell ref="A112:C112"/>
    <mergeCell ref="D112:K112"/>
    <mergeCell ref="A140:K140"/>
    <mergeCell ref="A141:C141"/>
    <mergeCell ref="D141:K141"/>
    <mergeCell ref="A169:K169"/>
    <mergeCell ref="A170:C170"/>
    <mergeCell ref="D170:K170"/>
    <mergeCell ref="A196:K196"/>
    <mergeCell ref="A197:C197"/>
    <mergeCell ref="D197:K197"/>
    <mergeCell ref="A223:K223"/>
    <mergeCell ref="A224:C224"/>
    <mergeCell ref="D224:K224"/>
    <mergeCell ref="A247:J247"/>
    <mergeCell ref="A250:K250"/>
    <mergeCell ref="A251:C251"/>
    <mergeCell ref="D251:K251"/>
    <mergeCell ref="A274:J274"/>
    <mergeCell ref="A5:A7"/>
    <mergeCell ref="A8:A9"/>
    <mergeCell ref="A10:A11"/>
    <mergeCell ref="A13:A14"/>
    <mergeCell ref="A15:A18"/>
    <mergeCell ref="A19:A23"/>
    <mergeCell ref="A33:A35"/>
    <mergeCell ref="A36:A37"/>
    <mergeCell ref="A38:A39"/>
    <mergeCell ref="A41:A42"/>
    <mergeCell ref="A43:A46"/>
    <mergeCell ref="A47:A49"/>
    <mergeCell ref="A61:A62"/>
    <mergeCell ref="A63:A64"/>
    <mergeCell ref="A65:A66"/>
    <mergeCell ref="A68:A69"/>
    <mergeCell ref="A70:A73"/>
    <mergeCell ref="A74:A76"/>
    <mergeCell ref="A88:A89"/>
    <mergeCell ref="A90:A94"/>
    <mergeCell ref="A95:A96"/>
    <mergeCell ref="A97:A100"/>
    <mergeCell ref="A101:A105"/>
    <mergeCell ref="A115:A116"/>
    <mergeCell ref="A117:A121"/>
    <mergeCell ref="A122:A123"/>
    <mergeCell ref="A124:A127"/>
    <mergeCell ref="A128:A131"/>
    <mergeCell ref="A144:A146"/>
    <mergeCell ref="A147:A148"/>
    <mergeCell ref="A149:A150"/>
    <mergeCell ref="A152:A153"/>
    <mergeCell ref="A154:A157"/>
    <mergeCell ref="A158:A163"/>
    <mergeCell ref="A173:A174"/>
    <mergeCell ref="A175:A176"/>
    <mergeCell ref="A177:A178"/>
    <mergeCell ref="A180:A181"/>
    <mergeCell ref="A182:A185"/>
    <mergeCell ref="A186:A190"/>
    <mergeCell ref="A200:A201"/>
    <mergeCell ref="A202:A206"/>
    <mergeCell ref="A207:A208"/>
    <mergeCell ref="A209:A212"/>
    <mergeCell ref="A213:A217"/>
    <mergeCell ref="A227:A228"/>
    <mergeCell ref="A229:A233"/>
    <mergeCell ref="A234:A235"/>
    <mergeCell ref="A236:A239"/>
    <mergeCell ref="A240:A244"/>
    <mergeCell ref="A254:A255"/>
    <mergeCell ref="A256:A257"/>
    <mergeCell ref="A258:A259"/>
    <mergeCell ref="A261:A262"/>
    <mergeCell ref="A263:A266"/>
    <mergeCell ref="A267:A271"/>
    <mergeCell ref="B5:B7"/>
    <mergeCell ref="B8:B12"/>
    <mergeCell ref="B13:B14"/>
    <mergeCell ref="B15:B18"/>
    <mergeCell ref="B19:B23"/>
    <mergeCell ref="B33:B35"/>
    <mergeCell ref="B36:B40"/>
    <mergeCell ref="B41:B42"/>
    <mergeCell ref="B43:B46"/>
    <mergeCell ref="B47:B49"/>
    <mergeCell ref="B61:B62"/>
    <mergeCell ref="B63:B67"/>
    <mergeCell ref="B68:B69"/>
    <mergeCell ref="B70:B73"/>
    <mergeCell ref="B74:B76"/>
    <mergeCell ref="B88:B89"/>
    <mergeCell ref="B90:B94"/>
    <mergeCell ref="B95:B96"/>
    <mergeCell ref="B97:B100"/>
    <mergeCell ref="B101:B105"/>
    <mergeCell ref="B115:B116"/>
    <mergeCell ref="B117:B121"/>
    <mergeCell ref="B122:B123"/>
    <mergeCell ref="B124:B127"/>
    <mergeCell ref="B128:B131"/>
    <mergeCell ref="B144:B146"/>
    <mergeCell ref="B147:B151"/>
    <mergeCell ref="B152:B153"/>
    <mergeCell ref="B154:B157"/>
    <mergeCell ref="B158:B163"/>
    <mergeCell ref="B173:B174"/>
    <mergeCell ref="B175:B179"/>
    <mergeCell ref="B180:B181"/>
    <mergeCell ref="B182:B185"/>
    <mergeCell ref="B186:B190"/>
    <mergeCell ref="B200:B201"/>
    <mergeCell ref="B202:B206"/>
    <mergeCell ref="B207:B208"/>
    <mergeCell ref="B209:B212"/>
    <mergeCell ref="B213:B217"/>
    <mergeCell ref="B227:B228"/>
    <mergeCell ref="B229:B233"/>
    <mergeCell ref="B234:B235"/>
    <mergeCell ref="B236:B239"/>
    <mergeCell ref="B240:B244"/>
    <mergeCell ref="B254:B255"/>
    <mergeCell ref="B256:B260"/>
    <mergeCell ref="B261:B262"/>
    <mergeCell ref="B263:B266"/>
    <mergeCell ref="B267:B27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1"/>
  <sheetViews>
    <sheetView topLeftCell="A140" workbookViewId="0">
      <selection activeCell="A137" sqref="$A137:$XFD161"/>
    </sheetView>
  </sheetViews>
  <sheetFormatPr defaultColWidth="9" defaultRowHeight="13.5"/>
  <sheetData>
    <row r="1" s="3" customFormat="1" ht="21" customHeight="1" spans="1:11">
      <c r="A1" s="71" t="s">
        <v>400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="3" customFormat="1" ht="21" customHeight="1" spans="1:11">
      <c r="A2" s="72" t="s">
        <v>198</v>
      </c>
      <c r="B2" s="72"/>
      <c r="C2" s="72"/>
      <c r="D2" s="73" t="s">
        <v>401</v>
      </c>
      <c r="E2" s="72"/>
      <c r="F2" s="72"/>
      <c r="G2" s="72"/>
      <c r="H2" s="72"/>
      <c r="I2" s="72"/>
      <c r="J2" s="72"/>
      <c r="K2" s="72"/>
    </row>
    <row r="3" s="3" customFormat="1" ht="21" customHeight="1" spans="1:11">
      <c r="A3" s="74" t="s">
        <v>200</v>
      </c>
      <c r="B3" s="74" t="s">
        <v>201</v>
      </c>
      <c r="C3" s="75" t="s">
        <v>202</v>
      </c>
      <c r="D3" s="76" t="s">
        <v>6</v>
      </c>
      <c r="E3" s="76" t="s">
        <v>6</v>
      </c>
      <c r="F3" s="74" t="s">
        <v>6</v>
      </c>
      <c r="G3" s="74" t="s">
        <v>6</v>
      </c>
      <c r="H3" s="74" t="s">
        <v>6</v>
      </c>
      <c r="I3" s="74" t="s">
        <v>6</v>
      </c>
      <c r="J3" s="74" t="s">
        <v>203</v>
      </c>
      <c r="K3" s="74" t="s">
        <v>204</v>
      </c>
    </row>
    <row r="4" s="3" customFormat="1" ht="21" customHeight="1" spans="1:11">
      <c r="A4" s="56" t="s">
        <v>205</v>
      </c>
      <c r="B4" s="56">
        <v>12</v>
      </c>
      <c r="C4" s="54" t="s">
        <v>206</v>
      </c>
      <c r="D4" s="55"/>
      <c r="E4" s="100"/>
      <c r="F4" s="100"/>
      <c r="G4" s="77"/>
      <c r="H4" s="77"/>
      <c r="I4" s="58"/>
      <c r="J4" s="47"/>
      <c r="K4" s="56">
        <f t="shared" ref="K4:K24" si="0">SUM(D4:J4)</f>
        <v>0</v>
      </c>
    </row>
    <row r="5" s="3" customFormat="1" ht="21" customHeight="1" spans="1:11">
      <c r="A5" s="78" t="s">
        <v>207</v>
      </c>
      <c r="B5" s="56">
        <v>11.5</v>
      </c>
      <c r="C5" s="61" t="s">
        <v>208</v>
      </c>
      <c r="D5" s="55"/>
      <c r="E5" s="100"/>
      <c r="F5" s="100"/>
      <c r="G5" s="77"/>
      <c r="H5" s="77"/>
      <c r="I5" s="58"/>
      <c r="J5" s="47"/>
      <c r="K5" s="56">
        <f t="shared" si="0"/>
        <v>0</v>
      </c>
    </row>
    <row r="6" s="3" customFormat="1" ht="21" customHeight="1" spans="1:11">
      <c r="A6" s="78"/>
      <c r="B6" s="56"/>
      <c r="C6" s="61" t="s">
        <v>210</v>
      </c>
      <c r="D6" s="55"/>
      <c r="E6" s="100"/>
      <c r="F6" s="100"/>
      <c r="G6" s="77"/>
      <c r="H6" s="77"/>
      <c r="I6" s="58"/>
      <c r="J6" s="47"/>
      <c r="K6" s="56">
        <f t="shared" si="0"/>
        <v>0</v>
      </c>
    </row>
    <row r="7" s="3" customFormat="1" ht="21" customHeight="1" spans="1:11">
      <c r="A7" s="79" t="s">
        <v>237</v>
      </c>
      <c r="B7" s="56">
        <v>11.5</v>
      </c>
      <c r="C7" s="61" t="s">
        <v>212</v>
      </c>
      <c r="D7" s="55"/>
      <c r="E7" s="100"/>
      <c r="F7" s="100"/>
      <c r="G7" s="77"/>
      <c r="H7" s="77"/>
      <c r="I7" s="58"/>
      <c r="J7" s="47"/>
      <c r="K7" s="56">
        <f t="shared" si="0"/>
        <v>0</v>
      </c>
    </row>
    <row r="8" s="3" customFormat="1" ht="21" customHeight="1" spans="1:11">
      <c r="A8" s="80"/>
      <c r="B8" s="56"/>
      <c r="C8" s="3" t="s">
        <v>215</v>
      </c>
      <c r="D8" s="55"/>
      <c r="E8" s="100"/>
      <c r="F8" s="100"/>
      <c r="G8" s="77"/>
      <c r="H8" s="77"/>
      <c r="I8" s="58"/>
      <c r="J8" s="47"/>
      <c r="K8" s="56">
        <f t="shared" si="0"/>
        <v>0</v>
      </c>
    </row>
    <row r="9" s="3" customFormat="1" ht="21" customHeight="1" spans="1:11">
      <c r="A9" s="81" t="s">
        <v>238</v>
      </c>
      <c r="B9" s="56"/>
      <c r="C9" s="61" t="s">
        <v>213</v>
      </c>
      <c r="D9" s="55"/>
      <c r="E9" s="100"/>
      <c r="F9" s="100"/>
      <c r="G9" s="77"/>
      <c r="H9" s="77"/>
      <c r="I9" s="58"/>
      <c r="J9" s="47"/>
      <c r="K9" s="56">
        <f t="shared" si="0"/>
        <v>0</v>
      </c>
    </row>
    <row r="10" s="3" customFormat="1" ht="21" customHeight="1" spans="1:11">
      <c r="A10" s="82"/>
      <c r="B10" s="56"/>
      <c r="C10" s="61" t="s">
        <v>216</v>
      </c>
      <c r="D10" s="55"/>
      <c r="E10" s="100"/>
      <c r="F10" s="100"/>
      <c r="G10" s="77"/>
      <c r="H10" s="77"/>
      <c r="I10" s="83"/>
      <c r="J10" s="47"/>
      <c r="K10" s="56">
        <f t="shared" si="0"/>
        <v>0</v>
      </c>
    </row>
    <row r="11" s="3" customFormat="1" ht="21" customHeight="1" spans="1:11">
      <c r="A11" s="84" t="s">
        <v>239</v>
      </c>
      <c r="B11" s="56"/>
      <c r="C11" s="56" t="s">
        <v>214</v>
      </c>
      <c r="D11" s="55"/>
      <c r="E11" s="100"/>
      <c r="F11" s="100"/>
      <c r="G11" s="77"/>
      <c r="H11" s="77"/>
      <c r="I11" s="83"/>
      <c r="J11" s="47"/>
      <c r="K11" s="56">
        <f t="shared" si="0"/>
        <v>0</v>
      </c>
    </row>
    <row r="12" s="3" customFormat="1" ht="21" customHeight="1" spans="1:11">
      <c r="A12" s="56" t="s">
        <v>217</v>
      </c>
      <c r="B12" s="56">
        <v>10.5</v>
      </c>
      <c r="C12" s="56" t="s">
        <v>218</v>
      </c>
      <c r="D12" s="204">
        <v>24.5</v>
      </c>
      <c r="E12" s="205">
        <v>5</v>
      </c>
      <c r="F12" s="205"/>
      <c r="G12" s="77"/>
      <c r="H12" s="77"/>
      <c r="I12" s="58"/>
      <c r="J12" s="47"/>
      <c r="K12" s="56">
        <f t="shared" si="0"/>
        <v>29.5</v>
      </c>
    </row>
    <row r="13" s="3" customFormat="1" ht="21" customHeight="1" spans="1:11">
      <c r="A13" s="56"/>
      <c r="B13" s="56"/>
      <c r="C13" s="56" t="s">
        <v>219</v>
      </c>
      <c r="D13" s="206">
        <v>45.5</v>
      </c>
      <c r="E13" s="205">
        <v>0</v>
      </c>
      <c r="F13" s="205"/>
      <c r="G13" s="77"/>
      <c r="H13" s="77"/>
      <c r="I13" s="58"/>
      <c r="J13" s="47"/>
      <c r="K13" s="56">
        <f t="shared" si="0"/>
        <v>45.5</v>
      </c>
    </row>
    <row r="14" s="3" customFormat="1" ht="21" customHeight="1" spans="1:11">
      <c r="A14" s="56" t="s">
        <v>220</v>
      </c>
      <c r="B14" s="56">
        <v>11.5</v>
      </c>
      <c r="C14" s="61" t="s">
        <v>221</v>
      </c>
      <c r="D14" s="206">
        <v>36</v>
      </c>
      <c r="E14" s="205">
        <v>5</v>
      </c>
      <c r="F14" s="205"/>
      <c r="G14" s="77"/>
      <c r="H14" s="77"/>
      <c r="I14" s="58"/>
      <c r="J14" s="47"/>
      <c r="K14" s="56">
        <f t="shared" si="0"/>
        <v>41</v>
      </c>
    </row>
    <row r="15" s="3" customFormat="1" ht="21" customHeight="1" spans="1:11">
      <c r="A15" s="56"/>
      <c r="B15" s="56"/>
      <c r="C15" s="61" t="s">
        <v>222</v>
      </c>
      <c r="D15" s="204">
        <v>34.6</v>
      </c>
      <c r="E15" s="205">
        <v>5</v>
      </c>
      <c r="F15" s="205"/>
      <c r="G15" s="77"/>
      <c r="H15" s="77"/>
      <c r="I15" s="58"/>
      <c r="J15" s="47"/>
      <c r="K15" s="56">
        <f t="shared" si="0"/>
        <v>39.6</v>
      </c>
    </row>
    <row r="16" s="3" customFormat="1" ht="21" customHeight="1" spans="1:11">
      <c r="A16" s="56"/>
      <c r="B16" s="56"/>
      <c r="C16" s="61" t="s">
        <v>223</v>
      </c>
      <c r="D16" s="206">
        <v>34.6</v>
      </c>
      <c r="E16" s="205">
        <v>0</v>
      </c>
      <c r="F16" s="205"/>
      <c r="G16" s="77"/>
      <c r="H16" s="77"/>
      <c r="I16" s="58"/>
      <c r="J16" s="47"/>
      <c r="K16" s="56">
        <f t="shared" si="0"/>
        <v>34.6</v>
      </c>
    </row>
    <row r="17" s="3" customFormat="1" ht="21" customHeight="1" spans="1:11">
      <c r="A17" s="56"/>
      <c r="B17" s="56"/>
      <c r="C17" s="61" t="s">
        <v>224</v>
      </c>
      <c r="D17" s="204">
        <v>24.5</v>
      </c>
      <c r="E17" s="205">
        <v>5</v>
      </c>
      <c r="F17" s="205"/>
      <c r="G17" s="77"/>
      <c r="H17" s="77"/>
      <c r="I17" s="58"/>
      <c r="J17" s="47"/>
      <c r="K17" s="56">
        <f t="shared" si="0"/>
        <v>29.5</v>
      </c>
    </row>
    <row r="18" s="3" customFormat="1" ht="21" customHeight="1" spans="1:11">
      <c r="A18" s="85" t="s">
        <v>225</v>
      </c>
      <c r="B18" s="85">
        <v>10.5</v>
      </c>
      <c r="C18" s="56" t="s">
        <v>226</v>
      </c>
      <c r="D18" s="206">
        <v>56</v>
      </c>
      <c r="E18" s="205">
        <v>10</v>
      </c>
      <c r="F18" s="205"/>
      <c r="G18" s="77"/>
      <c r="H18" s="77"/>
      <c r="I18" s="58"/>
      <c r="J18" s="47"/>
      <c r="K18" s="56">
        <f t="shared" si="0"/>
        <v>66</v>
      </c>
    </row>
    <row r="19" s="3" customFormat="1" ht="21" customHeight="1" spans="1:11">
      <c r="A19" s="85"/>
      <c r="B19" s="85"/>
      <c r="C19" s="56" t="s">
        <v>228</v>
      </c>
      <c r="D19" s="206">
        <v>42.1</v>
      </c>
      <c r="E19" s="205">
        <v>0</v>
      </c>
      <c r="F19" s="205"/>
      <c r="G19" s="77"/>
      <c r="H19" s="77"/>
      <c r="I19" s="58"/>
      <c r="J19" s="47"/>
      <c r="K19" s="56">
        <f t="shared" si="0"/>
        <v>42.1</v>
      </c>
    </row>
    <row r="20" s="3" customFormat="1" ht="21" customHeight="1" spans="1:11">
      <c r="A20" s="85"/>
      <c r="B20" s="85"/>
      <c r="C20" s="61" t="s">
        <v>227</v>
      </c>
      <c r="D20" s="206">
        <v>42.1</v>
      </c>
      <c r="E20" s="205">
        <v>0</v>
      </c>
      <c r="F20" s="205"/>
      <c r="G20" s="77"/>
      <c r="H20" s="77"/>
      <c r="I20" s="58"/>
      <c r="J20" s="47"/>
      <c r="K20" s="56">
        <f t="shared" si="0"/>
        <v>42.1</v>
      </c>
    </row>
    <row r="21" s="3" customFormat="1" ht="21" customHeight="1" spans="1:11">
      <c r="A21" s="85"/>
      <c r="B21" s="85"/>
      <c r="C21" s="61" t="s">
        <v>240</v>
      </c>
      <c r="D21" s="207">
        <v>42.1</v>
      </c>
      <c r="E21" s="205">
        <v>5</v>
      </c>
      <c r="F21" s="205"/>
      <c r="G21" s="77"/>
      <c r="H21" s="77"/>
      <c r="I21" s="58"/>
      <c r="J21" s="58"/>
      <c r="K21" s="56">
        <f t="shared" si="0"/>
        <v>47.1</v>
      </c>
    </row>
    <row r="22" s="3" customFormat="1" ht="21" customHeight="1" spans="1:11">
      <c r="A22" s="85"/>
      <c r="B22" s="85"/>
      <c r="C22" s="56" t="s">
        <v>229</v>
      </c>
      <c r="D22" s="208">
        <v>42.1</v>
      </c>
      <c r="E22" s="205">
        <v>5</v>
      </c>
      <c r="F22" s="205"/>
      <c r="G22" s="77"/>
      <c r="H22" s="77"/>
      <c r="I22" s="58"/>
      <c r="J22" s="58"/>
      <c r="K22" s="56">
        <f t="shared" si="0"/>
        <v>47.1</v>
      </c>
    </row>
    <row r="23" s="3" customFormat="1" ht="21" customHeight="1" spans="1:11">
      <c r="A23" s="86" t="s">
        <v>230</v>
      </c>
      <c r="B23" s="86">
        <v>10.5</v>
      </c>
      <c r="C23" s="56" t="s">
        <v>231</v>
      </c>
      <c r="D23" s="206">
        <v>10.5</v>
      </c>
      <c r="E23" s="205">
        <v>10.5</v>
      </c>
      <c r="F23" s="205"/>
      <c r="G23" s="77"/>
      <c r="H23" s="77"/>
      <c r="I23" s="58"/>
      <c r="J23" s="58"/>
      <c r="K23" s="56">
        <f t="shared" si="0"/>
        <v>21</v>
      </c>
    </row>
    <row r="24" s="3" customFormat="1" ht="21" customHeight="1" spans="1:11">
      <c r="A24" s="56" t="s">
        <v>232</v>
      </c>
      <c r="B24" s="56">
        <v>12</v>
      </c>
      <c r="C24" s="56" t="s">
        <v>233</v>
      </c>
      <c r="D24" s="204">
        <v>12</v>
      </c>
      <c r="E24" s="209">
        <v>12</v>
      </c>
      <c r="F24" s="209"/>
      <c r="G24" s="77"/>
      <c r="H24" s="77"/>
      <c r="I24" s="58"/>
      <c r="J24" s="58"/>
      <c r="K24" s="56">
        <f t="shared" si="0"/>
        <v>24</v>
      </c>
    </row>
    <row r="25" s="3" customFormat="1" ht="21" customHeight="1" spans="1:1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47">
        <f>SUM(K4:K24)</f>
        <v>509.1</v>
      </c>
    </row>
    <row r="28" s="1" customFormat="1" ht="21" customHeight="1" spans="1:11">
      <c r="A28" s="32" t="s">
        <v>402</v>
      </c>
      <c r="B28" s="33"/>
      <c r="C28" s="33"/>
      <c r="D28" s="33"/>
      <c r="E28" s="33"/>
      <c r="F28" s="33"/>
      <c r="G28" s="33"/>
      <c r="H28" s="33"/>
      <c r="I28" s="33"/>
      <c r="J28" s="33"/>
      <c r="K28" s="34"/>
    </row>
    <row r="29" s="1" customFormat="1" ht="21" customHeight="1" spans="1:11">
      <c r="A29" s="35" t="s">
        <v>265</v>
      </c>
      <c r="B29" s="36"/>
      <c r="C29" s="36"/>
      <c r="D29" s="37" t="s">
        <v>403</v>
      </c>
      <c r="E29" s="36"/>
      <c r="F29" s="36"/>
      <c r="G29" s="36"/>
      <c r="H29" s="36"/>
      <c r="I29" s="36"/>
      <c r="J29" s="36"/>
      <c r="K29" s="36"/>
    </row>
    <row r="30" s="1" customFormat="1" ht="21" customHeight="1" spans="1:11">
      <c r="A30" s="27" t="s">
        <v>200</v>
      </c>
      <c r="B30" s="27" t="s">
        <v>201</v>
      </c>
      <c r="C30" s="38" t="s">
        <v>202</v>
      </c>
      <c r="D30" s="12" t="s">
        <v>6</v>
      </c>
      <c r="E30" s="12" t="s">
        <v>6</v>
      </c>
      <c r="F30" s="27" t="s">
        <v>6</v>
      </c>
      <c r="G30" s="27" t="s">
        <v>6</v>
      </c>
      <c r="H30" s="27" t="s">
        <v>6</v>
      </c>
      <c r="I30" s="27" t="s">
        <v>6</v>
      </c>
      <c r="J30" s="27" t="s">
        <v>203</v>
      </c>
      <c r="K30" s="27" t="s">
        <v>204</v>
      </c>
    </row>
    <row r="31" s="1" customFormat="1" ht="21" customHeight="1" spans="1:11">
      <c r="A31" s="27" t="s">
        <v>205</v>
      </c>
      <c r="B31" s="27">
        <v>12</v>
      </c>
      <c r="C31" s="38" t="s">
        <v>206</v>
      </c>
      <c r="D31" s="12">
        <v>15</v>
      </c>
      <c r="E31" s="12">
        <v>10</v>
      </c>
      <c r="F31" s="12">
        <v>10</v>
      </c>
      <c r="G31" s="12"/>
      <c r="H31" s="12"/>
      <c r="I31" s="27"/>
      <c r="J31" s="27"/>
      <c r="K31" s="13">
        <f t="shared" ref="K31:K51" si="1">SUM(D31:J31)</f>
        <v>35</v>
      </c>
    </row>
    <row r="32" s="1" customFormat="1" ht="21" customHeight="1" spans="1:11">
      <c r="A32" s="21" t="s">
        <v>207</v>
      </c>
      <c r="B32" s="27">
        <v>11.5</v>
      </c>
      <c r="C32" s="38" t="s">
        <v>208</v>
      </c>
      <c r="D32" s="12">
        <v>22</v>
      </c>
      <c r="E32" s="12">
        <v>15</v>
      </c>
      <c r="F32" s="12">
        <v>15</v>
      </c>
      <c r="G32" s="12"/>
      <c r="H32" s="12"/>
      <c r="I32" s="27"/>
      <c r="J32" s="27"/>
      <c r="K32" s="13">
        <f t="shared" si="1"/>
        <v>52</v>
      </c>
    </row>
    <row r="33" s="1" customFormat="1" ht="21" customHeight="1" spans="1:11">
      <c r="A33" s="21"/>
      <c r="B33" s="27"/>
      <c r="C33" s="38" t="s">
        <v>210</v>
      </c>
      <c r="D33" s="12">
        <v>22</v>
      </c>
      <c r="E33" s="12">
        <v>15</v>
      </c>
      <c r="F33" s="12">
        <v>15</v>
      </c>
      <c r="G33" s="12"/>
      <c r="H33" s="12"/>
      <c r="I33" s="27"/>
      <c r="J33" s="27"/>
      <c r="K33" s="13">
        <f t="shared" si="1"/>
        <v>52</v>
      </c>
    </row>
    <row r="34" s="1" customFormat="1" ht="21" customHeight="1" spans="1:11">
      <c r="A34" s="16" t="s">
        <v>237</v>
      </c>
      <c r="B34" s="13">
        <v>11.5</v>
      </c>
      <c r="C34" s="17" t="s">
        <v>212</v>
      </c>
      <c r="D34" s="12">
        <v>14.3</v>
      </c>
      <c r="E34" s="12">
        <v>11</v>
      </c>
      <c r="F34" s="12">
        <v>10</v>
      </c>
      <c r="G34" s="12"/>
      <c r="H34" s="12"/>
      <c r="I34" s="27"/>
      <c r="J34" s="27"/>
      <c r="K34" s="13">
        <f t="shared" si="1"/>
        <v>35.3</v>
      </c>
    </row>
    <row r="35" s="1" customFormat="1" ht="21" customHeight="1" spans="1:11">
      <c r="A35" s="18"/>
      <c r="B35" s="13"/>
      <c r="C35" s="1" t="s">
        <v>215</v>
      </c>
      <c r="D35" s="12">
        <v>14.3</v>
      </c>
      <c r="E35" s="12">
        <v>11</v>
      </c>
      <c r="F35" s="12">
        <v>10</v>
      </c>
      <c r="G35" s="12"/>
      <c r="H35" s="12"/>
      <c r="I35" s="27"/>
      <c r="J35" s="27"/>
      <c r="K35" s="13">
        <f t="shared" si="1"/>
        <v>35.3</v>
      </c>
    </row>
    <row r="36" s="1" customFormat="1" ht="21" customHeight="1" spans="1:11">
      <c r="A36" s="19" t="s">
        <v>238</v>
      </c>
      <c r="B36" s="13"/>
      <c r="C36" s="17" t="s">
        <v>213</v>
      </c>
      <c r="D36" s="12">
        <v>14.3</v>
      </c>
      <c r="E36" s="12">
        <v>11</v>
      </c>
      <c r="F36" s="12">
        <v>10</v>
      </c>
      <c r="G36" s="12"/>
      <c r="H36" s="12"/>
      <c r="I36" s="27"/>
      <c r="J36" s="27"/>
      <c r="K36" s="13">
        <f t="shared" si="1"/>
        <v>35.3</v>
      </c>
    </row>
    <row r="37" s="1" customFormat="1" ht="21" customHeight="1" spans="1:11">
      <c r="A37" s="20"/>
      <c r="B37" s="13"/>
      <c r="C37" s="17" t="s">
        <v>216</v>
      </c>
      <c r="D37" s="12">
        <v>14.3</v>
      </c>
      <c r="E37" s="12">
        <v>11</v>
      </c>
      <c r="F37" s="12">
        <v>10</v>
      </c>
      <c r="G37" s="12"/>
      <c r="H37" s="12"/>
      <c r="I37" s="12"/>
      <c r="J37" s="27"/>
      <c r="K37" s="13">
        <f t="shared" si="1"/>
        <v>35.3</v>
      </c>
    </row>
    <row r="38" s="1" customFormat="1" ht="21" customHeight="1" spans="1:11">
      <c r="A38" s="21" t="s">
        <v>239</v>
      </c>
      <c r="B38" s="13"/>
      <c r="C38" s="13" t="s">
        <v>214</v>
      </c>
      <c r="D38" s="12">
        <v>14.3</v>
      </c>
      <c r="E38" s="12">
        <v>11</v>
      </c>
      <c r="F38" s="12">
        <v>5</v>
      </c>
      <c r="G38" s="12"/>
      <c r="H38" s="12"/>
      <c r="I38" s="12"/>
      <c r="J38" s="27"/>
      <c r="K38" s="13">
        <f t="shared" si="1"/>
        <v>30.3</v>
      </c>
    </row>
    <row r="39" s="1" customFormat="1" ht="21" customHeight="1" spans="1:11">
      <c r="A39" s="27" t="s">
        <v>217</v>
      </c>
      <c r="B39" s="27">
        <v>10.5</v>
      </c>
      <c r="C39" s="27" t="s">
        <v>218</v>
      </c>
      <c r="D39" s="12">
        <v>16.7</v>
      </c>
      <c r="E39" s="12">
        <v>10</v>
      </c>
      <c r="F39" s="12">
        <v>5</v>
      </c>
      <c r="G39" s="12"/>
      <c r="H39" s="12"/>
      <c r="I39" s="27"/>
      <c r="J39" s="27"/>
      <c r="K39" s="13">
        <f t="shared" si="1"/>
        <v>31.7</v>
      </c>
    </row>
    <row r="40" s="1" customFormat="1" ht="21" customHeight="1" spans="1:11">
      <c r="A40" s="27"/>
      <c r="B40" s="27"/>
      <c r="C40" s="27" t="s">
        <v>219</v>
      </c>
      <c r="D40" s="12">
        <v>16.7</v>
      </c>
      <c r="E40" s="12">
        <v>10</v>
      </c>
      <c r="F40" s="12">
        <v>5</v>
      </c>
      <c r="G40" s="12"/>
      <c r="H40" s="12"/>
      <c r="I40" s="27"/>
      <c r="J40" s="27"/>
      <c r="K40" s="13">
        <f t="shared" si="1"/>
        <v>31.7</v>
      </c>
    </row>
    <row r="41" s="1" customFormat="1" ht="21" customHeight="1" spans="1:11">
      <c r="A41" s="27" t="s">
        <v>220</v>
      </c>
      <c r="B41" s="27">
        <v>11.5</v>
      </c>
      <c r="C41" s="38" t="s">
        <v>221</v>
      </c>
      <c r="D41" s="12">
        <v>0</v>
      </c>
      <c r="E41" s="12">
        <v>0</v>
      </c>
      <c r="F41" s="12">
        <v>5</v>
      </c>
      <c r="G41" s="12"/>
      <c r="H41" s="12"/>
      <c r="I41" s="27"/>
      <c r="J41" s="27"/>
      <c r="K41" s="13">
        <f t="shared" si="1"/>
        <v>5</v>
      </c>
    </row>
    <row r="42" s="1" customFormat="1" ht="21" customHeight="1" spans="1:11">
      <c r="A42" s="27"/>
      <c r="B42" s="27"/>
      <c r="C42" s="38" t="s">
        <v>222</v>
      </c>
      <c r="D42" s="12">
        <v>16.7</v>
      </c>
      <c r="E42" s="12">
        <v>10</v>
      </c>
      <c r="F42" s="12">
        <v>5</v>
      </c>
      <c r="G42" s="12"/>
      <c r="H42" s="12"/>
      <c r="I42" s="27"/>
      <c r="J42" s="27"/>
      <c r="K42" s="13">
        <f t="shared" si="1"/>
        <v>31.7</v>
      </c>
    </row>
    <row r="43" s="1" customFormat="1" ht="21" customHeight="1" spans="1:11">
      <c r="A43" s="27"/>
      <c r="B43" s="27"/>
      <c r="C43" s="38" t="s">
        <v>223</v>
      </c>
      <c r="D43" s="12">
        <v>16.7</v>
      </c>
      <c r="E43" s="12">
        <v>5</v>
      </c>
      <c r="F43" s="12">
        <v>5</v>
      </c>
      <c r="G43" s="12"/>
      <c r="H43" s="12"/>
      <c r="I43" s="27"/>
      <c r="J43" s="27"/>
      <c r="K43" s="13">
        <f t="shared" si="1"/>
        <v>26.7</v>
      </c>
    </row>
    <row r="44" s="1" customFormat="1" ht="21" customHeight="1" spans="1:11">
      <c r="A44" s="27"/>
      <c r="B44" s="27"/>
      <c r="C44" s="38" t="s">
        <v>224</v>
      </c>
      <c r="D44" s="12">
        <v>0</v>
      </c>
      <c r="E44" s="12">
        <v>0</v>
      </c>
      <c r="F44" s="12">
        <v>5</v>
      </c>
      <c r="G44" s="12"/>
      <c r="H44" s="12"/>
      <c r="I44" s="27"/>
      <c r="J44" s="27"/>
      <c r="K44" s="13">
        <f t="shared" si="1"/>
        <v>5</v>
      </c>
    </row>
    <row r="45" s="1" customFormat="1" ht="21" customHeight="1" spans="1:11">
      <c r="A45" s="39" t="s">
        <v>225</v>
      </c>
      <c r="B45" s="39">
        <v>10.5</v>
      </c>
      <c r="C45" s="27" t="s">
        <v>226</v>
      </c>
      <c r="D45" s="12">
        <v>16.7</v>
      </c>
      <c r="E45" s="12">
        <v>5</v>
      </c>
      <c r="F45" s="12">
        <v>5</v>
      </c>
      <c r="G45" s="12"/>
      <c r="H45" s="12"/>
      <c r="I45" s="27"/>
      <c r="J45" s="27"/>
      <c r="K45" s="13">
        <f t="shared" si="1"/>
        <v>26.7</v>
      </c>
    </row>
    <row r="46" s="1" customFormat="1" ht="21" customHeight="1" spans="1:11">
      <c r="A46" s="39"/>
      <c r="B46" s="39"/>
      <c r="C46" s="27" t="s">
        <v>228</v>
      </c>
      <c r="D46" s="12">
        <v>16.7</v>
      </c>
      <c r="E46" s="12">
        <v>5</v>
      </c>
      <c r="F46" s="12">
        <v>5</v>
      </c>
      <c r="G46" s="12"/>
      <c r="H46" s="12"/>
      <c r="I46" s="27"/>
      <c r="J46" s="27"/>
      <c r="K46" s="13">
        <f t="shared" si="1"/>
        <v>26.7</v>
      </c>
    </row>
    <row r="47" s="1" customFormat="1" ht="21" customHeight="1" spans="1:11">
      <c r="A47" s="39"/>
      <c r="B47" s="39"/>
      <c r="C47" s="27" t="s">
        <v>227</v>
      </c>
      <c r="D47" s="12">
        <v>16.7</v>
      </c>
      <c r="E47" s="12">
        <v>5</v>
      </c>
      <c r="F47" s="12">
        <v>5</v>
      </c>
      <c r="G47" s="12"/>
      <c r="H47" s="12"/>
      <c r="I47" s="27"/>
      <c r="J47" s="27"/>
      <c r="K47" s="13">
        <f t="shared" si="1"/>
        <v>26.7</v>
      </c>
    </row>
    <row r="48" s="1" customFormat="1" ht="21" customHeight="1" spans="1:11">
      <c r="A48" s="39"/>
      <c r="B48" s="39"/>
      <c r="C48" s="27" t="s">
        <v>229</v>
      </c>
      <c r="D48" s="12">
        <v>0</v>
      </c>
      <c r="E48" s="12">
        <v>5</v>
      </c>
      <c r="F48" s="12">
        <v>5</v>
      </c>
      <c r="G48" s="12"/>
      <c r="H48" s="12"/>
      <c r="I48" s="27"/>
      <c r="J48" s="40"/>
      <c r="K48" s="13">
        <f t="shared" si="1"/>
        <v>10</v>
      </c>
    </row>
    <row r="49" s="1" customFormat="1" ht="21" customHeight="1" spans="1:11">
      <c r="A49" s="39"/>
      <c r="B49" s="39"/>
      <c r="C49" s="27" t="s">
        <v>240</v>
      </c>
      <c r="D49" s="12">
        <v>16.7</v>
      </c>
      <c r="E49" s="12">
        <v>5</v>
      </c>
      <c r="F49" s="12">
        <v>5</v>
      </c>
      <c r="G49" s="12"/>
      <c r="H49" s="12"/>
      <c r="I49" s="27"/>
      <c r="J49" s="40"/>
      <c r="K49" s="13">
        <f t="shared" si="1"/>
        <v>26.7</v>
      </c>
    </row>
    <row r="50" s="1" customFormat="1" ht="21" customHeight="1" spans="1:11">
      <c r="A50" s="12" t="s">
        <v>230</v>
      </c>
      <c r="B50" s="12">
        <v>10.5</v>
      </c>
      <c r="C50" s="27" t="s">
        <v>231</v>
      </c>
      <c r="D50" s="27">
        <v>10.5</v>
      </c>
      <c r="E50" s="27">
        <v>10.5</v>
      </c>
      <c r="F50" s="12">
        <v>5</v>
      </c>
      <c r="G50" s="27"/>
      <c r="H50" s="27"/>
      <c r="I50" s="27"/>
      <c r="J50" s="40"/>
      <c r="K50" s="13">
        <f t="shared" si="1"/>
        <v>26</v>
      </c>
    </row>
    <row r="51" s="1" customFormat="1" ht="21" customHeight="1" spans="1:11">
      <c r="A51" s="27" t="s">
        <v>232</v>
      </c>
      <c r="B51" s="27">
        <v>12</v>
      </c>
      <c r="C51" s="27" t="s">
        <v>233</v>
      </c>
      <c r="D51" s="27">
        <v>12</v>
      </c>
      <c r="E51" s="27">
        <v>12</v>
      </c>
      <c r="F51" s="27">
        <v>0</v>
      </c>
      <c r="G51" s="27"/>
      <c r="H51" s="27"/>
      <c r="I51" s="27"/>
      <c r="J51" s="40"/>
      <c r="K51" s="13">
        <f t="shared" si="1"/>
        <v>24</v>
      </c>
    </row>
    <row r="52" s="1" customFormat="1" ht="21" customHeight="1" spans="1:11">
      <c r="A52" s="38"/>
      <c r="B52" s="41"/>
      <c r="C52" s="41"/>
      <c r="D52" s="41"/>
      <c r="E52" s="41"/>
      <c r="F52" s="30"/>
      <c r="G52" s="41"/>
      <c r="H52" s="41"/>
      <c r="I52" s="41"/>
      <c r="J52" s="41"/>
      <c r="K52" s="31">
        <f>SUM(K31:K51)</f>
        <v>609.1</v>
      </c>
    </row>
    <row r="56" ht="26" customHeight="1" spans="1:11">
      <c r="A56" s="42" t="s">
        <v>402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ht="26" customHeight="1" spans="1:11">
      <c r="A57" s="70" t="s">
        <v>257</v>
      </c>
      <c r="B57" s="27"/>
      <c r="C57" s="27"/>
      <c r="D57" s="37" t="s">
        <v>404</v>
      </c>
      <c r="E57" s="36"/>
      <c r="F57" s="36"/>
      <c r="G57" s="36"/>
      <c r="H57" s="36"/>
      <c r="I57" s="36"/>
      <c r="J57" s="36"/>
      <c r="K57" s="36"/>
    </row>
    <row r="58" ht="26" customHeight="1" spans="1:11">
      <c r="A58" s="27" t="s">
        <v>200</v>
      </c>
      <c r="B58" s="27" t="s">
        <v>201</v>
      </c>
      <c r="C58" s="38" t="s">
        <v>202</v>
      </c>
      <c r="D58" s="12" t="s">
        <v>6</v>
      </c>
      <c r="E58" s="12" t="s">
        <v>6</v>
      </c>
      <c r="F58" s="27" t="s">
        <v>6</v>
      </c>
      <c r="G58" s="27" t="s">
        <v>6</v>
      </c>
      <c r="H58" s="27" t="s">
        <v>6</v>
      </c>
      <c r="I58" s="27" t="s">
        <v>6</v>
      </c>
      <c r="J58" s="27" t="s">
        <v>203</v>
      </c>
      <c r="K58" s="27" t="s">
        <v>204</v>
      </c>
    </row>
    <row r="59" ht="26" customHeight="1" spans="1:11">
      <c r="A59" s="27" t="s">
        <v>205</v>
      </c>
      <c r="B59" s="27">
        <v>12</v>
      </c>
      <c r="C59" s="38" t="s">
        <v>206</v>
      </c>
      <c r="D59" s="12">
        <v>12</v>
      </c>
      <c r="E59" s="12">
        <v>12</v>
      </c>
      <c r="F59" s="12">
        <v>20</v>
      </c>
      <c r="G59" s="12"/>
      <c r="H59" s="12"/>
      <c r="I59" s="12"/>
      <c r="J59" s="12"/>
      <c r="K59" s="27">
        <f t="shared" ref="K59:K79" si="2">SUM(D59:J59)</f>
        <v>44</v>
      </c>
    </row>
    <row r="60" ht="26" customHeight="1" spans="1:11">
      <c r="A60" s="21" t="s">
        <v>207</v>
      </c>
      <c r="B60" s="27">
        <v>11.5</v>
      </c>
      <c r="C60" s="38" t="s">
        <v>208</v>
      </c>
      <c r="D60" s="12">
        <v>17.5</v>
      </c>
      <c r="E60" s="12">
        <v>17.5</v>
      </c>
      <c r="F60" s="12">
        <v>20</v>
      </c>
      <c r="G60" s="12"/>
      <c r="H60" s="12"/>
      <c r="I60" s="12"/>
      <c r="J60" s="12"/>
      <c r="K60" s="27">
        <f t="shared" si="2"/>
        <v>55</v>
      </c>
    </row>
    <row r="61" ht="26" customHeight="1" spans="1:11">
      <c r="A61" s="21"/>
      <c r="B61" s="27"/>
      <c r="C61" s="38" t="s">
        <v>210</v>
      </c>
      <c r="D61" s="12">
        <v>17.5</v>
      </c>
      <c r="E61" s="12">
        <v>17.5</v>
      </c>
      <c r="F61" s="12">
        <v>20</v>
      </c>
      <c r="G61" s="12"/>
      <c r="H61" s="12"/>
      <c r="I61" s="12"/>
      <c r="J61" s="12"/>
      <c r="K61" s="27">
        <f t="shared" si="2"/>
        <v>55</v>
      </c>
    </row>
    <row r="62" ht="26" customHeight="1" spans="1:11">
      <c r="A62" s="16" t="s">
        <v>237</v>
      </c>
      <c r="B62" s="13">
        <v>11.5</v>
      </c>
      <c r="C62" s="17" t="s">
        <v>212</v>
      </c>
      <c r="D62" s="27">
        <v>10</v>
      </c>
      <c r="E62" s="27">
        <v>10</v>
      </c>
      <c r="F62" s="12">
        <v>20</v>
      </c>
      <c r="G62" s="27"/>
      <c r="H62" s="27"/>
      <c r="I62" s="27"/>
      <c r="J62" s="12"/>
      <c r="K62" s="27">
        <f t="shared" si="2"/>
        <v>40</v>
      </c>
    </row>
    <row r="63" ht="26" customHeight="1" spans="1:11">
      <c r="A63" s="18"/>
      <c r="B63" s="13"/>
      <c r="C63" s="1" t="s">
        <v>215</v>
      </c>
      <c r="D63" s="27">
        <v>11.5</v>
      </c>
      <c r="E63" s="27">
        <v>11.5</v>
      </c>
      <c r="F63" s="12">
        <v>0</v>
      </c>
      <c r="G63" s="12"/>
      <c r="H63" s="12"/>
      <c r="I63" s="12"/>
      <c r="J63" s="12"/>
      <c r="K63" s="27">
        <f t="shared" si="2"/>
        <v>23</v>
      </c>
    </row>
    <row r="64" ht="26" customHeight="1" spans="1:11">
      <c r="A64" s="19" t="s">
        <v>238</v>
      </c>
      <c r="B64" s="13"/>
      <c r="C64" s="17" t="s">
        <v>213</v>
      </c>
      <c r="D64" s="27">
        <v>10</v>
      </c>
      <c r="E64" s="27">
        <v>10</v>
      </c>
      <c r="F64" s="12">
        <v>22</v>
      </c>
      <c r="G64" s="27"/>
      <c r="H64" s="27"/>
      <c r="I64" s="27"/>
      <c r="J64" s="12"/>
      <c r="K64" s="27">
        <f t="shared" si="2"/>
        <v>42</v>
      </c>
    </row>
    <row r="65" ht="26" customHeight="1" spans="1:11">
      <c r="A65" s="20"/>
      <c r="B65" s="13"/>
      <c r="C65" s="17" t="s">
        <v>216</v>
      </c>
      <c r="D65" s="27">
        <v>10</v>
      </c>
      <c r="E65" s="27">
        <v>10</v>
      </c>
      <c r="F65" s="12">
        <v>0</v>
      </c>
      <c r="G65" s="27"/>
      <c r="H65" s="27"/>
      <c r="I65" s="27"/>
      <c r="J65" s="12"/>
      <c r="K65" s="27">
        <f t="shared" si="2"/>
        <v>20</v>
      </c>
    </row>
    <row r="66" ht="26" customHeight="1" spans="1:11">
      <c r="A66" s="21" t="s">
        <v>239</v>
      </c>
      <c r="B66" s="13"/>
      <c r="C66" s="13" t="s">
        <v>214</v>
      </c>
      <c r="D66" s="27">
        <v>11.5</v>
      </c>
      <c r="E66" s="27">
        <v>11.5</v>
      </c>
      <c r="F66" s="12">
        <v>0</v>
      </c>
      <c r="G66" s="12"/>
      <c r="H66" s="12"/>
      <c r="I66" s="12"/>
      <c r="J66" s="12"/>
      <c r="K66" s="27">
        <f t="shared" si="2"/>
        <v>23</v>
      </c>
    </row>
    <row r="67" ht="26" customHeight="1" spans="1:11">
      <c r="A67" s="27" t="s">
        <v>217</v>
      </c>
      <c r="B67" s="27">
        <v>10.5</v>
      </c>
      <c r="C67" s="27" t="s">
        <v>218</v>
      </c>
      <c r="D67" s="27">
        <v>10</v>
      </c>
      <c r="E67" s="27">
        <v>10</v>
      </c>
      <c r="F67" s="12">
        <v>0</v>
      </c>
      <c r="G67" s="27"/>
      <c r="H67" s="27"/>
      <c r="I67" s="27"/>
      <c r="J67" s="12"/>
      <c r="K67" s="27">
        <f t="shared" si="2"/>
        <v>20</v>
      </c>
    </row>
    <row r="68" ht="26" customHeight="1" spans="1:11">
      <c r="A68" s="27"/>
      <c r="B68" s="27"/>
      <c r="C68" s="27" t="s">
        <v>219</v>
      </c>
      <c r="D68" s="27">
        <v>10</v>
      </c>
      <c r="E68" s="27">
        <v>10</v>
      </c>
      <c r="F68" s="12">
        <v>0</v>
      </c>
      <c r="G68" s="27"/>
      <c r="H68" s="27"/>
      <c r="I68" s="27"/>
      <c r="J68" s="12"/>
      <c r="K68" s="27">
        <f t="shared" si="2"/>
        <v>20</v>
      </c>
    </row>
    <row r="69" ht="26" customHeight="1" spans="1:11">
      <c r="A69" s="27" t="s">
        <v>220</v>
      </c>
      <c r="B69" s="27">
        <v>11.5</v>
      </c>
      <c r="C69" s="38" t="s">
        <v>221</v>
      </c>
      <c r="D69" s="12">
        <v>29</v>
      </c>
      <c r="E69" s="12">
        <v>15</v>
      </c>
      <c r="F69" s="12">
        <v>10</v>
      </c>
      <c r="G69" s="12"/>
      <c r="H69" s="12"/>
      <c r="I69" s="12"/>
      <c r="J69" s="12"/>
      <c r="K69" s="27">
        <f t="shared" si="2"/>
        <v>54</v>
      </c>
    </row>
    <row r="70" ht="26" customHeight="1" spans="1:11">
      <c r="A70" s="27"/>
      <c r="B70" s="27"/>
      <c r="C70" s="38" t="s">
        <v>222</v>
      </c>
      <c r="D70" s="12">
        <v>9</v>
      </c>
      <c r="E70" s="12">
        <v>10</v>
      </c>
      <c r="F70" s="12">
        <v>10</v>
      </c>
      <c r="G70" s="12"/>
      <c r="H70" s="12"/>
      <c r="I70" s="12"/>
      <c r="J70" s="12"/>
      <c r="K70" s="27">
        <f t="shared" si="2"/>
        <v>29</v>
      </c>
    </row>
    <row r="71" ht="26" customHeight="1" spans="1:11">
      <c r="A71" s="27"/>
      <c r="B71" s="27"/>
      <c r="C71" s="38" t="s">
        <v>223</v>
      </c>
      <c r="D71" s="12">
        <v>0</v>
      </c>
      <c r="E71" s="12">
        <v>0</v>
      </c>
      <c r="F71" s="12">
        <v>0</v>
      </c>
      <c r="G71" s="12"/>
      <c r="H71" s="12"/>
      <c r="I71" s="12"/>
      <c r="J71" s="12"/>
      <c r="K71" s="27">
        <f t="shared" si="2"/>
        <v>0</v>
      </c>
    </row>
    <row r="72" ht="26" customHeight="1" spans="1:11">
      <c r="A72" s="27"/>
      <c r="B72" s="27"/>
      <c r="C72" s="38" t="s">
        <v>224</v>
      </c>
      <c r="D72" s="12">
        <v>10</v>
      </c>
      <c r="E72" s="12">
        <v>10</v>
      </c>
      <c r="F72" s="12">
        <v>0</v>
      </c>
      <c r="G72" s="12"/>
      <c r="H72" s="12"/>
      <c r="I72" s="12"/>
      <c r="J72" s="12"/>
      <c r="K72" s="27">
        <f t="shared" si="2"/>
        <v>20</v>
      </c>
    </row>
    <row r="73" ht="26" customHeight="1" spans="1:11">
      <c r="A73" s="39" t="s">
        <v>225</v>
      </c>
      <c r="B73" s="39">
        <v>10.5</v>
      </c>
      <c r="C73" s="27" t="s">
        <v>226</v>
      </c>
      <c r="D73" s="12">
        <v>12</v>
      </c>
      <c r="E73" s="12">
        <v>12</v>
      </c>
      <c r="F73" s="12">
        <v>20</v>
      </c>
      <c r="G73" s="12"/>
      <c r="H73" s="12"/>
      <c r="I73" s="12"/>
      <c r="J73" s="12"/>
      <c r="K73" s="27">
        <f t="shared" si="2"/>
        <v>44</v>
      </c>
    </row>
    <row r="74" ht="26" customHeight="1" spans="1:11">
      <c r="A74" s="39"/>
      <c r="B74" s="39"/>
      <c r="C74" s="27" t="s">
        <v>228</v>
      </c>
      <c r="D74" s="12">
        <v>10</v>
      </c>
      <c r="E74" s="12">
        <v>10</v>
      </c>
      <c r="F74" s="12">
        <v>0</v>
      </c>
      <c r="G74" s="12"/>
      <c r="H74" s="12"/>
      <c r="I74" s="12"/>
      <c r="J74" s="12"/>
      <c r="K74" s="27">
        <f t="shared" si="2"/>
        <v>20</v>
      </c>
    </row>
    <row r="75" ht="26" customHeight="1" spans="1:11">
      <c r="A75" s="39"/>
      <c r="B75" s="39"/>
      <c r="C75" s="27" t="s">
        <v>289</v>
      </c>
      <c r="D75" s="12">
        <v>5</v>
      </c>
      <c r="E75" s="12">
        <v>5</v>
      </c>
      <c r="F75" s="12">
        <v>0</v>
      </c>
      <c r="G75" s="12"/>
      <c r="H75" s="12"/>
      <c r="I75" s="12"/>
      <c r="J75" s="12"/>
      <c r="K75" s="27">
        <f t="shared" si="2"/>
        <v>10</v>
      </c>
    </row>
    <row r="76" ht="26" customHeight="1" spans="1:11">
      <c r="A76" s="39"/>
      <c r="B76" s="39"/>
      <c r="C76" s="27" t="s">
        <v>229</v>
      </c>
      <c r="D76" s="12">
        <v>8</v>
      </c>
      <c r="E76" s="12">
        <v>8</v>
      </c>
      <c r="F76" s="12">
        <v>10</v>
      </c>
      <c r="G76" s="12"/>
      <c r="H76" s="12"/>
      <c r="I76" s="12"/>
      <c r="J76" s="12"/>
      <c r="K76" s="27">
        <f t="shared" si="2"/>
        <v>26</v>
      </c>
    </row>
    <row r="77" ht="26" customHeight="1" spans="1:11">
      <c r="A77" s="39"/>
      <c r="B77" s="39"/>
      <c r="C77" s="27" t="s">
        <v>240</v>
      </c>
      <c r="D77" s="12">
        <v>8</v>
      </c>
      <c r="E77" s="12">
        <v>8</v>
      </c>
      <c r="F77" s="12">
        <v>10</v>
      </c>
      <c r="G77" s="12"/>
      <c r="H77" s="12"/>
      <c r="I77" s="12"/>
      <c r="J77" s="12"/>
      <c r="K77" s="27">
        <f t="shared" si="2"/>
        <v>26</v>
      </c>
    </row>
    <row r="78" ht="26" customHeight="1" spans="1:11">
      <c r="A78" s="12" t="s">
        <v>230</v>
      </c>
      <c r="B78" s="12">
        <v>10.5</v>
      </c>
      <c r="C78" s="27" t="s">
        <v>231</v>
      </c>
      <c r="D78" s="27">
        <v>10.5</v>
      </c>
      <c r="E78" s="27">
        <v>10.5</v>
      </c>
      <c r="F78" s="27">
        <v>20</v>
      </c>
      <c r="G78" s="12"/>
      <c r="H78" s="12"/>
      <c r="I78" s="12"/>
      <c r="J78" s="27"/>
      <c r="K78" s="27">
        <f t="shared" si="2"/>
        <v>41</v>
      </c>
    </row>
    <row r="79" ht="26" customHeight="1" spans="1:11">
      <c r="A79" s="27" t="s">
        <v>232</v>
      </c>
      <c r="B79" s="27">
        <v>12</v>
      </c>
      <c r="C79" s="27" t="s">
        <v>233</v>
      </c>
      <c r="D79" s="27">
        <v>12</v>
      </c>
      <c r="E79" s="27">
        <v>12</v>
      </c>
      <c r="F79" s="27">
        <v>20</v>
      </c>
      <c r="G79" s="27"/>
      <c r="H79" s="27"/>
      <c r="I79" s="27"/>
      <c r="J79" s="27"/>
      <c r="K79" s="27">
        <f t="shared" si="2"/>
        <v>44</v>
      </c>
    </row>
    <row r="80" ht="26" customHeight="1" spans="1:11">
      <c r="A80" s="38"/>
      <c r="B80" s="41"/>
      <c r="C80" s="41"/>
      <c r="D80" s="41"/>
      <c r="E80" s="41"/>
      <c r="F80" s="41"/>
      <c r="G80" s="41"/>
      <c r="H80" s="41"/>
      <c r="I80" s="41"/>
      <c r="J80" s="40"/>
      <c r="K80" s="27">
        <f>SUM(K59:K79)</f>
        <v>656</v>
      </c>
    </row>
    <row r="83" s="1" customFormat="1" ht="21" customHeight="1" spans="1:11">
      <c r="A83" s="32" t="s">
        <v>402</v>
      </c>
      <c r="B83" s="33"/>
      <c r="C83" s="33"/>
      <c r="D83" s="33"/>
      <c r="E83" s="33"/>
      <c r="F83" s="33"/>
      <c r="G83" s="33"/>
      <c r="H83" s="33"/>
      <c r="I83" s="33"/>
      <c r="J83" s="33"/>
      <c r="K83" s="34"/>
    </row>
    <row r="84" s="1" customFormat="1" ht="21" customHeight="1" spans="1:11">
      <c r="A84" s="35" t="s">
        <v>259</v>
      </c>
      <c r="B84" s="36"/>
      <c r="C84" s="36"/>
      <c r="D84" s="37" t="s">
        <v>405</v>
      </c>
      <c r="E84" s="36"/>
      <c r="F84" s="36"/>
      <c r="G84" s="36"/>
      <c r="H84" s="36"/>
      <c r="I84" s="36"/>
      <c r="J84" s="36"/>
      <c r="K84" s="36"/>
    </row>
    <row r="85" s="1" customFormat="1" ht="21" customHeight="1" spans="1:11">
      <c r="A85" s="27" t="s">
        <v>200</v>
      </c>
      <c r="B85" s="27" t="s">
        <v>201</v>
      </c>
      <c r="C85" s="38" t="s">
        <v>202</v>
      </c>
      <c r="D85" s="12" t="s">
        <v>6</v>
      </c>
      <c r="E85" s="12" t="s">
        <v>6</v>
      </c>
      <c r="F85" s="12" t="s">
        <v>6</v>
      </c>
      <c r="G85" s="27" t="s">
        <v>6</v>
      </c>
      <c r="H85" s="27" t="s">
        <v>6</v>
      </c>
      <c r="I85" s="27" t="s">
        <v>6</v>
      </c>
      <c r="J85" s="27" t="s">
        <v>203</v>
      </c>
      <c r="K85" s="27" t="s">
        <v>204</v>
      </c>
    </row>
    <row r="86" s="1" customFormat="1" ht="21" customHeight="1" spans="1:11">
      <c r="A86" s="27" t="s">
        <v>205</v>
      </c>
      <c r="B86" s="27">
        <v>12</v>
      </c>
      <c r="C86" s="38" t="s">
        <v>206</v>
      </c>
      <c r="D86" s="121">
        <v>12</v>
      </c>
      <c r="E86" s="121">
        <v>10</v>
      </c>
      <c r="F86" s="149"/>
      <c r="G86" s="90"/>
      <c r="H86" s="12"/>
      <c r="I86" s="27"/>
      <c r="J86" s="27"/>
      <c r="K86" s="13">
        <f t="shared" ref="K86:K106" si="3">SUM(D86:J86)</f>
        <v>22</v>
      </c>
    </row>
    <row r="87" s="1" customFormat="1" ht="21" customHeight="1" spans="1:11">
      <c r="A87" s="21" t="s">
        <v>207</v>
      </c>
      <c r="B87" s="27">
        <v>11.5</v>
      </c>
      <c r="C87" s="38" t="s">
        <v>208</v>
      </c>
      <c r="D87" s="121">
        <v>17.5</v>
      </c>
      <c r="E87" s="121">
        <v>0</v>
      </c>
      <c r="F87" s="149"/>
      <c r="G87" s="90"/>
      <c r="H87" s="12"/>
      <c r="I87" s="27"/>
      <c r="J87" s="27"/>
      <c r="K87" s="13">
        <f t="shared" si="3"/>
        <v>17.5</v>
      </c>
    </row>
    <row r="88" s="1" customFormat="1" ht="21" customHeight="1" spans="1:11">
      <c r="A88" s="21"/>
      <c r="B88" s="27"/>
      <c r="C88" s="38" t="s">
        <v>210</v>
      </c>
      <c r="D88" s="121">
        <v>17.5</v>
      </c>
      <c r="E88" s="121">
        <v>10</v>
      </c>
      <c r="F88" s="149"/>
      <c r="G88" s="90"/>
      <c r="H88" s="12"/>
      <c r="I88" s="27"/>
      <c r="J88" s="27"/>
      <c r="K88" s="13">
        <f t="shared" si="3"/>
        <v>27.5</v>
      </c>
    </row>
    <row r="89" s="1" customFormat="1" ht="21" customHeight="1" spans="1:11">
      <c r="A89" s="16" t="s">
        <v>237</v>
      </c>
      <c r="B89" s="13">
        <v>11.5</v>
      </c>
      <c r="C89" s="17" t="s">
        <v>212</v>
      </c>
      <c r="D89" s="121">
        <v>15</v>
      </c>
      <c r="E89" s="121">
        <v>0</v>
      </c>
      <c r="F89" s="39"/>
      <c r="G89" s="12"/>
      <c r="H89" s="12"/>
      <c r="I89" s="27"/>
      <c r="J89" s="27"/>
      <c r="K89" s="13">
        <f t="shared" si="3"/>
        <v>15</v>
      </c>
    </row>
    <row r="90" s="1" customFormat="1" ht="21" customHeight="1" spans="1:11">
      <c r="A90" s="18"/>
      <c r="B90" s="13"/>
      <c r="C90" s="1" t="s">
        <v>215</v>
      </c>
      <c r="D90" s="138">
        <v>0</v>
      </c>
      <c r="E90" s="139">
        <v>10</v>
      </c>
      <c r="F90" s="12"/>
      <c r="G90" s="12"/>
      <c r="H90" s="12"/>
      <c r="I90" s="27"/>
      <c r="J90" s="27"/>
      <c r="K90" s="13">
        <f t="shared" si="3"/>
        <v>10</v>
      </c>
    </row>
    <row r="91" s="1" customFormat="1" ht="21" customHeight="1" spans="1:11">
      <c r="A91" s="19" t="s">
        <v>238</v>
      </c>
      <c r="B91" s="13"/>
      <c r="C91" s="17" t="s">
        <v>213</v>
      </c>
      <c r="D91" s="140">
        <v>11.5</v>
      </c>
      <c r="E91" s="121">
        <v>0</v>
      </c>
      <c r="F91" s="12"/>
      <c r="G91" s="12"/>
      <c r="H91" s="12"/>
      <c r="I91" s="27"/>
      <c r="J91" s="27"/>
      <c r="K91" s="13">
        <f t="shared" si="3"/>
        <v>11.5</v>
      </c>
    </row>
    <row r="92" s="1" customFormat="1" ht="21" customHeight="1" spans="1:11">
      <c r="A92" s="20"/>
      <c r="B92" s="13"/>
      <c r="C92" s="17" t="s">
        <v>216</v>
      </c>
      <c r="D92" s="68">
        <v>0</v>
      </c>
      <c r="E92" s="210">
        <v>10</v>
      </c>
      <c r="F92" s="12"/>
      <c r="G92" s="12"/>
      <c r="H92" s="12"/>
      <c r="I92" s="12"/>
      <c r="J92" s="27"/>
      <c r="K92" s="13">
        <f t="shared" si="3"/>
        <v>10</v>
      </c>
    </row>
    <row r="93" s="1" customFormat="1" ht="21" customHeight="1" spans="1:11">
      <c r="A93" s="21" t="s">
        <v>239</v>
      </c>
      <c r="B93" s="13"/>
      <c r="C93" s="13" t="s">
        <v>214</v>
      </c>
      <c r="D93" s="68">
        <v>11.5</v>
      </c>
      <c r="E93" s="210">
        <v>5</v>
      </c>
      <c r="F93" s="12"/>
      <c r="G93" s="12"/>
      <c r="H93" s="12"/>
      <c r="I93" s="12"/>
      <c r="J93" s="27"/>
      <c r="K93" s="13">
        <f t="shared" si="3"/>
        <v>16.5</v>
      </c>
    </row>
    <row r="94" s="1" customFormat="1" ht="21" customHeight="1" spans="1:11">
      <c r="A94" s="27" t="s">
        <v>217</v>
      </c>
      <c r="B94" s="27">
        <v>10.5</v>
      </c>
      <c r="C94" s="27" t="s">
        <v>218</v>
      </c>
      <c r="D94" s="68">
        <v>0</v>
      </c>
      <c r="E94" s="210">
        <v>10</v>
      </c>
      <c r="F94" s="12"/>
      <c r="G94" s="12"/>
      <c r="H94" s="12"/>
      <c r="I94" s="27"/>
      <c r="J94" s="27"/>
      <c r="K94" s="13">
        <f t="shared" si="3"/>
        <v>10</v>
      </c>
    </row>
    <row r="95" s="1" customFormat="1" ht="21" customHeight="1" spans="1:11">
      <c r="A95" s="27"/>
      <c r="B95" s="27"/>
      <c r="C95" s="27" t="s">
        <v>219</v>
      </c>
      <c r="D95" s="68">
        <v>0</v>
      </c>
      <c r="E95" s="210">
        <v>5</v>
      </c>
      <c r="F95" s="12"/>
      <c r="G95" s="12"/>
      <c r="H95" s="12"/>
      <c r="I95" s="27"/>
      <c r="J95" s="27"/>
      <c r="K95" s="13">
        <f t="shared" si="3"/>
        <v>5</v>
      </c>
    </row>
    <row r="96" s="1" customFormat="1" ht="21" customHeight="1" spans="1:11">
      <c r="A96" s="27" t="s">
        <v>220</v>
      </c>
      <c r="B96" s="27">
        <v>11.5</v>
      </c>
      <c r="C96" s="38" t="s">
        <v>221</v>
      </c>
      <c r="D96" s="121">
        <v>20</v>
      </c>
      <c r="E96" s="210">
        <v>10</v>
      </c>
      <c r="F96" s="12"/>
      <c r="G96" s="12"/>
      <c r="H96" s="12"/>
      <c r="I96" s="27"/>
      <c r="J96" s="27"/>
      <c r="K96" s="13">
        <f t="shared" si="3"/>
        <v>30</v>
      </c>
    </row>
    <row r="97" s="1" customFormat="1" ht="21" customHeight="1" spans="1:11">
      <c r="A97" s="27"/>
      <c r="B97" s="27"/>
      <c r="C97" s="38" t="s">
        <v>222</v>
      </c>
      <c r="D97" s="121">
        <v>10</v>
      </c>
      <c r="E97" s="210">
        <v>10</v>
      </c>
      <c r="F97" s="90"/>
      <c r="G97" s="12"/>
      <c r="H97" s="12"/>
      <c r="I97" s="27"/>
      <c r="J97" s="27"/>
      <c r="K97" s="13">
        <f t="shared" si="3"/>
        <v>20</v>
      </c>
    </row>
    <row r="98" s="1" customFormat="1" ht="21" customHeight="1" spans="1:11">
      <c r="A98" s="27"/>
      <c r="B98" s="27"/>
      <c r="C98" s="38" t="s">
        <v>223</v>
      </c>
      <c r="D98" s="121">
        <v>10</v>
      </c>
      <c r="E98" s="210">
        <v>20</v>
      </c>
      <c r="F98" s="90"/>
      <c r="G98" s="12"/>
      <c r="H98" s="12"/>
      <c r="I98" s="27"/>
      <c r="J98" s="27"/>
      <c r="K98" s="13">
        <f t="shared" si="3"/>
        <v>30</v>
      </c>
    </row>
    <row r="99" s="1" customFormat="1" ht="21" customHeight="1" spans="1:11">
      <c r="A99" s="27"/>
      <c r="B99" s="27"/>
      <c r="C99" s="38" t="s">
        <v>224</v>
      </c>
      <c r="D99" s="68">
        <v>153</v>
      </c>
      <c r="E99" s="121">
        <v>10</v>
      </c>
      <c r="F99" s="12"/>
      <c r="G99" s="12"/>
      <c r="H99" s="12"/>
      <c r="I99" s="27"/>
      <c r="J99" s="27"/>
      <c r="K99" s="13">
        <f t="shared" si="3"/>
        <v>163</v>
      </c>
    </row>
    <row r="100" s="1" customFormat="1" ht="21" customHeight="1" spans="1:11">
      <c r="A100" s="39" t="s">
        <v>225</v>
      </c>
      <c r="B100" s="39">
        <v>10.5</v>
      </c>
      <c r="C100" s="27" t="s">
        <v>226</v>
      </c>
      <c r="D100" s="121">
        <v>15</v>
      </c>
      <c r="E100" s="121">
        <v>10</v>
      </c>
      <c r="F100" s="12"/>
      <c r="G100" s="12"/>
      <c r="H100" s="12"/>
      <c r="I100" s="27"/>
      <c r="J100" s="27"/>
      <c r="K100" s="13">
        <f t="shared" si="3"/>
        <v>25</v>
      </c>
    </row>
    <row r="101" s="1" customFormat="1" ht="21" customHeight="1" spans="1:11">
      <c r="A101" s="39"/>
      <c r="B101" s="39"/>
      <c r="C101" s="27" t="s">
        <v>228</v>
      </c>
      <c r="D101" s="68">
        <v>15</v>
      </c>
      <c r="E101" s="121">
        <v>10</v>
      </c>
      <c r="F101" s="12"/>
      <c r="G101" s="12"/>
      <c r="H101" s="12"/>
      <c r="I101" s="27"/>
      <c r="J101" s="27"/>
      <c r="K101" s="13">
        <f t="shared" si="3"/>
        <v>25</v>
      </c>
    </row>
    <row r="102" s="1" customFormat="1" ht="21" customHeight="1" spans="1:11">
      <c r="A102" s="39"/>
      <c r="B102" s="39"/>
      <c r="C102" s="27" t="s">
        <v>227</v>
      </c>
      <c r="D102" s="121">
        <v>15</v>
      </c>
      <c r="E102" s="121">
        <v>0</v>
      </c>
      <c r="F102" s="12"/>
      <c r="G102" s="12"/>
      <c r="H102" s="12"/>
      <c r="I102" s="27"/>
      <c r="J102" s="27"/>
      <c r="K102" s="13">
        <f t="shared" si="3"/>
        <v>15</v>
      </c>
    </row>
    <row r="103" s="1" customFormat="1" ht="21" customHeight="1" spans="1:11">
      <c r="A103" s="39"/>
      <c r="B103" s="39"/>
      <c r="C103" s="27" t="s">
        <v>229</v>
      </c>
      <c r="D103" s="121">
        <v>15</v>
      </c>
      <c r="E103" s="121">
        <v>5</v>
      </c>
      <c r="F103" s="12"/>
      <c r="G103" s="12"/>
      <c r="H103" s="12"/>
      <c r="I103" s="27"/>
      <c r="J103" s="40"/>
      <c r="K103" s="13">
        <f t="shared" si="3"/>
        <v>20</v>
      </c>
    </row>
    <row r="104" s="1" customFormat="1" ht="21" customHeight="1" spans="1:11">
      <c r="A104" s="39"/>
      <c r="B104" s="39"/>
      <c r="C104" s="27" t="s">
        <v>240</v>
      </c>
      <c r="D104" s="121">
        <v>12</v>
      </c>
      <c r="E104" s="121">
        <v>0</v>
      </c>
      <c r="F104" s="12"/>
      <c r="G104" s="12"/>
      <c r="H104" s="12"/>
      <c r="I104" s="27"/>
      <c r="J104" s="40"/>
      <c r="K104" s="13">
        <f t="shared" si="3"/>
        <v>12</v>
      </c>
    </row>
    <row r="105" s="1" customFormat="1" ht="21" customHeight="1" spans="1:11">
      <c r="A105" s="12" t="s">
        <v>230</v>
      </c>
      <c r="B105" s="12">
        <v>10.5</v>
      </c>
      <c r="C105" s="27" t="s">
        <v>231</v>
      </c>
      <c r="D105" s="121">
        <v>10.5</v>
      </c>
      <c r="E105" s="121">
        <v>10</v>
      </c>
      <c r="F105" s="12"/>
      <c r="G105" s="27"/>
      <c r="H105" s="27"/>
      <c r="I105" s="27"/>
      <c r="J105" s="40"/>
      <c r="K105" s="13">
        <f t="shared" si="3"/>
        <v>20.5</v>
      </c>
    </row>
    <row r="106" s="1" customFormat="1" ht="21" customHeight="1" spans="1:11">
      <c r="A106" s="27" t="s">
        <v>232</v>
      </c>
      <c r="B106" s="27">
        <v>12</v>
      </c>
      <c r="C106" s="27" t="s">
        <v>233</v>
      </c>
      <c r="D106" s="56">
        <v>12</v>
      </c>
      <c r="E106" s="56">
        <v>5</v>
      </c>
      <c r="F106" s="27"/>
      <c r="G106" s="27"/>
      <c r="H106" s="27"/>
      <c r="I106" s="27"/>
      <c r="J106" s="40"/>
      <c r="K106" s="13">
        <f t="shared" si="3"/>
        <v>17</v>
      </c>
    </row>
    <row r="107" s="1" customFormat="1" ht="21" customHeight="1" spans="1:11">
      <c r="A107" s="151"/>
      <c r="B107" s="151"/>
      <c r="C107" s="151"/>
      <c r="D107" s="151"/>
      <c r="E107" s="151"/>
      <c r="F107" s="152"/>
      <c r="G107" s="151"/>
      <c r="H107" s="151"/>
      <c r="I107" s="151"/>
      <c r="J107" s="151"/>
      <c r="K107" s="9">
        <f>SUM(K86:K106)</f>
        <v>522.5</v>
      </c>
    </row>
    <row r="110" s="102" customFormat="1" ht="23.25" customHeight="1" spans="1:11">
      <c r="A110" s="88" t="s">
        <v>406</v>
      </c>
      <c r="B110" s="88"/>
      <c r="C110" s="88"/>
      <c r="D110" s="88"/>
      <c r="E110" s="88"/>
      <c r="F110" s="88"/>
      <c r="G110" s="88"/>
      <c r="H110" s="88"/>
      <c r="I110" s="88"/>
      <c r="J110" s="88"/>
      <c r="K110" s="88"/>
    </row>
    <row r="111" s="102" customFormat="1" ht="23.25" customHeight="1" spans="1:11">
      <c r="A111" s="108" t="s">
        <v>235</v>
      </c>
      <c r="B111" s="108"/>
      <c r="C111" s="108"/>
      <c r="D111" s="109" t="s">
        <v>407</v>
      </c>
      <c r="E111" s="110"/>
      <c r="F111" s="108"/>
      <c r="G111" s="110"/>
      <c r="H111" s="108"/>
      <c r="I111" s="108"/>
      <c r="J111" s="108"/>
      <c r="K111" s="108"/>
    </row>
    <row r="112" s="102" customFormat="1" ht="23.25" customHeight="1" spans="1:11">
      <c r="A112" s="110" t="s">
        <v>200</v>
      </c>
      <c r="B112" s="110" t="s">
        <v>201</v>
      </c>
      <c r="C112" s="111" t="s">
        <v>202</v>
      </c>
      <c r="D112" s="112" t="s">
        <v>6</v>
      </c>
      <c r="E112" s="112" t="s">
        <v>6</v>
      </c>
      <c r="F112" s="110" t="s">
        <v>6</v>
      </c>
      <c r="G112" s="110" t="s">
        <v>6</v>
      </c>
      <c r="H112" s="110" t="s">
        <v>6</v>
      </c>
      <c r="I112" s="110" t="s">
        <v>6</v>
      </c>
      <c r="J112" s="110" t="s">
        <v>203</v>
      </c>
      <c r="K112" s="110" t="s">
        <v>204</v>
      </c>
    </row>
    <row r="113" s="102" customFormat="1" ht="23.25" customHeight="1" spans="1:11">
      <c r="A113" s="68" t="s">
        <v>205</v>
      </c>
      <c r="B113" s="68">
        <v>12</v>
      </c>
      <c r="C113" s="113" t="s">
        <v>206</v>
      </c>
      <c r="D113" s="114">
        <v>12</v>
      </c>
      <c r="E113" s="114">
        <v>10</v>
      </c>
      <c r="F113" s="114"/>
      <c r="G113" s="114"/>
      <c r="H113" s="114"/>
      <c r="I113" s="115"/>
      <c r="J113" s="115"/>
      <c r="K113" s="115">
        <f t="shared" ref="K113:K133" si="4">SUM(D113:J113)</f>
        <v>22</v>
      </c>
    </row>
    <row r="114" s="102" customFormat="1" ht="23.25" customHeight="1" spans="1:11">
      <c r="A114" s="116" t="s">
        <v>207</v>
      </c>
      <c r="B114" s="68">
        <v>11.5</v>
      </c>
      <c r="C114" s="117" t="s">
        <v>208</v>
      </c>
      <c r="D114" s="114">
        <v>17.5</v>
      </c>
      <c r="E114" s="114">
        <v>15</v>
      </c>
      <c r="F114" s="114"/>
      <c r="G114" s="114"/>
      <c r="H114" s="114"/>
      <c r="I114" s="115"/>
      <c r="J114" s="115"/>
      <c r="K114" s="115">
        <f t="shared" si="4"/>
        <v>32.5</v>
      </c>
    </row>
    <row r="115" s="102" customFormat="1" ht="23.25" customHeight="1" spans="1:11">
      <c r="A115" s="116"/>
      <c r="B115" s="68"/>
      <c r="C115" s="117" t="s">
        <v>210</v>
      </c>
      <c r="D115" s="114">
        <v>17.5</v>
      </c>
      <c r="E115" s="114">
        <v>15</v>
      </c>
      <c r="F115" s="114"/>
      <c r="G115" s="114"/>
      <c r="H115" s="114"/>
      <c r="I115" s="115"/>
      <c r="J115" s="115"/>
      <c r="K115" s="115">
        <f t="shared" si="4"/>
        <v>32.5</v>
      </c>
    </row>
    <row r="116" s="102" customFormat="1" ht="23.25" customHeight="1" spans="1:11">
      <c r="A116" s="79" t="s">
        <v>237</v>
      </c>
      <c r="B116" s="56">
        <v>11.5</v>
      </c>
      <c r="C116" s="61" t="s">
        <v>212</v>
      </c>
      <c r="D116" s="115">
        <v>0</v>
      </c>
      <c r="E116" s="115">
        <v>10</v>
      </c>
      <c r="F116" s="115"/>
      <c r="G116" s="115"/>
      <c r="H116" s="115"/>
      <c r="I116" s="115"/>
      <c r="J116" s="115"/>
      <c r="K116" s="115">
        <f t="shared" si="4"/>
        <v>10</v>
      </c>
    </row>
    <row r="117" s="102" customFormat="1" ht="23.25" customHeight="1" spans="1:11">
      <c r="A117" s="80"/>
      <c r="B117" s="56"/>
      <c r="C117" s="3" t="s">
        <v>215</v>
      </c>
      <c r="D117" s="115">
        <v>0</v>
      </c>
      <c r="E117" s="115">
        <v>10</v>
      </c>
      <c r="F117" s="115"/>
      <c r="G117" s="115"/>
      <c r="H117" s="115"/>
      <c r="I117" s="115"/>
      <c r="J117" s="115"/>
      <c r="K117" s="115">
        <f t="shared" si="4"/>
        <v>10</v>
      </c>
    </row>
    <row r="118" s="102" customFormat="1" ht="23.25" customHeight="1" spans="1:11">
      <c r="A118" s="81" t="s">
        <v>238</v>
      </c>
      <c r="B118" s="56"/>
      <c r="C118" s="61" t="s">
        <v>213</v>
      </c>
      <c r="D118" s="115">
        <v>0</v>
      </c>
      <c r="E118" s="115">
        <v>10</v>
      </c>
      <c r="F118" s="115"/>
      <c r="G118" s="115"/>
      <c r="H118" s="115"/>
      <c r="I118" s="115"/>
      <c r="J118" s="115"/>
      <c r="K118" s="115">
        <f t="shared" si="4"/>
        <v>10</v>
      </c>
    </row>
    <row r="119" s="102" customFormat="1" ht="23.25" customHeight="1" spans="1:11">
      <c r="A119" s="82"/>
      <c r="B119" s="56"/>
      <c r="C119" s="61" t="s">
        <v>216</v>
      </c>
      <c r="D119" s="115">
        <v>0</v>
      </c>
      <c r="E119" s="115">
        <v>10</v>
      </c>
      <c r="F119" s="115"/>
      <c r="G119" s="115"/>
      <c r="H119" s="115"/>
      <c r="I119" s="114"/>
      <c r="J119" s="115"/>
      <c r="K119" s="115">
        <f t="shared" si="4"/>
        <v>10</v>
      </c>
    </row>
    <row r="120" s="102" customFormat="1" ht="23.25" customHeight="1" spans="1:11">
      <c r="A120" s="84" t="s">
        <v>239</v>
      </c>
      <c r="B120" s="56"/>
      <c r="C120" s="56" t="s">
        <v>214</v>
      </c>
      <c r="D120" s="115">
        <v>0</v>
      </c>
      <c r="E120" s="115">
        <v>10</v>
      </c>
      <c r="F120" s="115"/>
      <c r="G120" s="115"/>
      <c r="H120" s="115"/>
      <c r="I120" s="114"/>
      <c r="J120" s="115"/>
      <c r="K120" s="115">
        <f t="shared" si="4"/>
        <v>10</v>
      </c>
    </row>
    <row r="121" s="102" customFormat="1" ht="23.25" customHeight="1" spans="1:11">
      <c r="A121" s="68" t="s">
        <v>217</v>
      </c>
      <c r="B121" s="68">
        <v>10.5</v>
      </c>
      <c r="C121" s="68" t="s">
        <v>218</v>
      </c>
      <c r="D121" s="115">
        <v>0</v>
      </c>
      <c r="E121" s="115">
        <v>10</v>
      </c>
      <c r="F121" s="115"/>
      <c r="G121" s="115"/>
      <c r="H121" s="115"/>
      <c r="I121" s="115"/>
      <c r="J121" s="115"/>
      <c r="K121" s="115">
        <f t="shared" si="4"/>
        <v>10</v>
      </c>
    </row>
    <row r="122" s="102" customFormat="1" ht="23.25" customHeight="1" spans="1:11">
      <c r="A122" s="68"/>
      <c r="B122" s="68"/>
      <c r="C122" s="68" t="s">
        <v>219</v>
      </c>
      <c r="D122" s="115">
        <v>0</v>
      </c>
      <c r="E122" s="115">
        <v>10</v>
      </c>
      <c r="F122" s="115"/>
      <c r="G122" s="115"/>
      <c r="H122" s="115"/>
      <c r="I122" s="115"/>
      <c r="J122" s="115"/>
      <c r="K122" s="115">
        <f t="shared" si="4"/>
        <v>10</v>
      </c>
    </row>
    <row r="123" s="102" customFormat="1" ht="23.25" customHeight="1" spans="1:11">
      <c r="A123" s="68" t="s">
        <v>220</v>
      </c>
      <c r="B123" s="68">
        <v>11.5</v>
      </c>
      <c r="C123" s="117" t="s">
        <v>221</v>
      </c>
      <c r="D123" s="115">
        <v>29</v>
      </c>
      <c r="E123" s="118">
        <v>10</v>
      </c>
      <c r="F123" s="115"/>
      <c r="G123" s="115"/>
      <c r="H123" s="115"/>
      <c r="I123" s="115"/>
      <c r="J123" s="115"/>
      <c r="K123" s="115">
        <f t="shared" si="4"/>
        <v>39</v>
      </c>
    </row>
    <row r="124" s="102" customFormat="1" ht="23.25" customHeight="1" spans="1:11">
      <c r="A124" s="68"/>
      <c r="B124" s="68"/>
      <c r="C124" s="117" t="s">
        <v>222</v>
      </c>
      <c r="D124" s="118">
        <v>8</v>
      </c>
      <c r="E124" s="118">
        <v>10</v>
      </c>
      <c r="F124" s="118"/>
      <c r="G124" s="118"/>
      <c r="H124" s="118"/>
      <c r="I124" s="115"/>
      <c r="J124" s="115"/>
      <c r="K124" s="115">
        <f t="shared" si="4"/>
        <v>18</v>
      </c>
    </row>
    <row r="125" s="102" customFormat="1" ht="23.25" customHeight="1" spans="1:11">
      <c r="A125" s="68"/>
      <c r="B125" s="68"/>
      <c r="C125" s="117" t="s">
        <v>223</v>
      </c>
      <c r="D125" s="118">
        <v>8</v>
      </c>
      <c r="E125" s="118">
        <v>10</v>
      </c>
      <c r="F125" s="118"/>
      <c r="G125" s="118"/>
      <c r="H125" s="118"/>
      <c r="I125" s="115"/>
      <c r="J125" s="115"/>
      <c r="K125" s="115">
        <f t="shared" si="4"/>
        <v>18</v>
      </c>
    </row>
    <row r="126" s="102" customFormat="1" ht="23.25" customHeight="1" spans="1:11">
      <c r="A126" s="68"/>
      <c r="B126" s="68"/>
      <c r="C126" s="117" t="s">
        <v>224</v>
      </c>
      <c r="D126" s="114">
        <v>82.5</v>
      </c>
      <c r="E126" s="118">
        <v>10</v>
      </c>
      <c r="F126" s="114"/>
      <c r="G126" s="114"/>
      <c r="H126" s="114"/>
      <c r="I126" s="115"/>
      <c r="J126" s="115"/>
      <c r="K126" s="115">
        <f t="shared" si="4"/>
        <v>92.5</v>
      </c>
    </row>
    <row r="127" s="102" customFormat="1" ht="23.25" customHeight="1" spans="1:11">
      <c r="A127" s="119" t="s">
        <v>225</v>
      </c>
      <c r="B127" s="119">
        <v>10.5</v>
      </c>
      <c r="C127" s="68" t="s">
        <v>226</v>
      </c>
      <c r="D127" s="114">
        <v>11</v>
      </c>
      <c r="E127" s="118">
        <v>10</v>
      </c>
      <c r="F127" s="114"/>
      <c r="G127" s="114"/>
      <c r="H127" s="114"/>
      <c r="I127" s="115"/>
      <c r="J127" s="115"/>
      <c r="K127" s="115">
        <f t="shared" si="4"/>
        <v>21</v>
      </c>
    </row>
    <row r="128" s="102" customFormat="1" ht="23.25" customHeight="1" spans="1:11">
      <c r="A128" s="119"/>
      <c r="B128" s="119"/>
      <c r="C128" s="68" t="s">
        <v>228</v>
      </c>
      <c r="D128" s="114">
        <v>11</v>
      </c>
      <c r="E128" s="118">
        <v>10</v>
      </c>
      <c r="F128" s="114"/>
      <c r="G128" s="114"/>
      <c r="H128" s="114"/>
      <c r="I128" s="115"/>
      <c r="J128" s="115"/>
      <c r="K128" s="115">
        <f t="shared" si="4"/>
        <v>21</v>
      </c>
    </row>
    <row r="129" s="102" customFormat="1" ht="23.25" customHeight="1" spans="1:11">
      <c r="A129" s="119"/>
      <c r="B129" s="119"/>
      <c r="C129" s="68" t="s">
        <v>227</v>
      </c>
      <c r="D129" s="114">
        <v>11</v>
      </c>
      <c r="E129" s="118">
        <v>10</v>
      </c>
      <c r="F129" s="114"/>
      <c r="G129" s="114"/>
      <c r="H129" s="114"/>
      <c r="I129" s="115"/>
      <c r="J129" s="120"/>
      <c r="K129" s="115">
        <f t="shared" si="4"/>
        <v>21</v>
      </c>
    </row>
    <row r="130" s="102" customFormat="1" ht="23.25" customHeight="1" spans="1:11">
      <c r="A130" s="119"/>
      <c r="B130" s="119"/>
      <c r="C130" s="68" t="s">
        <v>229</v>
      </c>
      <c r="D130" s="114">
        <v>11</v>
      </c>
      <c r="E130" s="118">
        <v>10</v>
      </c>
      <c r="F130" s="114"/>
      <c r="G130" s="114"/>
      <c r="H130" s="114"/>
      <c r="I130" s="115"/>
      <c r="J130" s="120"/>
      <c r="K130" s="115">
        <f t="shared" si="4"/>
        <v>21</v>
      </c>
    </row>
    <row r="131" s="102" customFormat="1" ht="23.25" customHeight="1" spans="1:11">
      <c r="A131" s="119"/>
      <c r="B131" s="119"/>
      <c r="C131" s="68" t="s">
        <v>240</v>
      </c>
      <c r="D131" s="114">
        <v>8</v>
      </c>
      <c r="E131" s="118">
        <v>10</v>
      </c>
      <c r="F131" s="115"/>
      <c r="G131" s="114"/>
      <c r="H131" s="114"/>
      <c r="I131" s="115"/>
      <c r="J131" s="120"/>
      <c r="K131" s="115">
        <f t="shared" si="4"/>
        <v>18</v>
      </c>
    </row>
    <row r="132" s="102" customFormat="1" ht="23.25" customHeight="1" spans="1:11">
      <c r="A132" s="121" t="s">
        <v>230</v>
      </c>
      <c r="B132" s="121">
        <v>10.5</v>
      </c>
      <c r="C132" s="121" t="s">
        <v>231</v>
      </c>
      <c r="D132" s="115">
        <v>10.5</v>
      </c>
      <c r="E132" s="118">
        <v>10.5</v>
      </c>
      <c r="G132" s="115"/>
      <c r="H132" s="115"/>
      <c r="I132" s="115"/>
      <c r="J132" s="120"/>
      <c r="K132" s="115">
        <f t="shared" si="4"/>
        <v>21</v>
      </c>
    </row>
    <row r="133" s="102" customFormat="1" ht="23.25" customHeight="1" spans="1:11">
      <c r="A133" s="56" t="s">
        <v>232</v>
      </c>
      <c r="B133" s="56">
        <v>12</v>
      </c>
      <c r="C133" s="56" t="s">
        <v>233</v>
      </c>
      <c r="D133" s="115">
        <v>12</v>
      </c>
      <c r="E133" s="115">
        <v>0</v>
      </c>
      <c r="F133" s="115"/>
      <c r="G133" s="115"/>
      <c r="H133" s="115"/>
      <c r="I133" s="115"/>
      <c r="J133" s="120"/>
      <c r="K133" s="115">
        <f t="shared" si="4"/>
        <v>12</v>
      </c>
    </row>
    <row r="134" s="102" customFormat="1" ht="23.25" customHeight="1" spans="1:11">
      <c r="A134" s="122"/>
      <c r="B134" s="123"/>
      <c r="C134" s="123"/>
      <c r="D134" s="123"/>
      <c r="E134" s="123"/>
      <c r="F134" s="123"/>
      <c r="G134" s="123"/>
      <c r="H134" s="123"/>
      <c r="I134" s="123"/>
      <c r="J134" s="123"/>
      <c r="K134" s="115">
        <f>SUM(K113:K133)</f>
        <v>459.5</v>
      </c>
    </row>
    <row r="137" s="102" customFormat="1" ht="23.25" customHeight="1" spans="1:11">
      <c r="A137" s="88" t="s">
        <v>406</v>
      </c>
      <c r="B137" s="88"/>
      <c r="C137" s="88"/>
      <c r="D137" s="88"/>
      <c r="E137" s="88"/>
      <c r="F137" s="88"/>
      <c r="G137" s="88"/>
      <c r="H137" s="88"/>
      <c r="I137" s="88"/>
      <c r="J137" s="88"/>
      <c r="K137" s="88"/>
    </row>
    <row r="138" s="102" customFormat="1" ht="23.25" customHeight="1" spans="1:11">
      <c r="A138" s="108" t="s">
        <v>235</v>
      </c>
      <c r="B138" s="108"/>
      <c r="C138" s="108"/>
      <c r="D138" s="109" t="s">
        <v>408</v>
      </c>
      <c r="E138" s="110"/>
      <c r="F138" s="108"/>
      <c r="G138" s="110"/>
      <c r="H138" s="108"/>
      <c r="I138" s="108"/>
      <c r="J138" s="108"/>
      <c r="K138" s="108"/>
    </row>
    <row r="139" s="102" customFormat="1" ht="23.25" customHeight="1" spans="1:11">
      <c r="A139" s="110" t="s">
        <v>200</v>
      </c>
      <c r="B139" s="110" t="s">
        <v>201</v>
      </c>
      <c r="C139" s="111" t="s">
        <v>202</v>
      </c>
      <c r="D139" s="112" t="s">
        <v>6</v>
      </c>
      <c r="E139" s="112" t="s">
        <v>6</v>
      </c>
      <c r="F139" s="110" t="s">
        <v>6</v>
      </c>
      <c r="G139" s="110" t="s">
        <v>6</v>
      </c>
      <c r="H139" s="110" t="s">
        <v>6</v>
      </c>
      <c r="I139" s="110" t="s">
        <v>6</v>
      </c>
      <c r="J139" s="110" t="s">
        <v>203</v>
      </c>
      <c r="K139" s="110" t="s">
        <v>204</v>
      </c>
    </row>
    <row r="140" s="102" customFormat="1" ht="23.25" customHeight="1" spans="1:11">
      <c r="A140" s="115" t="s">
        <v>205</v>
      </c>
      <c r="B140" s="115">
        <v>12</v>
      </c>
      <c r="C140" s="124" t="s">
        <v>206</v>
      </c>
      <c r="D140" s="114">
        <v>12</v>
      </c>
      <c r="E140" s="114"/>
      <c r="F140" s="114"/>
      <c r="G140" s="114"/>
      <c r="H140" s="114"/>
      <c r="I140" s="115"/>
      <c r="J140" s="115"/>
      <c r="K140" s="115">
        <f t="shared" ref="K140:K160" si="5">SUM(D140:J140)</f>
        <v>12</v>
      </c>
    </row>
    <row r="141" s="102" customFormat="1" ht="23.25" customHeight="1" spans="1:11">
      <c r="A141" s="125" t="s">
        <v>207</v>
      </c>
      <c r="B141" s="115">
        <v>11.5</v>
      </c>
      <c r="C141" s="126" t="s">
        <v>208</v>
      </c>
      <c r="D141" s="114">
        <v>20</v>
      </c>
      <c r="E141" s="114"/>
      <c r="F141" s="114"/>
      <c r="G141" s="114"/>
      <c r="H141" s="114"/>
      <c r="I141" s="115"/>
      <c r="J141" s="115"/>
      <c r="K141" s="115">
        <f t="shared" si="5"/>
        <v>20</v>
      </c>
    </row>
    <row r="142" s="102" customFormat="1" ht="23.25" customHeight="1" spans="1:11">
      <c r="A142" s="125"/>
      <c r="B142" s="115"/>
      <c r="C142" s="126" t="s">
        <v>210</v>
      </c>
      <c r="D142" s="114">
        <v>11.5</v>
      </c>
      <c r="E142" s="114">
        <v>10</v>
      </c>
      <c r="F142" s="114"/>
      <c r="G142" s="114"/>
      <c r="H142" s="114"/>
      <c r="I142" s="115"/>
      <c r="J142" s="115"/>
      <c r="K142" s="115">
        <f t="shared" si="5"/>
        <v>21.5</v>
      </c>
    </row>
    <row r="143" s="102" customFormat="1" ht="23.25" customHeight="1" spans="1:11">
      <c r="A143" s="125" t="s">
        <v>211</v>
      </c>
      <c r="B143" s="115">
        <v>11.5</v>
      </c>
      <c r="C143" s="126" t="s">
        <v>212</v>
      </c>
      <c r="D143" s="114">
        <v>10</v>
      </c>
      <c r="E143" s="115">
        <v>11.5</v>
      </c>
      <c r="F143" s="115"/>
      <c r="G143" s="115"/>
      <c r="H143" s="115"/>
      <c r="I143" s="115"/>
      <c r="J143" s="115"/>
      <c r="K143" s="115">
        <f t="shared" si="5"/>
        <v>21.5</v>
      </c>
    </row>
    <row r="144" s="102" customFormat="1" ht="23.25" customHeight="1" spans="1:11">
      <c r="A144" s="125"/>
      <c r="B144" s="115"/>
      <c r="C144" s="126" t="s">
        <v>213</v>
      </c>
      <c r="D144" s="114">
        <v>20</v>
      </c>
      <c r="E144" s="115">
        <v>11.5</v>
      </c>
      <c r="F144" s="115"/>
      <c r="G144" s="115"/>
      <c r="H144" s="115"/>
      <c r="I144" s="115"/>
      <c r="J144" s="115"/>
      <c r="K144" s="115">
        <f t="shared" si="5"/>
        <v>31.5</v>
      </c>
    </row>
    <row r="145" s="102" customFormat="1" ht="23.25" customHeight="1" spans="1:11">
      <c r="A145" s="125"/>
      <c r="B145" s="115"/>
      <c r="C145" s="115" t="s">
        <v>214</v>
      </c>
      <c r="D145" s="114">
        <v>10</v>
      </c>
      <c r="E145" s="115">
        <v>11.5</v>
      </c>
      <c r="F145" s="115"/>
      <c r="G145" s="115"/>
      <c r="H145" s="115"/>
      <c r="I145" s="115"/>
      <c r="J145" s="115"/>
      <c r="K145" s="115">
        <f t="shared" si="5"/>
        <v>21.5</v>
      </c>
    </row>
    <row r="146" s="102" customFormat="1" ht="23.25" customHeight="1" spans="1:11">
      <c r="A146" s="125"/>
      <c r="B146" s="115"/>
      <c r="C146" s="126" t="s">
        <v>215</v>
      </c>
      <c r="D146" s="114">
        <v>10</v>
      </c>
      <c r="E146" s="115">
        <v>11.5</v>
      </c>
      <c r="F146" s="115"/>
      <c r="G146" s="115"/>
      <c r="H146" s="115"/>
      <c r="I146" s="114"/>
      <c r="J146" s="115"/>
      <c r="K146" s="115">
        <f t="shared" si="5"/>
        <v>21.5</v>
      </c>
    </row>
    <row r="147" s="102" customFormat="1" ht="23.25" customHeight="1" spans="1:11">
      <c r="A147" s="125"/>
      <c r="B147" s="115"/>
      <c r="C147" s="126" t="s">
        <v>216</v>
      </c>
      <c r="D147" s="114">
        <v>10</v>
      </c>
      <c r="E147" s="115">
        <v>10</v>
      </c>
      <c r="F147" s="115"/>
      <c r="G147" s="115"/>
      <c r="H147" s="115"/>
      <c r="I147" s="114"/>
      <c r="J147" s="115"/>
      <c r="K147" s="115">
        <f t="shared" si="5"/>
        <v>20</v>
      </c>
    </row>
    <row r="148" s="102" customFormat="1" ht="23.25" customHeight="1" spans="1:11">
      <c r="A148" s="115" t="s">
        <v>217</v>
      </c>
      <c r="B148" s="115">
        <v>10.5</v>
      </c>
      <c r="C148" s="115" t="s">
        <v>218</v>
      </c>
      <c r="D148" s="114">
        <v>10</v>
      </c>
      <c r="E148" s="115"/>
      <c r="F148" s="115"/>
      <c r="G148" s="115"/>
      <c r="H148" s="115"/>
      <c r="I148" s="115"/>
      <c r="J148" s="115"/>
      <c r="K148" s="115">
        <f t="shared" si="5"/>
        <v>10</v>
      </c>
    </row>
    <row r="149" s="102" customFormat="1" ht="23.25" customHeight="1" spans="1:11">
      <c r="A149" s="115"/>
      <c r="B149" s="115"/>
      <c r="C149" s="115" t="s">
        <v>219</v>
      </c>
      <c r="D149" s="115">
        <v>7.5</v>
      </c>
      <c r="E149" s="115"/>
      <c r="F149" s="115"/>
      <c r="G149" s="115"/>
      <c r="H149" s="115"/>
      <c r="I149" s="115"/>
      <c r="J149" s="115"/>
      <c r="K149" s="115">
        <f t="shared" si="5"/>
        <v>7.5</v>
      </c>
    </row>
    <row r="150" s="102" customFormat="1" ht="23.25" customHeight="1" spans="1:11">
      <c r="A150" s="115" t="s">
        <v>220</v>
      </c>
      <c r="B150" s="115">
        <v>11.5</v>
      </c>
      <c r="C150" s="126" t="s">
        <v>221</v>
      </c>
      <c r="D150" s="115">
        <v>24</v>
      </c>
      <c r="E150" s="127"/>
      <c r="F150" s="115"/>
      <c r="G150" s="115"/>
      <c r="H150" s="115"/>
      <c r="I150" s="115"/>
      <c r="J150" s="115"/>
      <c r="K150" s="115">
        <f t="shared" si="5"/>
        <v>24</v>
      </c>
    </row>
    <row r="151" s="102" customFormat="1" ht="23.25" customHeight="1" spans="1:11">
      <c r="A151" s="115"/>
      <c r="B151" s="115"/>
      <c r="C151" s="126" t="s">
        <v>222</v>
      </c>
      <c r="D151" s="118">
        <v>11.5</v>
      </c>
      <c r="E151" s="118"/>
      <c r="F151" s="118"/>
      <c r="G151" s="118"/>
      <c r="H151" s="118"/>
      <c r="I151" s="115"/>
      <c r="J151" s="115"/>
      <c r="K151" s="115">
        <f t="shared" si="5"/>
        <v>11.5</v>
      </c>
    </row>
    <row r="152" s="102" customFormat="1" ht="23.25" customHeight="1" spans="1:11">
      <c r="A152" s="115"/>
      <c r="B152" s="115"/>
      <c r="C152" s="126" t="s">
        <v>223</v>
      </c>
      <c r="D152" s="118">
        <v>17</v>
      </c>
      <c r="E152" s="118"/>
      <c r="F152" s="118"/>
      <c r="G152" s="118"/>
      <c r="H152" s="118"/>
      <c r="I152" s="115"/>
      <c r="J152" s="115"/>
      <c r="K152" s="115">
        <f t="shared" si="5"/>
        <v>17</v>
      </c>
    </row>
    <row r="153" s="102" customFormat="1" ht="23.25" customHeight="1" spans="1:11">
      <c r="A153" s="115"/>
      <c r="B153" s="115"/>
      <c r="C153" s="126" t="s">
        <v>224</v>
      </c>
      <c r="D153" s="114">
        <v>136</v>
      </c>
      <c r="E153" s="115"/>
      <c r="F153" s="115"/>
      <c r="G153" s="114"/>
      <c r="H153" s="114"/>
      <c r="I153" s="115"/>
      <c r="J153" s="115"/>
      <c r="K153" s="115">
        <f t="shared" si="5"/>
        <v>136</v>
      </c>
    </row>
    <row r="154" s="102" customFormat="1" ht="23.25" customHeight="1" spans="1:11">
      <c r="A154" s="128"/>
      <c r="B154" s="128"/>
      <c r="C154" s="115" t="s">
        <v>228</v>
      </c>
      <c r="D154" s="114">
        <v>12</v>
      </c>
      <c r="E154" s="115"/>
      <c r="F154" s="115"/>
      <c r="G154" s="114"/>
      <c r="H154" s="114"/>
      <c r="I154" s="115"/>
      <c r="J154" s="115"/>
      <c r="K154" s="115">
        <f t="shared" si="5"/>
        <v>12</v>
      </c>
    </row>
    <row r="155" s="102" customFormat="1" ht="23.25" customHeight="1" spans="1:11">
      <c r="A155" s="128"/>
      <c r="B155" s="128"/>
      <c r="C155" s="115" t="s">
        <v>226</v>
      </c>
      <c r="D155" s="114">
        <v>12</v>
      </c>
      <c r="E155" s="115"/>
      <c r="F155" s="115"/>
      <c r="G155" s="114"/>
      <c r="H155" s="114"/>
      <c r="I155" s="115"/>
      <c r="J155" s="115"/>
      <c r="K155" s="115">
        <f t="shared" si="5"/>
        <v>12</v>
      </c>
    </row>
    <row r="156" s="102" customFormat="1" ht="23.25" customHeight="1" spans="1:11">
      <c r="A156" s="128"/>
      <c r="B156" s="128"/>
      <c r="C156" s="115" t="s">
        <v>227</v>
      </c>
      <c r="D156" s="114">
        <v>13</v>
      </c>
      <c r="E156" s="115"/>
      <c r="F156" s="115"/>
      <c r="G156" s="114"/>
      <c r="H156" s="114"/>
      <c r="I156" s="115"/>
      <c r="J156" s="120"/>
      <c r="K156" s="115">
        <f t="shared" si="5"/>
        <v>13</v>
      </c>
    </row>
    <row r="157" s="102" customFormat="1" ht="23.25" customHeight="1" spans="1:11">
      <c r="A157" s="128"/>
      <c r="B157" s="128"/>
      <c r="C157" s="115" t="s">
        <v>240</v>
      </c>
      <c r="D157" s="114">
        <v>17</v>
      </c>
      <c r="E157" s="115"/>
      <c r="F157" s="115"/>
      <c r="G157" s="114"/>
      <c r="H157" s="114"/>
      <c r="I157" s="115"/>
      <c r="J157" s="120"/>
      <c r="K157" s="115">
        <f t="shared" si="5"/>
        <v>17</v>
      </c>
    </row>
    <row r="158" s="102" customFormat="1" ht="23.25" customHeight="1" spans="1:11">
      <c r="A158" s="128"/>
      <c r="B158" s="128"/>
      <c r="C158" s="115" t="s">
        <v>229</v>
      </c>
      <c r="D158" s="114">
        <v>17</v>
      </c>
      <c r="E158" s="115"/>
      <c r="F158" s="115"/>
      <c r="G158" s="114"/>
      <c r="H158" s="114"/>
      <c r="I158" s="115"/>
      <c r="J158" s="120"/>
      <c r="K158" s="115">
        <f t="shared" si="5"/>
        <v>17</v>
      </c>
    </row>
    <row r="159" s="102" customFormat="1" ht="23.25" customHeight="1" spans="1:11">
      <c r="A159" s="114" t="s">
        <v>230</v>
      </c>
      <c r="B159" s="114">
        <v>10.5</v>
      </c>
      <c r="C159" s="115" t="s">
        <v>231</v>
      </c>
      <c r="D159" s="115">
        <v>10.5</v>
      </c>
      <c r="E159" s="127"/>
      <c r="F159" s="115"/>
      <c r="G159" s="115"/>
      <c r="H159" s="115"/>
      <c r="I159" s="115"/>
      <c r="J159" s="120"/>
      <c r="K159" s="115">
        <f t="shared" si="5"/>
        <v>10.5</v>
      </c>
    </row>
    <row r="160" s="102" customFormat="1" ht="23.25" customHeight="1" spans="1:11">
      <c r="A160" s="115" t="s">
        <v>232</v>
      </c>
      <c r="B160" s="115">
        <v>12</v>
      </c>
      <c r="C160" s="115" t="s">
        <v>233</v>
      </c>
      <c r="D160" s="115">
        <v>12</v>
      </c>
      <c r="E160" s="115"/>
      <c r="F160" s="115"/>
      <c r="G160" s="115"/>
      <c r="H160" s="115"/>
      <c r="I160" s="115"/>
      <c r="J160" s="120"/>
      <c r="K160" s="115">
        <f t="shared" si="5"/>
        <v>12</v>
      </c>
    </row>
    <row r="161" s="103" customFormat="1" ht="16.5" spans="1:11">
      <c r="A161" s="129"/>
      <c r="B161" s="130"/>
      <c r="C161" s="130"/>
      <c r="D161" s="130"/>
      <c r="E161" s="130"/>
      <c r="F161" s="130"/>
      <c r="G161" s="130"/>
      <c r="H161" s="130"/>
      <c r="I161" s="130"/>
      <c r="J161" s="131"/>
      <c r="K161" s="132">
        <f>SUM(K140:K160)</f>
        <v>469</v>
      </c>
    </row>
    <row r="164" s="1" customFormat="1" ht="21" customHeight="1" spans="1:11">
      <c r="A164" s="4" t="s">
        <v>402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="1" customFormat="1" ht="21" customHeight="1" spans="1:11">
      <c r="A165" s="5" t="s">
        <v>235</v>
      </c>
      <c r="B165" s="5"/>
      <c r="C165" s="5"/>
      <c r="D165" s="5" t="s">
        <v>409</v>
      </c>
      <c r="E165" s="5"/>
      <c r="F165" s="5"/>
      <c r="G165" s="5"/>
      <c r="H165" s="5"/>
      <c r="I165" s="5"/>
      <c r="J165" s="5"/>
      <c r="K165" s="5"/>
    </row>
    <row r="166" s="1" customFormat="1" ht="21" customHeight="1" spans="1:11">
      <c r="A166" s="6" t="s">
        <v>200</v>
      </c>
      <c r="B166" s="6" t="s">
        <v>201</v>
      </c>
      <c r="C166" s="7" t="s">
        <v>202</v>
      </c>
      <c r="D166" s="8" t="s">
        <v>6</v>
      </c>
      <c r="E166" s="8" t="s">
        <v>6</v>
      </c>
      <c r="F166" s="6" t="s">
        <v>6</v>
      </c>
      <c r="G166" s="6" t="s">
        <v>6</v>
      </c>
      <c r="H166" s="6" t="s">
        <v>6</v>
      </c>
      <c r="I166" s="6" t="s">
        <v>6</v>
      </c>
      <c r="J166" s="6" t="s">
        <v>203</v>
      </c>
      <c r="K166" s="6" t="s">
        <v>204</v>
      </c>
    </row>
    <row r="167" s="1" customFormat="1" ht="21" customHeight="1" spans="1:11">
      <c r="A167" s="9" t="s">
        <v>205</v>
      </c>
      <c r="B167" s="9">
        <v>12</v>
      </c>
      <c r="C167" s="10" t="s">
        <v>206</v>
      </c>
      <c r="D167" s="11">
        <v>12</v>
      </c>
      <c r="E167" s="11">
        <v>12</v>
      </c>
      <c r="F167" s="11"/>
      <c r="G167" s="11"/>
      <c r="H167" s="26"/>
      <c r="I167" s="9"/>
      <c r="J167" s="9"/>
      <c r="K167" s="13">
        <f t="shared" ref="K167:K187" si="6">SUM(D167:J167)</f>
        <v>24</v>
      </c>
    </row>
    <row r="168" s="1" customFormat="1" ht="21" customHeight="1" spans="1:11">
      <c r="A168" s="14" t="s">
        <v>207</v>
      </c>
      <c r="B168" s="9">
        <v>11.5</v>
      </c>
      <c r="C168" s="15" t="s">
        <v>208</v>
      </c>
      <c r="D168" s="11">
        <v>30</v>
      </c>
      <c r="E168" s="11">
        <v>30</v>
      </c>
      <c r="F168" s="11"/>
      <c r="G168" s="11"/>
      <c r="H168" s="26"/>
      <c r="I168" s="9"/>
      <c r="J168" s="9"/>
      <c r="K168" s="13">
        <f t="shared" si="6"/>
        <v>60</v>
      </c>
    </row>
    <row r="169" s="1" customFormat="1" ht="21" customHeight="1" spans="1:11">
      <c r="A169" s="14"/>
      <c r="B169" s="9"/>
      <c r="C169" s="15" t="s">
        <v>210</v>
      </c>
      <c r="D169" s="11">
        <v>26.5</v>
      </c>
      <c r="E169" s="11">
        <v>26.5</v>
      </c>
      <c r="F169" s="11"/>
      <c r="G169" s="11"/>
      <c r="H169" s="26"/>
      <c r="I169" s="9"/>
      <c r="J169" s="9"/>
      <c r="K169" s="13">
        <f t="shared" si="6"/>
        <v>53</v>
      </c>
    </row>
    <row r="170" s="1" customFormat="1" ht="21" customHeight="1" spans="1:11">
      <c r="A170" s="16" t="s">
        <v>237</v>
      </c>
      <c r="B170" s="13">
        <v>11.5</v>
      </c>
      <c r="C170" s="17" t="s">
        <v>212</v>
      </c>
      <c r="D170" s="11">
        <v>23</v>
      </c>
      <c r="E170" s="11">
        <v>11.5</v>
      </c>
      <c r="F170" s="11"/>
      <c r="G170" s="11"/>
      <c r="H170" s="26"/>
      <c r="I170" s="9"/>
      <c r="J170" s="9"/>
      <c r="K170" s="13">
        <f t="shared" si="6"/>
        <v>34.5</v>
      </c>
    </row>
    <row r="171" s="1" customFormat="1" ht="21" customHeight="1" spans="1:11">
      <c r="A171" s="18"/>
      <c r="B171" s="13"/>
      <c r="C171" s="1" t="s">
        <v>215</v>
      </c>
      <c r="D171" s="11">
        <v>23</v>
      </c>
      <c r="E171" s="11">
        <v>23</v>
      </c>
      <c r="F171" s="11"/>
      <c r="G171" s="11"/>
      <c r="H171" s="26"/>
      <c r="I171" s="9"/>
      <c r="J171" s="9"/>
      <c r="K171" s="13">
        <f t="shared" si="6"/>
        <v>46</v>
      </c>
    </row>
    <row r="172" s="1" customFormat="1" ht="21" customHeight="1" spans="1:11">
      <c r="A172" s="19" t="s">
        <v>238</v>
      </c>
      <c r="B172" s="13"/>
      <c r="C172" s="17" t="s">
        <v>213</v>
      </c>
      <c r="D172" s="11">
        <v>23</v>
      </c>
      <c r="E172" s="11">
        <v>23</v>
      </c>
      <c r="F172" s="11"/>
      <c r="G172" s="11"/>
      <c r="H172" s="26"/>
      <c r="I172" s="9"/>
      <c r="J172" s="9"/>
      <c r="K172" s="13">
        <f t="shared" si="6"/>
        <v>46</v>
      </c>
    </row>
    <row r="173" s="1" customFormat="1" ht="21" customHeight="1" spans="1:11">
      <c r="A173" s="20"/>
      <c r="B173" s="13"/>
      <c r="C173" s="17" t="s">
        <v>216</v>
      </c>
      <c r="D173" s="11">
        <v>23</v>
      </c>
      <c r="E173" s="11">
        <v>23</v>
      </c>
      <c r="F173" s="11"/>
      <c r="G173" s="11"/>
      <c r="H173" s="26"/>
      <c r="I173" s="26"/>
      <c r="J173" s="9"/>
      <c r="K173" s="13">
        <f t="shared" si="6"/>
        <v>46</v>
      </c>
    </row>
    <row r="174" s="1" customFormat="1" ht="21" customHeight="1" spans="1:11">
      <c r="A174" s="21" t="s">
        <v>239</v>
      </c>
      <c r="B174" s="13"/>
      <c r="C174" s="13" t="s">
        <v>214</v>
      </c>
      <c r="D174" s="11">
        <v>21.5</v>
      </c>
      <c r="E174" s="11">
        <v>11.5</v>
      </c>
      <c r="F174" s="11"/>
      <c r="G174" s="11"/>
      <c r="H174" s="26"/>
      <c r="I174" s="26"/>
      <c r="J174" s="9"/>
      <c r="K174" s="13">
        <f t="shared" si="6"/>
        <v>33</v>
      </c>
    </row>
    <row r="175" s="1" customFormat="1" ht="21" customHeight="1" spans="1:11">
      <c r="A175" s="9" t="s">
        <v>217</v>
      </c>
      <c r="B175" s="9">
        <v>10.5</v>
      </c>
      <c r="C175" s="9" t="s">
        <v>218</v>
      </c>
      <c r="D175" s="22">
        <v>21</v>
      </c>
      <c r="E175" s="22">
        <v>20</v>
      </c>
      <c r="F175" s="22"/>
      <c r="G175" s="22"/>
      <c r="H175" s="26"/>
      <c r="I175" s="9"/>
      <c r="J175" s="9"/>
      <c r="K175" s="13">
        <f t="shared" si="6"/>
        <v>41</v>
      </c>
    </row>
    <row r="176" s="1" customFormat="1" ht="21" customHeight="1" spans="1:11">
      <c r="A176" s="9"/>
      <c r="B176" s="9"/>
      <c r="C176" s="9" t="s">
        <v>219</v>
      </c>
      <c r="D176" s="11">
        <v>21</v>
      </c>
      <c r="E176" s="11">
        <v>20</v>
      </c>
      <c r="F176" s="11"/>
      <c r="G176" s="11"/>
      <c r="H176" s="26"/>
      <c r="I176" s="9"/>
      <c r="J176" s="9"/>
      <c r="K176" s="13">
        <f t="shared" si="6"/>
        <v>41</v>
      </c>
    </row>
    <row r="177" s="1" customFormat="1" ht="21" customHeight="1" spans="1:11">
      <c r="A177" s="9" t="s">
        <v>220</v>
      </c>
      <c r="B177" s="9">
        <v>11.5</v>
      </c>
      <c r="C177" s="15" t="s">
        <v>221</v>
      </c>
      <c r="D177" s="11">
        <v>28</v>
      </c>
      <c r="E177" s="11">
        <v>28</v>
      </c>
      <c r="F177" s="11"/>
      <c r="G177" s="11"/>
      <c r="H177" s="26"/>
      <c r="I177" s="9"/>
      <c r="J177" s="9"/>
      <c r="K177" s="13">
        <f t="shared" si="6"/>
        <v>56</v>
      </c>
    </row>
    <row r="178" s="1" customFormat="1" ht="21" customHeight="1" spans="1:11">
      <c r="A178" s="9"/>
      <c r="B178" s="9"/>
      <c r="C178" s="15" t="s">
        <v>222</v>
      </c>
      <c r="D178" s="11">
        <v>18</v>
      </c>
      <c r="E178" s="11">
        <v>18</v>
      </c>
      <c r="F178" s="11"/>
      <c r="G178" s="11"/>
      <c r="H178" s="26"/>
      <c r="I178" s="9"/>
      <c r="J178" s="9"/>
      <c r="K178" s="13">
        <f t="shared" si="6"/>
        <v>36</v>
      </c>
    </row>
    <row r="179" s="1" customFormat="1" ht="21" customHeight="1" spans="1:11">
      <c r="A179" s="9"/>
      <c r="B179" s="9"/>
      <c r="C179" s="15" t="s">
        <v>223</v>
      </c>
      <c r="D179" s="23">
        <v>41</v>
      </c>
      <c r="E179" s="23">
        <v>41</v>
      </c>
      <c r="F179" s="23"/>
      <c r="G179" s="23"/>
      <c r="H179" s="26"/>
      <c r="I179" s="9"/>
      <c r="J179" s="9"/>
      <c r="K179" s="13">
        <f t="shared" si="6"/>
        <v>82</v>
      </c>
    </row>
    <row r="180" s="1" customFormat="1" ht="21" customHeight="1" spans="1:11">
      <c r="A180" s="9"/>
      <c r="B180" s="9"/>
      <c r="C180" s="15" t="s">
        <v>224</v>
      </c>
      <c r="D180" s="24">
        <v>155.7</v>
      </c>
      <c r="E180" s="24">
        <v>157</v>
      </c>
      <c r="F180" s="24"/>
      <c r="G180" s="24"/>
      <c r="H180" s="26"/>
      <c r="I180" s="9"/>
      <c r="J180" s="9"/>
      <c r="K180" s="13">
        <f t="shared" si="6"/>
        <v>312.7</v>
      </c>
    </row>
    <row r="181" s="1" customFormat="1" ht="21" customHeight="1" spans="1:11">
      <c r="A181" s="25" t="s">
        <v>225</v>
      </c>
      <c r="B181" s="25">
        <v>10.5</v>
      </c>
      <c r="C181" s="9" t="s">
        <v>226</v>
      </c>
      <c r="D181" s="11">
        <v>25</v>
      </c>
      <c r="E181" s="11">
        <v>25</v>
      </c>
      <c r="F181" s="11"/>
      <c r="G181" s="11"/>
      <c r="H181" s="26"/>
      <c r="I181" s="9"/>
      <c r="J181" s="9"/>
      <c r="K181" s="13">
        <f t="shared" si="6"/>
        <v>50</v>
      </c>
    </row>
    <row r="182" s="1" customFormat="1" ht="21" customHeight="1" spans="1:11">
      <c r="A182" s="25"/>
      <c r="B182" s="25"/>
      <c r="C182" s="9" t="s">
        <v>228</v>
      </c>
      <c r="D182" s="11">
        <v>50</v>
      </c>
      <c r="E182" s="11">
        <v>50</v>
      </c>
      <c r="F182" s="11"/>
      <c r="G182" s="11"/>
      <c r="H182" s="26"/>
      <c r="I182" s="9"/>
      <c r="J182" s="9"/>
      <c r="K182" s="13">
        <f t="shared" si="6"/>
        <v>100</v>
      </c>
    </row>
    <row r="183" s="1" customFormat="1" ht="21" customHeight="1" spans="1:11">
      <c r="A183" s="25"/>
      <c r="B183" s="25"/>
      <c r="C183" s="9" t="s">
        <v>227</v>
      </c>
      <c r="D183" s="11">
        <v>24.6</v>
      </c>
      <c r="E183" s="11">
        <v>24.5</v>
      </c>
      <c r="F183" s="11"/>
      <c r="G183" s="11"/>
      <c r="H183" s="26"/>
      <c r="I183" s="9"/>
      <c r="J183" s="9"/>
      <c r="K183" s="13">
        <f t="shared" si="6"/>
        <v>49.1</v>
      </c>
    </row>
    <row r="184" s="1" customFormat="1" ht="21" customHeight="1" spans="1:11">
      <c r="A184" s="25"/>
      <c r="B184" s="25"/>
      <c r="C184" s="9" t="s">
        <v>229</v>
      </c>
      <c r="D184" s="11">
        <v>24.6</v>
      </c>
      <c r="E184" s="11">
        <v>24.5</v>
      </c>
      <c r="F184" s="11"/>
      <c r="G184" s="11"/>
      <c r="H184" s="26"/>
      <c r="I184" s="9"/>
      <c r="J184" s="106"/>
      <c r="K184" s="13">
        <f t="shared" si="6"/>
        <v>49.1</v>
      </c>
    </row>
    <row r="185" s="1" customFormat="1" ht="21" customHeight="1" spans="1:11">
      <c r="A185" s="25"/>
      <c r="B185" s="25"/>
      <c r="C185" s="9" t="s">
        <v>240</v>
      </c>
      <c r="D185" s="11">
        <v>24.6</v>
      </c>
      <c r="E185" s="11">
        <v>24.5</v>
      </c>
      <c r="F185" s="11"/>
      <c r="G185" s="11"/>
      <c r="H185" s="26"/>
      <c r="I185" s="9"/>
      <c r="J185" s="106"/>
      <c r="K185" s="13">
        <f t="shared" si="6"/>
        <v>49.1</v>
      </c>
    </row>
    <row r="186" s="1" customFormat="1" ht="21" customHeight="1" spans="1:11">
      <c r="A186" s="26" t="s">
        <v>230</v>
      </c>
      <c r="B186" s="26">
        <v>10.5</v>
      </c>
      <c r="C186" s="9" t="s">
        <v>231</v>
      </c>
      <c r="D186" s="11">
        <v>10.5</v>
      </c>
      <c r="E186" s="11">
        <v>10.5</v>
      </c>
      <c r="F186" s="11"/>
      <c r="G186" s="11"/>
      <c r="H186" s="9"/>
      <c r="I186" s="9"/>
      <c r="J186" s="106"/>
      <c r="K186" s="13">
        <f t="shared" si="6"/>
        <v>21</v>
      </c>
    </row>
    <row r="187" s="1" customFormat="1" ht="21" customHeight="1" spans="1:11">
      <c r="A187" s="26" t="s">
        <v>232</v>
      </c>
      <c r="B187" s="26">
        <v>12</v>
      </c>
      <c r="C187" s="26" t="s">
        <v>233</v>
      </c>
      <c r="D187" s="22">
        <v>12</v>
      </c>
      <c r="E187" s="22">
        <v>12</v>
      </c>
      <c r="F187" s="22"/>
      <c r="G187" s="146"/>
      <c r="H187" s="26"/>
      <c r="I187" s="26"/>
      <c r="J187" s="107"/>
      <c r="K187" s="28">
        <f t="shared" si="6"/>
        <v>24</v>
      </c>
    </row>
    <row r="188" s="1" customFormat="1" ht="21" customHeight="1" spans="1:11">
      <c r="A188" s="17"/>
      <c r="B188" s="29"/>
      <c r="C188" s="29"/>
      <c r="D188" s="30"/>
      <c r="E188" s="30"/>
      <c r="F188" s="30"/>
      <c r="G188" s="29"/>
      <c r="H188" s="29"/>
      <c r="I188" s="29"/>
      <c r="J188" s="29"/>
      <c r="K188" s="31">
        <f>SUM(K167:K187)</f>
        <v>1253.5</v>
      </c>
    </row>
    <row r="191" s="2" customFormat="1" ht="21.75" customHeight="1" spans="1:11">
      <c r="A191" s="42" t="s">
        <v>402</v>
      </c>
      <c r="B191" s="42"/>
      <c r="C191" s="42"/>
      <c r="D191" s="42"/>
      <c r="E191" s="42"/>
      <c r="F191" s="42"/>
      <c r="G191" s="42"/>
      <c r="H191" s="42"/>
      <c r="I191" s="42"/>
      <c r="J191" s="42"/>
      <c r="K191" s="42"/>
    </row>
    <row r="192" s="2" customFormat="1" ht="21.75" customHeight="1" spans="1:11">
      <c r="A192" s="35" t="s">
        <v>235</v>
      </c>
      <c r="B192" s="36"/>
      <c r="C192" s="36"/>
      <c r="D192" s="37" t="s">
        <v>410</v>
      </c>
      <c r="E192" s="36"/>
      <c r="F192" s="36"/>
      <c r="G192" s="36"/>
      <c r="H192" s="36"/>
      <c r="I192" s="36"/>
      <c r="J192" s="36"/>
      <c r="K192" s="36"/>
    </row>
    <row r="193" s="2" customFormat="1" ht="21.75" customHeight="1" spans="1:11">
      <c r="A193" s="27" t="s">
        <v>200</v>
      </c>
      <c r="B193" s="27" t="s">
        <v>201</v>
      </c>
      <c r="C193" s="38" t="s">
        <v>202</v>
      </c>
      <c r="D193" s="12" t="s">
        <v>6</v>
      </c>
      <c r="E193" s="12" t="s">
        <v>6</v>
      </c>
      <c r="F193" s="27" t="s">
        <v>6</v>
      </c>
      <c r="G193" s="27" t="s">
        <v>6</v>
      </c>
      <c r="H193" s="27" t="s">
        <v>6</v>
      </c>
      <c r="I193" s="27" t="s">
        <v>6</v>
      </c>
      <c r="J193" s="27" t="s">
        <v>203</v>
      </c>
      <c r="K193" s="27" t="s">
        <v>204</v>
      </c>
    </row>
    <row r="194" s="2" customFormat="1" ht="21.75" customHeight="1" spans="1:11">
      <c r="A194" s="27" t="s">
        <v>205</v>
      </c>
      <c r="B194" s="27">
        <v>12</v>
      </c>
      <c r="C194" s="38" t="s">
        <v>206</v>
      </c>
      <c r="D194" s="11">
        <v>12</v>
      </c>
      <c r="E194" s="11">
        <v>10</v>
      </c>
      <c r="F194" s="11"/>
      <c r="G194" s="11"/>
      <c r="H194" s="12"/>
      <c r="I194" s="27"/>
      <c r="J194" s="27"/>
      <c r="K194" s="27">
        <f t="shared" ref="K194:K214" si="7">SUM(D194:J194)</f>
        <v>22</v>
      </c>
    </row>
    <row r="195" s="2" customFormat="1" ht="21.75" customHeight="1" spans="1:11">
      <c r="A195" s="43" t="s">
        <v>207</v>
      </c>
      <c r="B195" s="12">
        <v>11.5</v>
      </c>
      <c r="C195" s="38" t="s">
        <v>208</v>
      </c>
      <c r="D195" s="11">
        <v>17.5</v>
      </c>
      <c r="E195" s="11">
        <v>15</v>
      </c>
      <c r="F195" s="11"/>
      <c r="G195" s="11"/>
      <c r="H195" s="12"/>
      <c r="I195" s="27"/>
      <c r="J195" s="27"/>
      <c r="K195" s="27">
        <f t="shared" si="7"/>
        <v>32.5</v>
      </c>
    </row>
    <row r="196" s="2" customFormat="1" ht="21.75" customHeight="1" spans="1:11">
      <c r="A196" s="44"/>
      <c r="B196" s="39"/>
      <c r="C196" s="38" t="s">
        <v>210</v>
      </c>
      <c r="D196" s="11">
        <v>17.5</v>
      </c>
      <c r="E196" s="11">
        <v>15</v>
      </c>
      <c r="F196" s="11"/>
      <c r="G196" s="11"/>
      <c r="H196" s="12"/>
      <c r="I196" s="27"/>
      <c r="J196" s="27"/>
      <c r="K196" s="27">
        <f t="shared" si="7"/>
        <v>32.5</v>
      </c>
    </row>
    <row r="197" s="2" customFormat="1" ht="21.75" customHeight="1" spans="1:11">
      <c r="A197" s="43" t="s">
        <v>211</v>
      </c>
      <c r="B197" s="12">
        <v>11.5</v>
      </c>
      <c r="C197" s="38" t="s">
        <v>212</v>
      </c>
      <c r="D197" s="11">
        <v>11.5</v>
      </c>
      <c r="E197" s="11">
        <v>11</v>
      </c>
      <c r="F197" s="11"/>
      <c r="G197" s="11"/>
      <c r="H197" s="12"/>
      <c r="I197" s="27"/>
      <c r="J197" s="27"/>
      <c r="K197" s="27">
        <f t="shared" si="7"/>
        <v>22.5</v>
      </c>
    </row>
    <row r="198" s="2" customFormat="1" ht="21.75" customHeight="1" spans="1:11">
      <c r="A198" s="44"/>
      <c r="B198" s="39"/>
      <c r="C198" s="38" t="s">
        <v>213</v>
      </c>
      <c r="D198" s="11">
        <v>11.5</v>
      </c>
      <c r="E198" s="11">
        <v>11</v>
      </c>
      <c r="F198" s="11"/>
      <c r="G198" s="11"/>
      <c r="H198" s="12"/>
      <c r="I198" s="27"/>
      <c r="J198" s="27"/>
      <c r="K198" s="27">
        <f t="shared" si="7"/>
        <v>22.5</v>
      </c>
    </row>
    <row r="199" s="2" customFormat="1" ht="21.75" customHeight="1" spans="1:11">
      <c r="A199" s="44"/>
      <c r="B199" s="39"/>
      <c r="C199" s="27" t="s">
        <v>214</v>
      </c>
      <c r="D199" s="11">
        <v>11.5</v>
      </c>
      <c r="E199" s="11">
        <v>11</v>
      </c>
      <c r="F199" s="11"/>
      <c r="G199" s="11"/>
      <c r="H199" s="12"/>
      <c r="I199" s="27"/>
      <c r="J199" s="27"/>
      <c r="K199" s="27">
        <f t="shared" si="7"/>
        <v>22.5</v>
      </c>
    </row>
    <row r="200" s="2" customFormat="1" ht="21.75" customHeight="1" spans="1:11">
      <c r="A200" s="44"/>
      <c r="B200" s="39"/>
      <c r="C200" s="38" t="s">
        <v>216</v>
      </c>
      <c r="D200" s="11">
        <v>11.5</v>
      </c>
      <c r="E200" s="11">
        <v>11</v>
      </c>
      <c r="F200" s="11"/>
      <c r="G200" s="11"/>
      <c r="H200" s="12"/>
      <c r="I200" s="12"/>
      <c r="J200" s="27"/>
      <c r="K200" s="27">
        <f t="shared" si="7"/>
        <v>22.5</v>
      </c>
    </row>
    <row r="201" s="2" customFormat="1" ht="21.75" customHeight="1" spans="1:11">
      <c r="A201" s="45"/>
      <c r="B201" s="46"/>
      <c r="C201" s="38" t="s">
        <v>215</v>
      </c>
      <c r="D201" s="11">
        <v>11.5</v>
      </c>
      <c r="E201" s="11">
        <v>11</v>
      </c>
      <c r="F201" s="11"/>
      <c r="G201" s="11"/>
      <c r="H201" s="12"/>
      <c r="I201" s="12"/>
      <c r="J201" s="27"/>
      <c r="K201" s="27">
        <f t="shared" si="7"/>
        <v>22.5</v>
      </c>
    </row>
    <row r="202" s="2" customFormat="1" ht="21.75" customHeight="1" spans="1:11">
      <c r="A202" s="27" t="s">
        <v>217</v>
      </c>
      <c r="B202" s="27">
        <v>10.5</v>
      </c>
      <c r="C202" s="27" t="s">
        <v>218</v>
      </c>
      <c r="D202" s="11">
        <v>9</v>
      </c>
      <c r="E202" s="11">
        <v>5</v>
      </c>
      <c r="F202" s="11"/>
      <c r="G202" s="11"/>
      <c r="H202" s="12"/>
      <c r="I202" s="27"/>
      <c r="J202" s="27"/>
      <c r="K202" s="27">
        <f t="shared" si="7"/>
        <v>14</v>
      </c>
    </row>
    <row r="203" s="2" customFormat="1" ht="21.75" customHeight="1" spans="1:11">
      <c r="A203" s="27"/>
      <c r="B203" s="27"/>
      <c r="C203" s="27" t="s">
        <v>219</v>
      </c>
      <c r="D203" s="11">
        <v>40</v>
      </c>
      <c r="E203" s="11">
        <v>0</v>
      </c>
      <c r="F203" s="11"/>
      <c r="G203" s="11"/>
      <c r="H203" s="12"/>
      <c r="I203" s="27"/>
      <c r="J203" s="27"/>
      <c r="K203" s="27">
        <f t="shared" si="7"/>
        <v>40</v>
      </c>
    </row>
    <row r="204" s="2" customFormat="1" ht="21.75" customHeight="1" spans="1:11">
      <c r="A204" s="27" t="s">
        <v>220</v>
      </c>
      <c r="B204" s="27">
        <v>11.5</v>
      </c>
      <c r="C204" s="38" t="s">
        <v>221</v>
      </c>
      <c r="D204" s="11">
        <v>19.5</v>
      </c>
      <c r="E204" s="11">
        <v>5</v>
      </c>
      <c r="F204" s="11"/>
      <c r="G204" s="11"/>
      <c r="H204" s="12"/>
      <c r="I204" s="27"/>
      <c r="J204" s="27"/>
      <c r="K204" s="27">
        <f t="shared" si="7"/>
        <v>24.5</v>
      </c>
    </row>
    <row r="205" s="2" customFormat="1" ht="21.75" customHeight="1" spans="1:11">
      <c r="A205" s="27"/>
      <c r="B205" s="27"/>
      <c r="C205" s="38" t="s">
        <v>222</v>
      </c>
      <c r="D205" s="11">
        <v>9</v>
      </c>
      <c r="E205" s="11">
        <v>5</v>
      </c>
      <c r="F205" s="11"/>
      <c r="G205" s="11"/>
      <c r="H205" s="12"/>
      <c r="I205" s="27"/>
      <c r="J205" s="27"/>
      <c r="K205" s="27">
        <f t="shared" si="7"/>
        <v>14</v>
      </c>
    </row>
    <row r="206" s="2" customFormat="1" ht="21.75" customHeight="1" spans="1:11">
      <c r="A206" s="27"/>
      <c r="B206" s="27"/>
      <c r="C206" s="38" t="s">
        <v>223</v>
      </c>
      <c r="D206" s="11">
        <v>40</v>
      </c>
      <c r="E206" s="23">
        <v>0</v>
      </c>
      <c r="F206" s="23"/>
      <c r="G206" s="23"/>
      <c r="H206" s="12"/>
      <c r="I206" s="27"/>
      <c r="J206" s="27"/>
      <c r="K206" s="27">
        <f t="shared" si="7"/>
        <v>40</v>
      </c>
    </row>
    <row r="207" s="2" customFormat="1" ht="21.75" customHeight="1" spans="1:11">
      <c r="A207" s="27"/>
      <c r="B207" s="27"/>
      <c r="C207" s="38" t="s">
        <v>224</v>
      </c>
      <c r="D207" s="24">
        <v>73.5</v>
      </c>
      <c r="E207" s="24">
        <v>5</v>
      </c>
      <c r="F207" s="24"/>
      <c r="G207" s="24"/>
      <c r="H207" s="12"/>
      <c r="I207" s="27"/>
      <c r="J207" s="27"/>
      <c r="K207" s="27">
        <f t="shared" si="7"/>
        <v>78.5</v>
      </c>
    </row>
    <row r="208" s="2" customFormat="1" ht="21.75" customHeight="1" spans="1:11">
      <c r="A208" s="39" t="s">
        <v>225</v>
      </c>
      <c r="B208" s="39">
        <v>10.5</v>
      </c>
      <c r="C208" s="27" t="s">
        <v>226</v>
      </c>
      <c r="D208" s="11">
        <v>23</v>
      </c>
      <c r="E208" s="11">
        <v>10</v>
      </c>
      <c r="F208" s="11"/>
      <c r="G208" s="11"/>
      <c r="H208" s="12"/>
      <c r="I208" s="27"/>
      <c r="J208" s="27"/>
      <c r="K208" s="27">
        <f t="shared" si="7"/>
        <v>33</v>
      </c>
    </row>
    <row r="209" s="2" customFormat="1" ht="21.75" customHeight="1" spans="1:11">
      <c r="A209" s="39"/>
      <c r="B209" s="39"/>
      <c r="C209" s="27" t="s">
        <v>228</v>
      </c>
      <c r="D209" s="11">
        <v>40</v>
      </c>
      <c r="E209" s="11">
        <v>0</v>
      </c>
      <c r="F209" s="11"/>
      <c r="G209" s="11"/>
      <c r="H209" s="12"/>
      <c r="I209" s="27"/>
      <c r="J209" s="27"/>
      <c r="K209" s="27">
        <f t="shared" si="7"/>
        <v>40</v>
      </c>
    </row>
    <row r="210" s="2" customFormat="1" ht="21.75" customHeight="1" spans="1:11">
      <c r="A210" s="39"/>
      <c r="B210" s="39"/>
      <c r="C210" s="27" t="s">
        <v>227</v>
      </c>
      <c r="D210" s="11">
        <v>40</v>
      </c>
      <c r="E210" s="11">
        <v>0</v>
      </c>
      <c r="F210" s="11"/>
      <c r="G210" s="11"/>
      <c r="H210" s="12"/>
      <c r="I210" s="27"/>
      <c r="J210" s="27"/>
      <c r="K210" s="27">
        <f t="shared" si="7"/>
        <v>40</v>
      </c>
    </row>
    <row r="211" s="2" customFormat="1" ht="21.75" customHeight="1" spans="1:11">
      <c r="A211" s="39"/>
      <c r="B211" s="39"/>
      <c r="C211" s="27" t="s">
        <v>229</v>
      </c>
      <c r="D211" s="11">
        <v>11.5</v>
      </c>
      <c r="E211" s="11">
        <v>5</v>
      </c>
      <c r="F211" s="11"/>
      <c r="G211" s="11"/>
      <c r="H211" s="12"/>
      <c r="I211" s="27"/>
      <c r="J211" s="40"/>
      <c r="K211" s="27">
        <f t="shared" si="7"/>
        <v>16.5</v>
      </c>
    </row>
    <row r="212" s="2" customFormat="1" ht="21.75" customHeight="1" spans="1:11">
      <c r="A212" s="39"/>
      <c r="B212" s="39"/>
      <c r="C212" s="27" t="s">
        <v>240</v>
      </c>
      <c r="D212" s="11">
        <v>11.5</v>
      </c>
      <c r="E212" s="11">
        <v>5</v>
      </c>
      <c r="F212" s="11"/>
      <c r="G212" s="11"/>
      <c r="H212" s="12"/>
      <c r="I212" s="27"/>
      <c r="J212" s="40"/>
      <c r="K212" s="27">
        <f t="shared" si="7"/>
        <v>16.5</v>
      </c>
    </row>
    <row r="213" s="2" customFormat="1" ht="21.75" customHeight="1" spans="1:11">
      <c r="A213" s="12" t="s">
        <v>230</v>
      </c>
      <c r="B213" s="12">
        <v>10.5</v>
      </c>
      <c r="C213" s="27" t="s">
        <v>231</v>
      </c>
      <c r="D213" s="11">
        <v>10.5</v>
      </c>
      <c r="E213" s="11">
        <v>10.5</v>
      </c>
      <c r="F213" s="11"/>
      <c r="G213" s="11"/>
      <c r="H213" s="27"/>
      <c r="I213" s="27"/>
      <c r="J213" s="40"/>
      <c r="K213" s="27">
        <f t="shared" si="7"/>
        <v>21</v>
      </c>
    </row>
    <row r="214" s="2" customFormat="1" ht="21.75" customHeight="1" spans="1:11">
      <c r="A214" s="27" t="s">
        <v>232</v>
      </c>
      <c r="B214" s="27">
        <v>12</v>
      </c>
      <c r="C214" s="27" t="s">
        <v>233</v>
      </c>
      <c r="D214" s="22">
        <v>12</v>
      </c>
      <c r="E214" s="22">
        <v>12</v>
      </c>
      <c r="F214" s="22"/>
      <c r="G214" s="22"/>
      <c r="H214" s="27"/>
      <c r="I214" s="27"/>
      <c r="J214" s="40"/>
      <c r="K214" s="27">
        <f t="shared" si="7"/>
        <v>24</v>
      </c>
    </row>
    <row r="215" s="2" customFormat="1" ht="21.75" customHeight="1" spans="1:11">
      <c r="A215" s="38"/>
      <c r="B215" s="41"/>
      <c r="C215" s="41"/>
      <c r="D215" s="41"/>
      <c r="E215" s="41"/>
      <c r="F215" s="41"/>
      <c r="G215" s="41"/>
      <c r="H215" s="41"/>
      <c r="I215" s="41"/>
      <c r="J215" s="40"/>
      <c r="K215" s="47">
        <f>SUM(K194:K214)</f>
        <v>601.5</v>
      </c>
    </row>
    <row r="218" s="2" customFormat="1" ht="21.75" customHeight="1" spans="1:11">
      <c r="A218" s="88" t="s">
        <v>402</v>
      </c>
      <c r="B218" s="88"/>
      <c r="C218" s="88"/>
      <c r="D218" s="88"/>
      <c r="E218" s="88"/>
      <c r="F218" s="88"/>
      <c r="G218" s="88"/>
      <c r="H218" s="88"/>
      <c r="I218" s="88"/>
      <c r="J218" s="88"/>
      <c r="K218" s="88"/>
    </row>
    <row r="219" s="2" customFormat="1" ht="21.75" customHeight="1" spans="1:11">
      <c r="A219" s="91" t="s">
        <v>251</v>
      </c>
      <c r="B219" s="91"/>
      <c r="C219" s="91"/>
      <c r="D219" s="92" t="s">
        <v>411</v>
      </c>
      <c r="E219" s="91"/>
      <c r="F219" s="91"/>
      <c r="G219" s="91"/>
      <c r="H219" s="91"/>
      <c r="I219" s="91"/>
      <c r="J219" s="91"/>
      <c r="K219" s="91"/>
    </row>
    <row r="220" s="2" customFormat="1" ht="21.75" customHeight="1" spans="1:11">
      <c r="A220" s="93" t="s">
        <v>200</v>
      </c>
      <c r="B220" s="93" t="s">
        <v>201</v>
      </c>
      <c r="C220" s="94" t="s">
        <v>202</v>
      </c>
      <c r="D220" s="95" t="s">
        <v>6</v>
      </c>
      <c r="E220" s="95" t="s">
        <v>6</v>
      </c>
      <c r="F220" s="93" t="s">
        <v>6</v>
      </c>
      <c r="G220" s="93" t="s">
        <v>6</v>
      </c>
      <c r="H220" s="93" t="s">
        <v>6</v>
      </c>
      <c r="I220" s="93" t="s">
        <v>6</v>
      </c>
      <c r="J220" s="93" t="s">
        <v>203</v>
      </c>
      <c r="K220" s="93" t="s">
        <v>204</v>
      </c>
    </row>
    <row r="221" s="2" customFormat="1" ht="21.75" customHeight="1" spans="1:11">
      <c r="A221" s="13" t="s">
        <v>205</v>
      </c>
      <c r="B221" s="13">
        <v>12</v>
      </c>
      <c r="C221" s="38" t="s">
        <v>206</v>
      </c>
      <c r="D221" s="28">
        <v>15</v>
      </c>
      <c r="E221" s="28">
        <v>15</v>
      </c>
      <c r="F221" s="13">
        <v>10</v>
      </c>
      <c r="G221" s="13"/>
      <c r="H221" s="13"/>
      <c r="I221" s="153"/>
      <c r="J221" s="98"/>
      <c r="K221" s="13">
        <f t="shared" ref="K221:K241" si="8">SUM(D221:J221)</f>
        <v>40</v>
      </c>
    </row>
    <row r="222" s="2" customFormat="1" ht="21.75" customHeight="1" spans="1:11">
      <c r="A222" s="96" t="s">
        <v>207</v>
      </c>
      <c r="B222" s="13">
        <v>11.5</v>
      </c>
      <c r="C222" s="17" t="s">
        <v>208</v>
      </c>
      <c r="D222" s="154">
        <v>21.5</v>
      </c>
      <c r="E222" s="154">
        <v>21.5</v>
      </c>
      <c r="F222" s="13">
        <v>0</v>
      </c>
      <c r="G222" s="13"/>
      <c r="H222" s="13"/>
      <c r="I222" s="153"/>
      <c r="J222" s="98"/>
      <c r="K222" s="13">
        <f t="shared" si="8"/>
        <v>43</v>
      </c>
    </row>
    <row r="223" s="2" customFormat="1" ht="21.75" customHeight="1" spans="1:11">
      <c r="A223" s="96"/>
      <c r="B223" s="13"/>
      <c r="C223" s="17" t="s">
        <v>210</v>
      </c>
      <c r="D223" s="154">
        <v>21.5</v>
      </c>
      <c r="E223" s="154">
        <v>21.5</v>
      </c>
      <c r="F223" s="13">
        <v>10</v>
      </c>
      <c r="G223" s="13"/>
      <c r="H223" s="13"/>
      <c r="I223" s="153"/>
      <c r="J223" s="98"/>
      <c r="K223" s="13">
        <f t="shared" si="8"/>
        <v>53</v>
      </c>
    </row>
    <row r="224" s="2" customFormat="1" ht="21.75" customHeight="1" spans="1:11">
      <c r="A224" s="19" t="s">
        <v>211</v>
      </c>
      <c r="B224" s="28">
        <v>11.5</v>
      </c>
      <c r="C224" s="17" t="s">
        <v>212</v>
      </c>
      <c r="D224" s="154">
        <v>14.3</v>
      </c>
      <c r="E224" s="154">
        <v>14.3</v>
      </c>
      <c r="F224" s="13">
        <v>11.5</v>
      </c>
      <c r="G224" s="13"/>
      <c r="H224" s="13"/>
      <c r="I224" s="153"/>
      <c r="J224" s="98"/>
      <c r="K224" s="13">
        <f t="shared" si="8"/>
        <v>40.1</v>
      </c>
    </row>
    <row r="225" s="2" customFormat="1" ht="21.75" customHeight="1" spans="1:11">
      <c r="A225" s="155"/>
      <c r="B225" s="97"/>
      <c r="C225" s="17" t="s">
        <v>213</v>
      </c>
      <c r="D225" s="154">
        <v>14.3</v>
      </c>
      <c r="E225" s="154">
        <v>14.3</v>
      </c>
      <c r="F225" s="13">
        <v>11.5</v>
      </c>
      <c r="G225" s="13"/>
      <c r="H225" s="13"/>
      <c r="I225" s="153"/>
      <c r="J225" s="98"/>
      <c r="K225" s="13">
        <f t="shared" si="8"/>
        <v>40.1</v>
      </c>
    </row>
    <row r="226" s="2" customFormat="1" ht="21.75" customHeight="1" spans="1:11">
      <c r="A226" s="155"/>
      <c r="B226" s="97"/>
      <c r="C226" s="13" t="s">
        <v>214</v>
      </c>
      <c r="D226" s="156">
        <v>14.3</v>
      </c>
      <c r="E226" s="156">
        <v>14.3</v>
      </c>
      <c r="F226" s="13">
        <v>11.5</v>
      </c>
      <c r="G226" s="13"/>
      <c r="H226" s="13"/>
      <c r="I226" s="153"/>
      <c r="J226" s="98"/>
      <c r="K226" s="13">
        <f t="shared" si="8"/>
        <v>40.1</v>
      </c>
    </row>
    <row r="227" s="2" customFormat="1" ht="21.75" customHeight="1" spans="1:11">
      <c r="A227" s="155"/>
      <c r="B227" s="97"/>
      <c r="C227" s="17" t="s">
        <v>216</v>
      </c>
      <c r="D227" s="154">
        <v>0</v>
      </c>
      <c r="E227" s="154">
        <v>0</v>
      </c>
      <c r="F227" s="13">
        <v>0</v>
      </c>
      <c r="G227" s="13"/>
      <c r="H227" s="13"/>
      <c r="I227" s="153"/>
      <c r="J227" s="98"/>
      <c r="K227" s="13">
        <f t="shared" si="8"/>
        <v>0</v>
      </c>
    </row>
    <row r="228" s="2" customFormat="1" ht="21.75" customHeight="1" spans="1:11">
      <c r="A228" s="20"/>
      <c r="B228" s="157"/>
      <c r="C228" s="17" t="s">
        <v>215</v>
      </c>
      <c r="D228" s="154">
        <v>14.3</v>
      </c>
      <c r="E228" s="154">
        <v>14.3</v>
      </c>
      <c r="F228" s="13">
        <v>11.5</v>
      </c>
      <c r="G228" s="13"/>
      <c r="H228" s="13"/>
      <c r="I228" s="153"/>
      <c r="J228" s="98"/>
      <c r="K228" s="13">
        <f t="shared" si="8"/>
        <v>40.1</v>
      </c>
    </row>
    <row r="229" s="2" customFormat="1" ht="21.75" customHeight="1" spans="1:11">
      <c r="A229" s="13" t="s">
        <v>217</v>
      </c>
      <c r="B229" s="13">
        <v>10.5</v>
      </c>
      <c r="C229" s="13" t="s">
        <v>218</v>
      </c>
      <c r="D229" s="154">
        <v>16.7</v>
      </c>
      <c r="E229" s="154">
        <v>16.7</v>
      </c>
      <c r="F229" s="13">
        <v>10</v>
      </c>
      <c r="G229" s="13"/>
      <c r="H229" s="13"/>
      <c r="I229" s="153"/>
      <c r="J229" s="98"/>
      <c r="K229" s="13">
        <f t="shared" si="8"/>
        <v>43.4</v>
      </c>
    </row>
    <row r="230" s="2" customFormat="1" ht="21.75" customHeight="1" spans="1:11">
      <c r="A230" s="13"/>
      <c r="B230" s="13"/>
      <c r="C230" s="13" t="s">
        <v>219</v>
      </c>
      <c r="D230" s="28">
        <v>16.7</v>
      </c>
      <c r="E230" s="28">
        <v>16.7</v>
      </c>
      <c r="F230" s="13">
        <v>10</v>
      </c>
      <c r="G230" s="13"/>
      <c r="H230" s="13"/>
      <c r="I230" s="153"/>
      <c r="J230" s="98"/>
      <c r="K230" s="13">
        <f t="shared" si="8"/>
        <v>43.4</v>
      </c>
    </row>
    <row r="231" s="2" customFormat="1" ht="21.75" customHeight="1" spans="1:11">
      <c r="A231" s="13" t="s">
        <v>220</v>
      </c>
      <c r="B231" s="13">
        <v>11.5</v>
      </c>
      <c r="C231" s="17" t="s">
        <v>221</v>
      </c>
      <c r="D231" s="28">
        <v>0</v>
      </c>
      <c r="E231" s="28">
        <v>0</v>
      </c>
      <c r="F231" s="13">
        <v>0</v>
      </c>
      <c r="G231" s="13"/>
      <c r="H231" s="13"/>
      <c r="I231" s="153"/>
      <c r="J231" s="98"/>
      <c r="K231" s="13">
        <f t="shared" si="8"/>
        <v>0</v>
      </c>
    </row>
    <row r="232" s="2" customFormat="1" ht="21.75" customHeight="1" spans="1:11">
      <c r="A232" s="13"/>
      <c r="B232" s="13"/>
      <c r="C232" s="17" t="s">
        <v>222</v>
      </c>
      <c r="D232" s="28">
        <v>16.7</v>
      </c>
      <c r="E232" s="28">
        <v>16.7</v>
      </c>
      <c r="F232" s="13">
        <v>10</v>
      </c>
      <c r="G232" s="13"/>
      <c r="H232" s="13"/>
      <c r="I232" s="153"/>
      <c r="J232" s="98"/>
      <c r="K232" s="13">
        <f t="shared" si="8"/>
        <v>43.4</v>
      </c>
    </row>
    <row r="233" s="2" customFormat="1" ht="21.75" customHeight="1" spans="1:11">
      <c r="A233" s="13"/>
      <c r="B233" s="13"/>
      <c r="C233" s="17" t="s">
        <v>223</v>
      </c>
      <c r="D233" s="28">
        <v>16.7</v>
      </c>
      <c r="E233" s="28">
        <v>16.7</v>
      </c>
      <c r="F233" s="13">
        <v>5</v>
      </c>
      <c r="G233" s="13"/>
      <c r="H233" s="13"/>
      <c r="I233" s="153"/>
      <c r="J233" s="98"/>
      <c r="K233" s="13">
        <f t="shared" si="8"/>
        <v>38.4</v>
      </c>
    </row>
    <row r="234" s="2" customFormat="1" ht="21.75" customHeight="1" spans="1:11">
      <c r="A234" s="13"/>
      <c r="B234" s="13"/>
      <c r="C234" s="17" t="s">
        <v>224</v>
      </c>
      <c r="D234" s="28">
        <v>0</v>
      </c>
      <c r="E234" s="28">
        <v>0</v>
      </c>
      <c r="F234" s="13">
        <v>0</v>
      </c>
      <c r="G234" s="13"/>
      <c r="H234" s="13"/>
      <c r="I234" s="153"/>
      <c r="J234" s="98"/>
      <c r="K234" s="13">
        <f t="shared" si="8"/>
        <v>0</v>
      </c>
    </row>
    <row r="235" s="2" customFormat="1" ht="21.75" customHeight="1" spans="1:11">
      <c r="A235" s="85" t="s">
        <v>225</v>
      </c>
      <c r="B235" s="85">
        <v>10.5</v>
      </c>
      <c r="C235" s="13" t="s">
        <v>226</v>
      </c>
      <c r="D235" s="28">
        <v>16.7</v>
      </c>
      <c r="E235" s="28">
        <v>16.7</v>
      </c>
      <c r="F235" s="28">
        <v>0</v>
      </c>
      <c r="G235" s="28"/>
      <c r="H235" s="28"/>
      <c r="I235" s="153"/>
      <c r="J235" s="98"/>
      <c r="K235" s="13">
        <f t="shared" si="8"/>
        <v>33.4</v>
      </c>
    </row>
    <row r="236" s="2" customFormat="1" ht="21.75" customHeight="1" spans="1:11">
      <c r="A236" s="85"/>
      <c r="B236" s="85"/>
      <c r="C236" s="13" t="s">
        <v>228</v>
      </c>
      <c r="D236" s="28">
        <v>16.7</v>
      </c>
      <c r="E236" s="28">
        <v>16.7</v>
      </c>
      <c r="F236" s="13">
        <v>10</v>
      </c>
      <c r="G236" s="13"/>
      <c r="H236" s="13"/>
      <c r="I236" s="153"/>
      <c r="J236" s="98"/>
      <c r="K236" s="13">
        <f t="shared" si="8"/>
        <v>43.4</v>
      </c>
    </row>
    <row r="237" s="2" customFormat="1" ht="21.75" customHeight="1" spans="1:11">
      <c r="A237" s="85"/>
      <c r="B237" s="85"/>
      <c r="C237" s="13" t="s">
        <v>227</v>
      </c>
      <c r="D237" s="28">
        <v>0</v>
      </c>
      <c r="E237" s="28">
        <v>0</v>
      </c>
      <c r="F237" s="13">
        <v>5</v>
      </c>
      <c r="G237" s="13"/>
      <c r="H237" s="13"/>
      <c r="I237" s="153"/>
      <c r="J237" s="98"/>
      <c r="K237" s="13">
        <f t="shared" si="8"/>
        <v>5</v>
      </c>
    </row>
    <row r="238" s="2" customFormat="1" ht="21.75" customHeight="1" spans="1:11">
      <c r="A238" s="85"/>
      <c r="B238" s="85"/>
      <c r="C238" s="13" t="s">
        <v>229</v>
      </c>
      <c r="D238" s="28">
        <v>16.7</v>
      </c>
      <c r="E238" s="28">
        <v>16.7</v>
      </c>
      <c r="F238" s="13">
        <v>5</v>
      </c>
      <c r="G238" s="13"/>
      <c r="H238" s="13"/>
      <c r="I238" s="153"/>
      <c r="J238" s="98"/>
      <c r="K238" s="13">
        <f t="shared" si="8"/>
        <v>38.4</v>
      </c>
    </row>
    <row r="239" s="2" customFormat="1" ht="21.75" customHeight="1" spans="1:11">
      <c r="A239" s="85"/>
      <c r="B239" s="85"/>
      <c r="C239" s="13" t="s">
        <v>240</v>
      </c>
      <c r="D239" s="28">
        <v>16.7</v>
      </c>
      <c r="E239" s="28">
        <v>16.7</v>
      </c>
      <c r="F239" s="13">
        <v>5</v>
      </c>
      <c r="G239" s="13"/>
      <c r="H239" s="13"/>
      <c r="I239" s="153"/>
      <c r="J239" s="98"/>
      <c r="K239" s="13">
        <f t="shared" si="8"/>
        <v>38.4</v>
      </c>
    </row>
    <row r="240" s="2" customFormat="1" ht="21.75" customHeight="1" spans="1:11">
      <c r="A240" s="28" t="s">
        <v>230</v>
      </c>
      <c r="B240" s="28">
        <v>10.5</v>
      </c>
      <c r="C240" s="13" t="s">
        <v>231</v>
      </c>
      <c r="D240" s="13">
        <v>10</v>
      </c>
      <c r="E240" s="13">
        <v>10</v>
      </c>
      <c r="F240" s="13">
        <v>10</v>
      </c>
      <c r="G240" s="13"/>
      <c r="H240" s="13"/>
      <c r="I240" s="153"/>
      <c r="J240" s="98"/>
      <c r="K240" s="13">
        <f t="shared" si="8"/>
        <v>30</v>
      </c>
    </row>
    <row r="241" s="2" customFormat="1" ht="21.75" customHeight="1" spans="1:11">
      <c r="A241" s="13" t="s">
        <v>232</v>
      </c>
      <c r="B241" s="13">
        <v>12</v>
      </c>
      <c r="C241" s="13" t="s">
        <v>233</v>
      </c>
      <c r="D241" s="13">
        <v>12</v>
      </c>
      <c r="E241" s="13">
        <v>12</v>
      </c>
      <c r="F241" s="13">
        <v>12</v>
      </c>
      <c r="G241" s="13"/>
      <c r="H241" s="13"/>
      <c r="I241" s="153"/>
      <c r="J241" s="98"/>
      <c r="K241" s="13">
        <f t="shared" si="8"/>
        <v>36</v>
      </c>
    </row>
    <row r="242" s="2" customFormat="1" ht="21.75" customHeight="1" spans="1:11">
      <c r="A242" s="17"/>
      <c r="B242" s="29"/>
      <c r="C242" s="29"/>
      <c r="D242" s="29"/>
      <c r="E242" s="29"/>
      <c r="F242" s="29"/>
      <c r="G242" s="29"/>
      <c r="H242" s="29"/>
      <c r="I242" s="29"/>
      <c r="J242" s="29"/>
      <c r="K242" s="13">
        <f>SUM(K221:K241)</f>
        <v>689.6</v>
      </c>
    </row>
    <row r="245" s="3" customFormat="1" ht="21" customHeight="1" spans="1:11">
      <c r="A245" s="71" t="s">
        <v>412</v>
      </c>
      <c r="B245" s="71"/>
      <c r="C245" s="71"/>
      <c r="D245" s="71"/>
      <c r="E245" s="71"/>
      <c r="F245" s="71"/>
      <c r="G245" s="71"/>
      <c r="H245" s="71"/>
      <c r="I245" s="71"/>
      <c r="J245" s="71"/>
      <c r="K245" s="71"/>
    </row>
    <row r="246" s="3" customFormat="1" ht="21" customHeight="1" spans="1:11">
      <c r="A246" s="72" t="s">
        <v>247</v>
      </c>
      <c r="B246" s="72"/>
      <c r="C246" s="72"/>
      <c r="D246" s="73" t="s">
        <v>413</v>
      </c>
      <c r="E246" s="72"/>
      <c r="F246" s="72"/>
      <c r="G246" s="72"/>
      <c r="H246" s="72"/>
      <c r="I246" s="72"/>
      <c r="J246" s="72"/>
      <c r="K246" s="72"/>
    </row>
    <row r="247" s="3" customFormat="1" ht="21" customHeight="1" spans="1:11">
      <c r="A247" s="74" t="s">
        <v>200</v>
      </c>
      <c r="B247" s="74" t="s">
        <v>201</v>
      </c>
      <c r="C247" s="75" t="s">
        <v>202</v>
      </c>
      <c r="D247" s="76" t="s">
        <v>6</v>
      </c>
      <c r="E247" s="76" t="s">
        <v>6</v>
      </c>
      <c r="F247" s="74" t="s">
        <v>6</v>
      </c>
      <c r="G247" s="74" t="s">
        <v>6</v>
      </c>
      <c r="H247" s="74" t="s">
        <v>6</v>
      </c>
      <c r="I247" s="74" t="s">
        <v>6</v>
      </c>
      <c r="J247" s="74" t="s">
        <v>203</v>
      </c>
      <c r="K247" s="74" t="s">
        <v>204</v>
      </c>
    </row>
    <row r="248" s="3" customFormat="1" ht="21" customHeight="1" spans="1:11">
      <c r="A248" s="56" t="s">
        <v>205</v>
      </c>
      <c r="B248" s="56">
        <v>12</v>
      </c>
      <c r="C248" s="54" t="s">
        <v>206</v>
      </c>
      <c r="D248" s="55">
        <v>12</v>
      </c>
      <c r="E248" s="55">
        <v>20</v>
      </c>
      <c r="F248" s="100"/>
      <c r="G248" s="77"/>
      <c r="H248" s="77"/>
      <c r="I248" s="58"/>
      <c r="J248" s="47"/>
      <c r="K248" s="56">
        <f t="shared" ref="K248:K268" si="9">SUM(D248:J248)</f>
        <v>32</v>
      </c>
    </row>
    <row r="249" s="3" customFormat="1" ht="21" customHeight="1" spans="1:11">
      <c r="A249" s="78" t="s">
        <v>207</v>
      </c>
      <c r="B249" s="56">
        <v>11.5</v>
      </c>
      <c r="C249" s="61" t="s">
        <v>208</v>
      </c>
      <c r="D249" s="55">
        <v>17.5</v>
      </c>
      <c r="E249" s="55">
        <v>25</v>
      </c>
      <c r="F249" s="100"/>
      <c r="G249" s="77"/>
      <c r="H249" s="77"/>
      <c r="I249" s="58"/>
      <c r="J249" s="47"/>
      <c r="K249" s="56">
        <f t="shared" si="9"/>
        <v>42.5</v>
      </c>
    </row>
    <row r="250" s="3" customFormat="1" ht="21" customHeight="1" spans="1:11">
      <c r="A250" s="78"/>
      <c r="B250" s="56"/>
      <c r="C250" s="61" t="s">
        <v>210</v>
      </c>
      <c r="D250" s="55">
        <v>17.5</v>
      </c>
      <c r="E250" s="55">
        <v>15</v>
      </c>
      <c r="F250" s="100"/>
      <c r="G250" s="77"/>
      <c r="H250" s="77"/>
      <c r="I250" s="58"/>
      <c r="J250" s="47"/>
      <c r="K250" s="56">
        <f t="shared" si="9"/>
        <v>32.5</v>
      </c>
    </row>
    <row r="251" s="3" customFormat="1" ht="21" customHeight="1" spans="1:11">
      <c r="A251" s="79" t="s">
        <v>237</v>
      </c>
      <c r="B251" s="56">
        <v>11.5</v>
      </c>
      <c r="C251" s="61" t="s">
        <v>212</v>
      </c>
      <c r="D251" s="55">
        <v>20</v>
      </c>
      <c r="E251" s="55">
        <v>10</v>
      </c>
      <c r="F251" s="100"/>
      <c r="G251" s="77"/>
      <c r="H251" s="77"/>
      <c r="I251" s="58"/>
      <c r="J251" s="47"/>
      <c r="K251" s="56">
        <f t="shared" si="9"/>
        <v>30</v>
      </c>
    </row>
    <row r="252" s="3" customFormat="1" ht="21" customHeight="1" spans="1:11">
      <c r="A252" s="80"/>
      <c r="B252" s="56"/>
      <c r="C252" s="3" t="s">
        <v>215</v>
      </c>
      <c r="D252" s="55">
        <v>15</v>
      </c>
      <c r="E252" s="55">
        <v>10</v>
      </c>
      <c r="F252" s="100"/>
      <c r="G252" s="77"/>
      <c r="H252" s="77"/>
      <c r="I252" s="58"/>
      <c r="J252" s="47"/>
      <c r="K252" s="56">
        <f t="shared" si="9"/>
        <v>25</v>
      </c>
    </row>
    <row r="253" s="3" customFormat="1" ht="21" customHeight="1" spans="1:11">
      <c r="A253" s="81" t="s">
        <v>238</v>
      </c>
      <c r="B253" s="56"/>
      <c r="C253" s="61" t="s">
        <v>213</v>
      </c>
      <c r="D253" s="55">
        <v>15</v>
      </c>
      <c r="E253" s="55">
        <v>10</v>
      </c>
      <c r="F253" s="100"/>
      <c r="G253" s="77"/>
      <c r="H253" s="77"/>
      <c r="I253" s="58"/>
      <c r="J253" s="47"/>
      <c r="K253" s="56">
        <f t="shared" si="9"/>
        <v>25</v>
      </c>
    </row>
    <row r="254" s="3" customFormat="1" ht="21" customHeight="1" spans="1:11">
      <c r="A254" s="82"/>
      <c r="B254" s="56"/>
      <c r="C254" s="61" t="s">
        <v>216</v>
      </c>
      <c r="D254" s="55">
        <v>15</v>
      </c>
      <c r="E254" s="55">
        <v>10</v>
      </c>
      <c r="F254" s="100"/>
      <c r="G254" s="77"/>
      <c r="H254" s="77"/>
      <c r="I254" s="83"/>
      <c r="J254" s="47"/>
      <c r="K254" s="56">
        <f t="shared" si="9"/>
        <v>25</v>
      </c>
    </row>
    <row r="255" s="3" customFormat="1" ht="21" customHeight="1" spans="1:11">
      <c r="A255" s="84" t="s">
        <v>239</v>
      </c>
      <c r="B255" s="56"/>
      <c r="C255" s="56" t="s">
        <v>214</v>
      </c>
      <c r="D255" s="55">
        <v>20</v>
      </c>
      <c r="E255" s="55">
        <v>10</v>
      </c>
      <c r="F255" s="100"/>
      <c r="G255" s="77"/>
      <c r="H255" s="77"/>
      <c r="I255" s="83"/>
      <c r="J255" s="47"/>
      <c r="K255" s="56">
        <f t="shared" si="9"/>
        <v>30</v>
      </c>
    </row>
    <row r="256" s="3" customFormat="1" ht="21" customHeight="1" spans="1:11">
      <c r="A256" s="56" t="s">
        <v>217</v>
      </c>
      <c r="B256" s="56">
        <v>10.5</v>
      </c>
      <c r="C256" s="56" t="s">
        <v>218</v>
      </c>
      <c r="D256" s="55">
        <v>15</v>
      </c>
      <c r="E256" s="55">
        <v>10</v>
      </c>
      <c r="F256" s="100"/>
      <c r="G256" s="77"/>
      <c r="H256" s="77"/>
      <c r="I256" s="58"/>
      <c r="J256" s="47"/>
      <c r="K256" s="56">
        <f t="shared" si="9"/>
        <v>25</v>
      </c>
    </row>
    <row r="257" s="3" customFormat="1" ht="21" customHeight="1" spans="1:11">
      <c r="A257" s="56"/>
      <c r="B257" s="56"/>
      <c r="C257" s="56" t="s">
        <v>219</v>
      </c>
      <c r="D257" s="55">
        <v>15</v>
      </c>
      <c r="E257" s="55">
        <v>10</v>
      </c>
      <c r="F257" s="100"/>
      <c r="G257" s="77"/>
      <c r="H257" s="77"/>
      <c r="I257" s="58"/>
      <c r="J257" s="47"/>
      <c r="K257" s="56">
        <f t="shared" si="9"/>
        <v>25</v>
      </c>
    </row>
    <row r="258" s="3" customFormat="1" ht="21" customHeight="1" spans="1:11">
      <c r="A258" s="56" t="s">
        <v>220</v>
      </c>
      <c r="B258" s="56">
        <v>11.5</v>
      </c>
      <c r="C258" s="61" t="s">
        <v>221</v>
      </c>
      <c r="D258" s="55">
        <v>48</v>
      </c>
      <c r="E258" s="55">
        <v>10</v>
      </c>
      <c r="F258" s="100"/>
      <c r="G258" s="77"/>
      <c r="H258" s="77"/>
      <c r="I258" s="58"/>
      <c r="J258" s="47"/>
      <c r="K258" s="56">
        <f t="shared" si="9"/>
        <v>58</v>
      </c>
    </row>
    <row r="259" s="3" customFormat="1" ht="21" customHeight="1" spans="1:11">
      <c r="A259" s="56"/>
      <c r="B259" s="56"/>
      <c r="C259" s="61" t="s">
        <v>222</v>
      </c>
      <c r="D259" s="47">
        <v>26</v>
      </c>
      <c r="E259" s="55">
        <v>10</v>
      </c>
      <c r="F259" s="100"/>
      <c r="G259" s="77"/>
      <c r="H259" s="77"/>
      <c r="I259" s="58"/>
      <c r="J259" s="47"/>
      <c r="K259" s="56">
        <f t="shared" si="9"/>
        <v>36</v>
      </c>
    </row>
    <row r="260" s="3" customFormat="1" ht="21" customHeight="1" spans="1:11">
      <c r="A260" s="56"/>
      <c r="B260" s="56"/>
      <c r="C260" s="61" t="s">
        <v>223</v>
      </c>
      <c r="D260" s="47">
        <v>26</v>
      </c>
      <c r="E260" s="55">
        <v>10</v>
      </c>
      <c r="F260" s="100"/>
      <c r="G260" s="77"/>
      <c r="H260" s="77"/>
      <c r="I260" s="58"/>
      <c r="J260" s="47"/>
      <c r="K260" s="56">
        <f t="shared" si="9"/>
        <v>36</v>
      </c>
    </row>
    <row r="261" s="3" customFormat="1" ht="21" customHeight="1" spans="1:11">
      <c r="A261" s="56"/>
      <c r="B261" s="56"/>
      <c r="C261" s="61" t="s">
        <v>224</v>
      </c>
      <c r="D261" s="47">
        <v>34</v>
      </c>
      <c r="E261" s="55">
        <v>10</v>
      </c>
      <c r="F261" s="100"/>
      <c r="G261" s="77"/>
      <c r="H261" s="77"/>
      <c r="I261" s="58"/>
      <c r="J261" s="47"/>
      <c r="K261" s="56">
        <f t="shared" si="9"/>
        <v>44</v>
      </c>
    </row>
    <row r="262" s="3" customFormat="1" ht="21" customHeight="1" spans="1:11">
      <c r="A262" s="85" t="s">
        <v>225</v>
      </c>
      <c r="B262" s="85">
        <v>10.5</v>
      </c>
      <c r="C262" s="56" t="s">
        <v>226</v>
      </c>
      <c r="D262" s="55">
        <v>51</v>
      </c>
      <c r="E262" s="55">
        <v>10</v>
      </c>
      <c r="F262" s="100"/>
      <c r="G262" s="77"/>
      <c r="H262" s="77"/>
      <c r="I262" s="58"/>
      <c r="J262" s="47"/>
      <c r="K262" s="56">
        <f t="shared" si="9"/>
        <v>61</v>
      </c>
    </row>
    <row r="263" s="3" customFormat="1" ht="21" customHeight="1" spans="1:11">
      <c r="A263" s="85"/>
      <c r="B263" s="85"/>
      <c r="C263" s="56" t="s">
        <v>228</v>
      </c>
      <c r="D263" s="55">
        <v>51</v>
      </c>
      <c r="E263" s="55">
        <v>10</v>
      </c>
      <c r="F263" s="100"/>
      <c r="G263" s="77"/>
      <c r="H263" s="77"/>
      <c r="I263" s="58"/>
      <c r="J263" s="47"/>
      <c r="K263" s="56">
        <f t="shared" si="9"/>
        <v>61</v>
      </c>
    </row>
    <row r="264" s="3" customFormat="1" ht="21" customHeight="1" spans="1:11">
      <c r="A264" s="85"/>
      <c r="B264" s="85"/>
      <c r="C264" s="56" t="s">
        <v>227</v>
      </c>
      <c r="D264" s="55">
        <v>34</v>
      </c>
      <c r="E264" s="55">
        <v>10</v>
      </c>
      <c r="F264" s="100"/>
      <c r="G264" s="77"/>
      <c r="H264" s="77"/>
      <c r="I264" s="58"/>
      <c r="J264" s="47"/>
      <c r="K264" s="56">
        <f t="shared" si="9"/>
        <v>44</v>
      </c>
    </row>
    <row r="265" s="3" customFormat="1" ht="21" customHeight="1" spans="1:11">
      <c r="A265" s="85"/>
      <c r="B265" s="85"/>
      <c r="C265" s="56" t="s">
        <v>229</v>
      </c>
      <c r="D265" s="55">
        <v>34</v>
      </c>
      <c r="E265" s="55">
        <v>10</v>
      </c>
      <c r="F265" s="100"/>
      <c r="G265" s="77"/>
      <c r="H265" s="77"/>
      <c r="I265" s="58"/>
      <c r="J265" s="58"/>
      <c r="K265" s="56">
        <f t="shared" si="9"/>
        <v>44</v>
      </c>
    </row>
    <row r="266" s="3" customFormat="1" ht="21" customHeight="1" spans="1:11">
      <c r="A266" s="85"/>
      <c r="B266" s="85"/>
      <c r="C266" s="56" t="s">
        <v>240</v>
      </c>
      <c r="D266" s="55">
        <v>34</v>
      </c>
      <c r="E266" s="55">
        <v>10</v>
      </c>
      <c r="F266" s="100"/>
      <c r="G266" s="77"/>
      <c r="H266" s="77"/>
      <c r="I266" s="58"/>
      <c r="J266" s="58"/>
      <c r="K266" s="56">
        <f t="shared" si="9"/>
        <v>44</v>
      </c>
    </row>
    <row r="267" s="3" customFormat="1" ht="21" customHeight="1" spans="1:11">
      <c r="A267" s="86" t="s">
        <v>230</v>
      </c>
      <c r="B267" s="86">
        <v>10.5</v>
      </c>
      <c r="C267" s="56" t="s">
        <v>231</v>
      </c>
      <c r="D267" s="55">
        <v>10.5</v>
      </c>
      <c r="E267" s="55">
        <v>10</v>
      </c>
      <c r="F267" s="100"/>
      <c r="G267" s="77"/>
      <c r="H267" s="77"/>
      <c r="I267" s="58"/>
      <c r="J267" s="58"/>
      <c r="K267" s="56">
        <f t="shared" si="9"/>
        <v>20.5</v>
      </c>
    </row>
    <row r="268" s="3" customFormat="1" ht="21" customHeight="1" spans="1:11">
      <c r="A268" s="56" t="s">
        <v>232</v>
      </c>
      <c r="B268" s="56">
        <v>12</v>
      </c>
      <c r="C268" s="56" t="s">
        <v>233</v>
      </c>
      <c r="D268" s="47">
        <v>12</v>
      </c>
      <c r="E268" s="47">
        <v>10</v>
      </c>
      <c r="F268" s="54"/>
      <c r="G268" s="77"/>
      <c r="H268" s="77"/>
      <c r="I268" s="58"/>
      <c r="J268" s="58"/>
      <c r="K268" s="56">
        <f t="shared" si="9"/>
        <v>22</v>
      </c>
    </row>
    <row r="269" s="3" customFormat="1" ht="21" customHeight="1" spans="1:11">
      <c r="A269" s="61"/>
      <c r="B269" s="87"/>
      <c r="C269" s="87"/>
      <c r="D269" s="65">
        <f t="shared" ref="D269:F269" si="10">SUM(D248:D268)</f>
        <v>522.5</v>
      </c>
      <c r="E269" s="65">
        <f t="shared" si="10"/>
        <v>240</v>
      </c>
      <c r="F269" s="65">
        <f t="shared" si="10"/>
        <v>0</v>
      </c>
      <c r="G269" s="65"/>
      <c r="H269" s="65"/>
      <c r="I269" s="65"/>
      <c r="J269" s="65"/>
      <c r="K269" s="47">
        <f>SUM(K248:K268)</f>
        <v>762.5</v>
      </c>
    </row>
    <row r="272" s="3" customFormat="1" ht="21" customHeight="1" spans="1:11">
      <c r="A272" s="71" t="s">
        <v>406</v>
      </c>
      <c r="B272" s="71"/>
      <c r="C272" s="71"/>
      <c r="D272" s="71"/>
      <c r="E272" s="71"/>
      <c r="F272" s="71"/>
      <c r="G272" s="71"/>
      <c r="H272" s="71"/>
      <c r="I272" s="71"/>
      <c r="J272" s="71"/>
      <c r="K272" s="71"/>
    </row>
    <row r="273" s="3" customFormat="1" ht="21" customHeight="1" spans="1:11">
      <c r="A273" s="72" t="s">
        <v>247</v>
      </c>
      <c r="B273" s="72"/>
      <c r="C273" s="72"/>
      <c r="D273" s="73" t="s">
        <v>414</v>
      </c>
      <c r="E273" s="72"/>
      <c r="F273" s="72"/>
      <c r="G273" s="72"/>
      <c r="H273" s="72"/>
      <c r="I273" s="72"/>
      <c r="J273" s="72"/>
      <c r="K273" s="72"/>
    </row>
    <row r="274" s="3" customFormat="1" ht="21" customHeight="1" spans="1:11">
      <c r="A274" s="74" t="s">
        <v>200</v>
      </c>
      <c r="B274" s="74" t="s">
        <v>201</v>
      </c>
      <c r="C274" s="75" t="s">
        <v>202</v>
      </c>
      <c r="D274" s="76" t="s">
        <v>6</v>
      </c>
      <c r="E274" s="76" t="s">
        <v>6</v>
      </c>
      <c r="F274" s="74" t="s">
        <v>6</v>
      </c>
      <c r="G274" s="74" t="s">
        <v>6</v>
      </c>
      <c r="H274" s="74" t="s">
        <v>6</v>
      </c>
      <c r="I274" s="74" t="s">
        <v>6</v>
      </c>
      <c r="J274" s="74" t="s">
        <v>203</v>
      </c>
      <c r="K274" s="74" t="s">
        <v>204</v>
      </c>
    </row>
    <row r="275" s="3" customFormat="1" ht="21" customHeight="1" spans="1:11">
      <c r="A275" s="56" t="s">
        <v>205</v>
      </c>
      <c r="B275" s="56">
        <v>12</v>
      </c>
      <c r="C275" s="54" t="s">
        <v>206</v>
      </c>
      <c r="D275" s="55">
        <v>12</v>
      </c>
      <c r="E275" s="55">
        <v>20</v>
      </c>
      <c r="F275" s="100"/>
      <c r="G275" s="77"/>
      <c r="H275" s="77"/>
      <c r="I275" s="58"/>
      <c r="J275" s="47"/>
      <c r="K275" s="56">
        <f>SUM(D275:J275)</f>
        <v>32</v>
      </c>
    </row>
    <row r="276" s="3" customFormat="1" ht="21" customHeight="1" spans="1:11">
      <c r="A276" s="78" t="s">
        <v>207</v>
      </c>
      <c r="B276" s="56">
        <v>11.5</v>
      </c>
      <c r="C276" s="61" t="s">
        <v>208</v>
      </c>
      <c r="D276" s="55">
        <v>17</v>
      </c>
      <c r="E276" s="55">
        <v>20</v>
      </c>
      <c r="F276" s="100"/>
      <c r="G276" s="77"/>
      <c r="H276" s="77"/>
      <c r="I276" s="58"/>
      <c r="J276" s="47"/>
      <c r="K276" s="56">
        <f>SUM(D276:J276)</f>
        <v>37</v>
      </c>
    </row>
    <row r="277" s="3" customFormat="1" ht="21" customHeight="1" spans="1:11">
      <c r="A277" s="78"/>
      <c r="B277" s="56"/>
      <c r="C277" s="61" t="s">
        <v>210</v>
      </c>
      <c r="D277" s="55">
        <v>17</v>
      </c>
      <c r="E277" s="55">
        <v>10</v>
      </c>
      <c r="F277" s="100"/>
      <c r="G277" s="77"/>
      <c r="H277" s="77"/>
      <c r="I277" s="58"/>
      <c r="J277" s="47"/>
      <c r="K277" s="56">
        <f t="shared" ref="K277:K296" si="11">SUM(D277:J277)</f>
        <v>27</v>
      </c>
    </row>
    <row r="278" s="3" customFormat="1" ht="21" customHeight="1" spans="1:11">
      <c r="A278" s="79" t="s">
        <v>237</v>
      </c>
      <c r="B278" s="56">
        <v>11.5</v>
      </c>
      <c r="C278" s="61" t="s">
        <v>212</v>
      </c>
      <c r="D278" s="55">
        <v>20</v>
      </c>
      <c r="E278" s="55">
        <v>10</v>
      </c>
      <c r="F278" s="100"/>
      <c r="G278" s="77"/>
      <c r="H278" s="77"/>
      <c r="I278" s="58"/>
      <c r="J278" s="47"/>
      <c r="K278" s="56">
        <f t="shared" si="11"/>
        <v>30</v>
      </c>
    </row>
    <row r="279" s="3" customFormat="1" ht="21" customHeight="1" spans="1:11">
      <c r="A279" s="80"/>
      <c r="B279" s="56"/>
      <c r="C279" s="3" t="s">
        <v>215</v>
      </c>
      <c r="D279" s="55">
        <v>15</v>
      </c>
      <c r="E279" s="55">
        <v>10</v>
      </c>
      <c r="F279" s="100"/>
      <c r="G279" s="77"/>
      <c r="H279" s="77"/>
      <c r="I279" s="58"/>
      <c r="J279" s="47"/>
      <c r="K279" s="56">
        <f t="shared" si="11"/>
        <v>25</v>
      </c>
    </row>
    <row r="280" s="3" customFormat="1" ht="21" customHeight="1" spans="1:11">
      <c r="A280" s="81" t="s">
        <v>238</v>
      </c>
      <c r="B280" s="56"/>
      <c r="C280" s="61" t="s">
        <v>213</v>
      </c>
      <c r="D280" s="55">
        <v>15</v>
      </c>
      <c r="E280" s="55">
        <v>10</v>
      </c>
      <c r="F280" s="100"/>
      <c r="G280" s="77"/>
      <c r="H280" s="77"/>
      <c r="I280" s="58"/>
      <c r="J280" s="47"/>
      <c r="K280" s="56">
        <f t="shared" si="11"/>
        <v>25</v>
      </c>
    </row>
    <row r="281" s="3" customFormat="1" ht="21" customHeight="1" spans="1:11">
      <c r="A281" s="82"/>
      <c r="B281" s="56"/>
      <c r="C281" s="61" t="s">
        <v>216</v>
      </c>
      <c r="D281" s="55">
        <v>15</v>
      </c>
      <c r="E281" s="55">
        <v>10</v>
      </c>
      <c r="F281" s="100"/>
      <c r="G281" s="77"/>
      <c r="H281" s="77"/>
      <c r="I281" s="83"/>
      <c r="J281" s="47"/>
      <c r="K281" s="56">
        <f t="shared" si="11"/>
        <v>25</v>
      </c>
    </row>
    <row r="282" s="3" customFormat="1" ht="21" customHeight="1" spans="1:11">
      <c r="A282" s="84" t="s">
        <v>239</v>
      </c>
      <c r="B282" s="56"/>
      <c r="C282" s="56" t="s">
        <v>214</v>
      </c>
      <c r="D282" s="55">
        <v>15</v>
      </c>
      <c r="E282" s="55">
        <v>10</v>
      </c>
      <c r="F282" s="100"/>
      <c r="G282" s="77"/>
      <c r="H282" s="77"/>
      <c r="I282" s="83"/>
      <c r="J282" s="47"/>
      <c r="K282" s="56">
        <f t="shared" si="11"/>
        <v>25</v>
      </c>
    </row>
    <row r="283" s="3" customFormat="1" ht="21" customHeight="1" spans="1:11">
      <c r="A283" s="56" t="s">
        <v>217</v>
      </c>
      <c r="B283" s="56">
        <v>10.5</v>
      </c>
      <c r="C283" s="56" t="s">
        <v>218</v>
      </c>
      <c r="D283" s="55">
        <v>15</v>
      </c>
      <c r="E283" s="55">
        <v>10</v>
      </c>
      <c r="F283" s="100"/>
      <c r="G283" s="77"/>
      <c r="H283" s="77"/>
      <c r="I283" s="58"/>
      <c r="J283" s="47"/>
      <c r="K283" s="56">
        <f t="shared" si="11"/>
        <v>25</v>
      </c>
    </row>
    <row r="284" s="3" customFormat="1" ht="21" customHeight="1" spans="1:11">
      <c r="A284" s="56"/>
      <c r="B284" s="56"/>
      <c r="C284" s="56" t="s">
        <v>219</v>
      </c>
      <c r="D284" s="55">
        <v>15</v>
      </c>
      <c r="E284" s="55">
        <v>10</v>
      </c>
      <c r="F284" s="100"/>
      <c r="G284" s="77"/>
      <c r="H284" s="77"/>
      <c r="I284" s="58"/>
      <c r="J284" s="47"/>
      <c r="K284" s="56">
        <f t="shared" si="11"/>
        <v>25</v>
      </c>
    </row>
    <row r="285" s="3" customFormat="1" ht="21" customHeight="1" spans="1:11">
      <c r="A285" s="56" t="s">
        <v>220</v>
      </c>
      <c r="B285" s="56">
        <v>11.5</v>
      </c>
      <c r="C285" s="61" t="s">
        <v>221</v>
      </c>
      <c r="D285" s="55">
        <v>35</v>
      </c>
      <c r="E285" s="55">
        <v>10</v>
      </c>
      <c r="F285" s="100"/>
      <c r="G285" s="77"/>
      <c r="H285" s="77"/>
      <c r="I285" s="58"/>
      <c r="J285" s="47"/>
      <c r="K285" s="56">
        <f t="shared" si="11"/>
        <v>45</v>
      </c>
    </row>
    <row r="286" s="3" customFormat="1" ht="21" customHeight="1" spans="1:11">
      <c r="A286" s="56"/>
      <c r="B286" s="56"/>
      <c r="C286" s="61" t="s">
        <v>222</v>
      </c>
      <c r="D286" s="47">
        <v>30</v>
      </c>
      <c r="E286" s="55">
        <v>10</v>
      </c>
      <c r="F286" s="100"/>
      <c r="G286" s="77"/>
      <c r="H286" s="77"/>
      <c r="I286" s="58"/>
      <c r="J286" s="47"/>
      <c r="K286" s="56">
        <f t="shared" si="11"/>
        <v>40</v>
      </c>
    </row>
    <row r="287" s="3" customFormat="1" ht="21" customHeight="1" spans="1:11">
      <c r="A287" s="56"/>
      <c r="B287" s="56"/>
      <c r="C287" s="61" t="s">
        <v>223</v>
      </c>
      <c r="D287" s="47">
        <v>40</v>
      </c>
      <c r="E287" s="55">
        <v>10</v>
      </c>
      <c r="F287" s="100"/>
      <c r="G287" s="77"/>
      <c r="H287" s="77"/>
      <c r="I287" s="58"/>
      <c r="J287" s="47"/>
      <c r="K287" s="56">
        <f t="shared" si="11"/>
        <v>50</v>
      </c>
    </row>
    <row r="288" s="3" customFormat="1" ht="21" customHeight="1" spans="1:11">
      <c r="A288" s="56"/>
      <c r="B288" s="56"/>
      <c r="C288" s="61" t="s">
        <v>224</v>
      </c>
      <c r="D288" s="47">
        <v>40</v>
      </c>
      <c r="E288" s="55">
        <v>10</v>
      </c>
      <c r="F288" s="100"/>
      <c r="G288" s="77"/>
      <c r="H288" s="77"/>
      <c r="I288" s="58"/>
      <c r="J288" s="47"/>
      <c r="K288" s="56">
        <f t="shared" si="11"/>
        <v>50</v>
      </c>
    </row>
    <row r="289" s="3" customFormat="1" ht="21" customHeight="1" spans="1:11">
      <c r="A289" s="85" t="s">
        <v>225</v>
      </c>
      <c r="B289" s="85">
        <v>10.5</v>
      </c>
      <c r="C289" s="56" t="s">
        <v>226</v>
      </c>
      <c r="D289" s="55">
        <v>20.5</v>
      </c>
      <c r="E289" s="55">
        <v>10</v>
      </c>
      <c r="F289" s="100"/>
      <c r="G289" s="77"/>
      <c r="H289" s="77"/>
      <c r="I289" s="58"/>
      <c r="J289" s="47"/>
      <c r="K289" s="56">
        <f t="shared" si="11"/>
        <v>30.5</v>
      </c>
    </row>
    <row r="290" s="3" customFormat="1" ht="21" customHeight="1" spans="1:11">
      <c r="A290" s="85"/>
      <c r="B290" s="85"/>
      <c r="C290" s="56" t="s">
        <v>228</v>
      </c>
      <c r="D290" s="55">
        <v>20.5</v>
      </c>
      <c r="E290" s="55">
        <v>10</v>
      </c>
      <c r="F290" s="100"/>
      <c r="G290" s="77"/>
      <c r="H290" s="77"/>
      <c r="I290" s="58"/>
      <c r="J290" s="47"/>
      <c r="K290" s="56">
        <f t="shared" si="11"/>
        <v>30.5</v>
      </c>
    </row>
    <row r="291" s="3" customFormat="1" ht="21" customHeight="1" spans="1:11">
      <c r="A291" s="85"/>
      <c r="B291" s="85"/>
      <c r="C291" s="56" t="s">
        <v>227</v>
      </c>
      <c r="D291" s="55">
        <v>20.5</v>
      </c>
      <c r="E291" s="55">
        <v>10</v>
      </c>
      <c r="F291" s="100"/>
      <c r="G291" s="77"/>
      <c r="H291" s="77"/>
      <c r="I291" s="58"/>
      <c r="J291" s="47"/>
      <c r="K291" s="56">
        <f t="shared" si="11"/>
        <v>30.5</v>
      </c>
    </row>
    <row r="292" s="3" customFormat="1" ht="21" customHeight="1" spans="1:11">
      <c r="A292" s="85"/>
      <c r="B292" s="85"/>
      <c r="C292" s="56" t="s">
        <v>229</v>
      </c>
      <c r="D292" s="55">
        <v>20.5</v>
      </c>
      <c r="E292" s="55">
        <v>10</v>
      </c>
      <c r="F292" s="100"/>
      <c r="G292" s="77"/>
      <c r="H292" s="77"/>
      <c r="I292" s="58"/>
      <c r="J292" s="58"/>
      <c r="K292" s="56">
        <f t="shared" si="11"/>
        <v>30.5</v>
      </c>
    </row>
    <row r="293" s="3" customFormat="1" ht="21" customHeight="1" spans="1:11">
      <c r="A293" s="85"/>
      <c r="B293" s="85"/>
      <c r="C293" s="56" t="s">
        <v>240</v>
      </c>
      <c r="D293" s="55">
        <v>20.5</v>
      </c>
      <c r="E293" s="55">
        <v>10</v>
      </c>
      <c r="F293" s="100"/>
      <c r="G293" s="77"/>
      <c r="H293" s="77"/>
      <c r="I293" s="58"/>
      <c r="J293" s="58"/>
      <c r="K293" s="56">
        <f t="shared" si="11"/>
        <v>30.5</v>
      </c>
    </row>
    <row r="294" s="3" customFormat="1" ht="21" customHeight="1" spans="1:11">
      <c r="A294" s="86" t="s">
        <v>230</v>
      </c>
      <c r="B294" s="86">
        <v>10.5</v>
      </c>
      <c r="C294" s="56" t="s">
        <v>231</v>
      </c>
      <c r="D294" s="55">
        <v>10</v>
      </c>
      <c r="E294" s="55">
        <v>10</v>
      </c>
      <c r="F294" s="100"/>
      <c r="G294" s="77"/>
      <c r="H294" s="77"/>
      <c r="I294" s="58"/>
      <c r="J294" s="58"/>
      <c r="K294" s="56">
        <f t="shared" si="11"/>
        <v>20</v>
      </c>
    </row>
    <row r="295" s="3" customFormat="1" ht="21" customHeight="1" spans="1:11">
      <c r="A295" s="56" t="s">
        <v>232</v>
      </c>
      <c r="B295" s="56">
        <v>12</v>
      </c>
      <c r="C295" s="56" t="s">
        <v>233</v>
      </c>
      <c r="D295" s="47">
        <v>12</v>
      </c>
      <c r="E295" s="47">
        <v>10</v>
      </c>
      <c r="F295" s="54"/>
      <c r="G295" s="77"/>
      <c r="H295" s="77"/>
      <c r="I295" s="58"/>
      <c r="J295" s="58"/>
      <c r="K295" s="56">
        <f t="shared" si="11"/>
        <v>22</v>
      </c>
    </row>
    <row r="296" s="3" customFormat="1" ht="21" customHeight="1" spans="1:11">
      <c r="A296" s="211"/>
      <c r="B296" s="212"/>
      <c r="C296" s="212"/>
      <c r="D296" s="213"/>
      <c r="E296" s="213"/>
      <c r="F296" s="213"/>
      <c r="G296" s="213"/>
      <c r="H296" s="213"/>
      <c r="I296" s="213"/>
      <c r="J296" s="213"/>
      <c r="K296" s="47">
        <f>SUM(K275:K295)</f>
        <v>655.5</v>
      </c>
    </row>
    <row r="299" s="1" customFormat="1" ht="21" customHeight="1" spans="1:11">
      <c r="A299" s="32" t="s">
        <v>412</v>
      </c>
      <c r="B299" s="33"/>
      <c r="C299" s="33"/>
      <c r="D299" s="33"/>
      <c r="E299" s="33"/>
      <c r="F299" s="33"/>
      <c r="G299" s="33"/>
      <c r="H299" s="33"/>
      <c r="I299" s="33"/>
      <c r="J299" s="33"/>
      <c r="K299" s="34"/>
    </row>
    <row r="300" s="1" customFormat="1" ht="21" customHeight="1" spans="1:11">
      <c r="A300" s="35" t="s">
        <v>253</v>
      </c>
      <c r="B300" s="36"/>
      <c r="C300" s="36"/>
      <c r="D300" s="37" t="s">
        <v>415</v>
      </c>
      <c r="E300" s="36"/>
      <c r="F300" s="36"/>
      <c r="G300" s="36"/>
      <c r="H300" s="36"/>
      <c r="I300" s="36"/>
      <c r="J300" s="36"/>
      <c r="K300" s="36"/>
    </row>
    <row r="301" s="1" customFormat="1" ht="21" customHeight="1" spans="1:11">
      <c r="A301" s="27" t="s">
        <v>200</v>
      </c>
      <c r="B301" s="27" t="s">
        <v>201</v>
      </c>
      <c r="C301" s="38" t="s">
        <v>202</v>
      </c>
      <c r="D301" s="12" t="s">
        <v>6</v>
      </c>
      <c r="E301" s="12" t="s">
        <v>6</v>
      </c>
      <c r="F301" s="27" t="s">
        <v>6</v>
      </c>
      <c r="G301" s="27" t="s">
        <v>6</v>
      </c>
      <c r="H301" s="27" t="s">
        <v>6</v>
      </c>
      <c r="I301" s="27" t="s">
        <v>6</v>
      </c>
      <c r="J301" s="27" t="s">
        <v>203</v>
      </c>
      <c r="K301" s="27" t="s">
        <v>204</v>
      </c>
    </row>
    <row r="302" s="1" customFormat="1" ht="21" customHeight="1" spans="1:11">
      <c r="A302" s="27" t="s">
        <v>205</v>
      </c>
      <c r="B302" s="27">
        <v>12</v>
      </c>
      <c r="C302" s="38" t="s">
        <v>206</v>
      </c>
      <c r="D302" s="12">
        <v>15</v>
      </c>
      <c r="E302" s="12">
        <v>10</v>
      </c>
      <c r="F302" s="12"/>
      <c r="G302" s="12"/>
      <c r="H302" s="12"/>
      <c r="I302" s="27"/>
      <c r="J302" s="27"/>
      <c r="K302" s="13">
        <f t="shared" ref="K302:K323" si="12">SUM(D302:J302)</f>
        <v>25</v>
      </c>
    </row>
    <row r="303" s="1" customFormat="1" ht="21" customHeight="1" spans="1:11">
      <c r="A303" s="21" t="s">
        <v>207</v>
      </c>
      <c r="B303" s="27">
        <v>11.5</v>
      </c>
      <c r="C303" s="38" t="s">
        <v>208</v>
      </c>
      <c r="D303" s="12">
        <v>22</v>
      </c>
      <c r="E303" s="12">
        <v>15</v>
      </c>
      <c r="F303" s="12"/>
      <c r="G303" s="12"/>
      <c r="H303" s="12"/>
      <c r="I303" s="27"/>
      <c r="J303" s="27"/>
      <c r="K303" s="13">
        <f t="shared" si="12"/>
        <v>37</v>
      </c>
    </row>
    <row r="304" s="1" customFormat="1" ht="21" customHeight="1" spans="1:11">
      <c r="A304" s="21"/>
      <c r="B304" s="27"/>
      <c r="C304" s="38" t="s">
        <v>210</v>
      </c>
      <c r="D304" s="12">
        <v>22</v>
      </c>
      <c r="E304" s="12">
        <v>15</v>
      </c>
      <c r="F304" s="12"/>
      <c r="G304" s="12"/>
      <c r="H304" s="12"/>
      <c r="I304" s="27"/>
      <c r="J304" s="27"/>
      <c r="K304" s="13">
        <f t="shared" si="12"/>
        <v>37</v>
      </c>
    </row>
    <row r="305" s="1" customFormat="1" ht="21" customHeight="1" spans="1:11">
      <c r="A305" s="16" t="s">
        <v>237</v>
      </c>
      <c r="B305" s="13">
        <v>11.5</v>
      </c>
      <c r="C305" s="17" t="s">
        <v>212</v>
      </c>
      <c r="D305" s="12">
        <v>14.3</v>
      </c>
      <c r="E305" s="12">
        <v>11</v>
      </c>
      <c r="F305" s="12"/>
      <c r="G305" s="12"/>
      <c r="H305" s="12"/>
      <c r="I305" s="27"/>
      <c r="J305" s="27"/>
      <c r="K305" s="13">
        <f t="shared" si="12"/>
        <v>25.3</v>
      </c>
    </row>
    <row r="306" s="1" customFormat="1" ht="21" customHeight="1" spans="1:11">
      <c r="A306" s="18"/>
      <c r="B306" s="13"/>
      <c r="C306" s="1" t="s">
        <v>215</v>
      </c>
      <c r="D306" s="12">
        <v>14.3</v>
      </c>
      <c r="E306" s="12">
        <v>11</v>
      </c>
      <c r="F306" s="12"/>
      <c r="G306" s="12"/>
      <c r="H306" s="12"/>
      <c r="I306" s="27"/>
      <c r="J306" s="27"/>
      <c r="K306" s="13">
        <f t="shared" si="12"/>
        <v>25.3</v>
      </c>
    </row>
    <row r="307" s="1" customFormat="1" ht="21" customHeight="1" spans="1:11">
      <c r="A307" s="19" t="s">
        <v>238</v>
      </c>
      <c r="B307" s="13"/>
      <c r="C307" s="17" t="s">
        <v>213</v>
      </c>
      <c r="D307" s="12">
        <v>14.3</v>
      </c>
      <c r="E307" s="12">
        <v>11</v>
      </c>
      <c r="F307" s="12"/>
      <c r="G307" s="12"/>
      <c r="H307" s="12"/>
      <c r="I307" s="27"/>
      <c r="J307" s="27"/>
      <c r="K307" s="13">
        <f t="shared" si="12"/>
        <v>25.3</v>
      </c>
    </row>
    <row r="308" s="1" customFormat="1" ht="21" customHeight="1" spans="1:11">
      <c r="A308" s="20"/>
      <c r="B308" s="13"/>
      <c r="C308" s="17" t="s">
        <v>216</v>
      </c>
      <c r="D308" s="12">
        <v>14.3</v>
      </c>
      <c r="E308" s="12">
        <v>11</v>
      </c>
      <c r="F308" s="12"/>
      <c r="G308" s="12"/>
      <c r="H308" s="12"/>
      <c r="I308" s="12"/>
      <c r="J308" s="27"/>
      <c r="K308" s="13">
        <f t="shared" si="12"/>
        <v>25.3</v>
      </c>
    </row>
    <row r="309" s="1" customFormat="1" ht="21" customHeight="1" spans="1:11">
      <c r="A309" s="21" t="s">
        <v>239</v>
      </c>
      <c r="B309" s="13"/>
      <c r="C309" s="13" t="s">
        <v>214</v>
      </c>
      <c r="D309" s="12">
        <v>14.3</v>
      </c>
      <c r="E309" s="12">
        <v>11</v>
      </c>
      <c r="F309" s="12"/>
      <c r="G309" s="12"/>
      <c r="H309" s="12"/>
      <c r="I309" s="12"/>
      <c r="J309" s="27"/>
      <c r="K309" s="13">
        <f t="shared" si="12"/>
        <v>25.3</v>
      </c>
    </row>
    <row r="310" s="1" customFormat="1" ht="21" customHeight="1" spans="1:11">
      <c r="A310" s="27" t="s">
        <v>217</v>
      </c>
      <c r="B310" s="27">
        <v>10.5</v>
      </c>
      <c r="C310" s="27" t="s">
        <v>218</v>
      </c>
      <c r="D310" s="12">
        <v>16.7</v>
      </c>
      <c r="E310" s="12">
        <v>10</v>
      </c>
      <c r="F310" s="12"/>
      <c r="G310" s="12"/>
      <c r="H310" s="12"/>
      <c r="I310" s="27"/>
      <c r="J310" s="27"/>
      <c r="K310" s="13">
        <f t="shared" si="12"/>
        <v>26.7</v>
      </c>
    </row>
    <row r="311" s="1" customFormat="1" ht="21" customHeight="1" spans="1:11">
      <c r="A311" s="27"/>
      <c r="B311" s="27"/>
      <c r="C311" s="27" t="s">
        <v>219</v>
      </c>
      <c r="D311" s="12">
        <v>16.7</v>
      </c>
      <c r="E311" s="12">
        <v>10</v>
      </c>
      <c r="F311" s="12"/>
      <c r="G311" s="12"/>
      <c r="H311" s="12"/>
      <c r="I311" s="27"/>
      <c r="J311" s="27"/>
      <c r="K311" s="13">
        <f t="shared" si="12"/>
        <v>26.7</v>
      </c>
    </row>
    <row r="312" s="1" customFormat="1" ht="21" customHeight="1" spans="1:11">
      <c r="A312" s="27" t="s">
        <v>220</v>
      </c>
      <c r="B312" s="27">
        <v>11.5</v>
      </c>
      <c r="C312" s="38" t="s">
        <v>221</v>
      </c>
      <c r="D312" s="12">
        <v>16.7</v>
      </c>
      <c r="E312" s="12">
        <v>10</v>
      </c>
      <c r="F312" s="12"/>
      <c r="G312" s="12"/>
      <c r="H312" s="12"/>
      <c r="I312" s="27"/>
      <c r="J312" s="27"/>
      <c r="K312" s="13">
        <f t="shared" si="12"/>
        <v>26.7</v>
      </c>
    </row>
    <row r="313" s="1" customFormat="1" ht="21" customHeight="1" spans="1:11">
      <c r="A313" s="27"/>
      <c r="B313" s="27"/>
      <c r="C313" s="38" t="s">
        <v>222</v>
      </c>
      <c r="D313" s="12">
        <v>16.7</v>
      </c>
      <c r="E313" s="12">
        <v>10</v>
      </c>
      <c r="F313" s="12"/>
      <c r="G313" s="12"/>
      <c r="H313" s="12"/>
      <c r="I313" s="27"/>
      <c r="J313" s="27"/>
      <c r="K313" s="13">
        <f t="shared" si="12"/>
        <v>26.7</v>
      </c>
    </row>
    <row r="314" s="1" customFormat="1" ht="21" customHeight="1" spans="1:11">
      <c r="A314" s="27"/>
      <c r="B314" s="27"/>
      <c r="C314" s="38" t="s">
        <v>223</v>
      </c>
      <c r="D314" s="12">
        <v>16.7</v>
      </c>
      <c r="E314" s="12">
        <v>5</v>
      </c>
      <c r="F314" s="12"/>
      <c r="G314" s="12"/>
      <c r="H314" s="12"/>
      <c r="I314" s="27"/>
      <c r="J314" s="27"/>
      <c r="K314" s="13">
        <f t="shared" si="12"/>
        <v>21.7</v>
      </c>
    </row>
    <row r="315" s="1" customFormat="1" ht="21" customHeight="1" spans="1:11">
      <c r="A315" s="27"/>
      <c r="B315" s="27"/>
      <c r="C315" s="38" t="s">
        <v>224</v>
      </c>
      <c r="D315" s="12">
        <v>0</v>
      </c>
      <c r="E315" s="12">
        <v>0</v>
      </c>
      <c r="F315" s="12"/>
      <c r="G315" s="12"/>
      <c r="H315" s="12"/>
      <c r="I315" s="27"/>
      <c r="J315" s="27"/>
      <c r="K315" s="13">
        <f t="shared" si="12"/>
        <v>0</v>
      </c>
    </row>
    <row r="316" s="1" customFormat="1" ht="21" customHeight="1" spans="1:11">
      <c r="A316" s="39" t="s">
        <v>225</v>
      </c>
      <c r="B316" s="39">
        <v>10.5</v>
      </c>
      <c r="C316" s="27" t="s">
        <v>226</v>
      </c>
      <c r="D316" s="12">
        <v>16.7</v>
      </c>
      <c r="E316" s="12">
        <v>5</v>
      </c>
      <c r="F316" s="12"/>
      <c r="G316" s="12"/>
      <c r="H316" s="12"/>
      <c r="I316" s="27"/>
      <c r="J316" s="27"/>
      <c r="K316" s="13">
        <f t="shared" si="12"/>
        <v>21.7</v>
      </c>
    </row>
    <row r="317" s="1" customFormat="1" ht="21" customHeight="1" spans="1:11">
      <c r="A317" s="39"/>
      <c r="B317" s="39"/>
      <c r="C317" s="27" t="s">
        <v>250</v>
      </c>
      <c r="D317" s="12">
        <v>16.7</v>
      </c>
      <c r="E317" s="12">
        <v>5</v>
      </c>
      <c r="F317" s="12"/>
      <c r="G317" s="12"/>
      <c r="H317" s="12"/>
      <c r="I317" s="27"/>
      <c r="J317" s="27"/>
      <c r="K317" s="13">
        <f t="shared" si="12"/>
        <v>21.7</v>
      </c>
    </row>
    <row r="318" s="1" customFormat="1" ht="21" customHeight="1" spans="1:11">
      <c r="A318" s="39"/>
      <c r="B318" s="39"/>
      <c r="C318" s="27" t="s">
        <v>228</v>
      </c>
      <c r="D318" s="12">
        <v>16.7</v>
      </c>
      <c r="E318" s="12">
        <v>5</v>
      </c>
      <c r="F318" s="12"/>
      <c r="G318" s="12"/>
      <c r="H318" s="12"/>
      <c r="I318" s="27"/>
      <c r="J318" s="27"/>
      <c r="K318" s="13">
        <f t="shared" si="12"/>
        <v>21.7</v>
      </c>
    </row>
    <row r="319" s="1" customFormat="1" ht="21" customHeight="1" spans="1:11">
      <c r="A319" s="39"/>
      <c r="B319" s="39"/>
      <c r="C319" s="27" t="s">
        <v>227</v>
      </c>
      <c r="D319" s="12">
        <v>0</v>
      </c>
      <c r="E319" s="12">
        <v>0</v>
      </c>
      <c r="F319" s="12"/>
      <c r="G319" s="12"/>
      <c r="H319" s="12"/>
      <c r="I319" s="27"/>
      <c r="J319" s="27"/>
      <c r="K319" s="13">
        <f t="shared" si="12"/>
        <v>0</v>
      </c>
    </row>
    <row r="320" s="1" customFormat="1" ht="21" customHeight="1" spans="1:11">
      <c r="A320" s="39"/>
      <c r="B320" s="39"/>
      <c r="C320" s="27" t="s">
        <v>229</v>
      </c>
      <c r="D320" s="12">
        <v>0</v>
      </c>
      <c r="E320" s="12">
        <v>0</v>
      </c>
      <c r="F320" s="12"/>
      <c r="G320" s="12"/>
      <c r="H320" s="12"/>
      <c r="I320" s="27"/>
      <c r="J320" s="40"/>
      <c r="K320" s="13">
        <f t="shared" si="12"/>
        <v>0</v>
      </c>
    </row>
    <row r="321" s="1" customFormat="1" ht="21" customHeight="1" spans="1:11">
      <c r="A321" s="39"/>
      <c r="B321" s="39"/>
      <c r="C321" s="27" t="s">
        <v>240</v>
      </c>
      <c r="D321" s="12">
        <v>16.7</v>
      </c>
      <c r="E321" s="12">
        <v>5</v>
      </c>
      <c r="F321" s="12"/>
      <c r="G321" s="12"/>
      <c r="H321" s="12"/>
      <c r="I321" s="27"/>
      <c r="J321" s="40"/>
      <c r="K321" s="13">
        <f t="shared" si="12"/>
        <v>21.7</v>
      </c>
    </row>
    <row r="322" s="1" customFormat="1" ht="21" customHeight="1" spans="1:11">
      <c r="A322" s="12" t="s">
        <v>230</v>
      </c>
      <c r="B322" s="12">
        <v>10.5</v>
      </c>
      <c r="C322" s="27" t="s">
        <v>231</v>
      </c>
      <c r="D322" s="27">
        <v>10</v>
      </c>
      <c r="E322" s="27">
        <v>10</v>
      </c>
      <c r="F322" s="27"/>
      <c r="G322" s="27"/>
      <c r="H322" s="27"/>
      <c r="I322" s="27"/>
      <c r="J322" s="40"/>
      <c r="K322" s="13">
        <f t="shared" si="12"/>
        <v>20</v>
      </c>
    </row>
    <row r="323" s="1" customFormat="1" ht="21" customHeight="1" spans="1:11">
      <c r="A323" s="27" t="s">
        <v>232</v>
      </c>
      <c r="B323" s="27">
        <v>12</v>
      </c>
      <c r="C323" s="27" t="s">
        <v>233</v>
      </c>
      <c r="D323" s="27">
        <v>12</v>
      </c>
      <c r="E323" s="27">
        <v>12</v>
      </c>
      <c r="F323" s="27"/>
      <c r="G323" s="27"/>
      <c r="H323" s="27"/>
      <c r="I323" s="27"/>
      <c r="J323" s="40"/>
      <c r="K323" s="13">
        <f t="shared" si="12"/>
        <v>24</v>
      </c>
    </row>
    <row r="324" s="1" customFormat="1" ht="21" customHeight="1" spans="1:11">
      <c r="A324" s="38"/>
      <c r="B324" s="41"/>
      <c r="C324" s="41"/>
      <c r="D324" s="41"/>
      <c r="E324" s="41"/>
      <c r="F324" s="30"/>
      <c r="G324" s="41"/>
      <c r="H324" s="41"/>
      <c r="I324" s="41"/>
      <c r="J324" s="41"/>
      <c r="K324" s="31">
        <f>SUM(K302:K323)</f>
        <v>484.8</v>
      </c>
    </row>
    <row r="327" s="1" customFormat="1" ht="21" customHeight="1" spans="1:11">
      <c r="A327" s="32" t="s">
        <v>402</v>
      </c>
      <c r="B327" s="33"/>
      <c r="C327" s="33"/>
      <c r="D327" s="33"/>
      <c r="E327" s="33"/>
      <c r="F327" s="33"/>
      <c r="G327" s="33"/>
      <c r="H327" s="33"/>
      <c r="I327" s="33"/>
      <c r="J327" s="33"/>
      <c r="K327" s="34"/>
    </row>
    <row r="328" s="1" customFormat="1" ht="21" customHeight="1" spans="1:11">
      <c r="A328" s="35" t="s">
        <v>265</v>
      </c>
      <c r="B328" s="36"/>
      <c r="C328" s="36"/>
      <c r="D328" s="37" t="s">
        <v>416</v>
      </c>
      <c r="E328" s="36"/>
      <c r="F328" s="36"/>
      <c r="G328" s="36"/>
      <c r="H328" s="36"/>
      <c r="I328" s="36"/>
      <c r="J328" s="36"/>
      <c r="K328" s="36"/>
    </row>
    <row r="329" s="1" customFormat="1" ht="21" customHeight="1" spans="1:11">
      <c r="A329" s="27" t="s">
        <v>200</v>
      </c>
      <c r="B329" s="27" t="s">
        <v>201</v>
      </c>
      <c r="C329" s="38" t="s">
        <v>202</v>
      </c>
      <c r="D329" s="12" t="s">
        <v>6</v>
      </c>
      <c r="E329" s="12" t="s">
        <v>6</v>
      </c>
      <c r="F329" s="27" t="s">
        <v>6</v>
      </c>
      <c r="G329" s="27" t="s">
        <v>6</v>
      </c>
      <c r="H329" s="27" t="s">
        <v>6</v>
      </c>
      <c r="I329" s="27" t="s">
        <v>6</v>
      </c>
      <c r="J329" s="27" t="s">
        <v>203</v>
      </c>
      <c r="K329" s="27" t="s">
        <v>204</v>
      </c>
    </row>
    <row r="330" s="1" customFormat="1" ht="21" customHeight="1" spans="1:11">
      <c r="A330" s="27" t="s">
        <v>205</v>
      </c>
      <c r="B330" s="27">
        <v>12</v>
      </c>
      <c r="C330" s="38" t="s">
        <v>206</v>
      </c>
      <c r="D330" s="12">
        <v>15</v>
      </c>
      <c r="E330" s="12">
        <v>15</v>
      </c>
      <c r="F330" s="12">
        <v>10</v>
      </c>
      <c r="G330" s="12">
        <v>10</v>
      </c>
      <c r="H330" s="12"/>
      <c r="I330" s="27"/>
      <c r="J330" s="27"/>
      <c r="K330" s="13">
        <f t="shared" ref="K330:K350" si="13">SUM(D330:J330)</f>
        <v>50</v>
      </c>
    </row>
    <row r="331" s="1" customFormat="1" ht="21" customHeight="1" spans="1:11">
      <c r="A331" s="21" t="s">
        <v>207</v>
      </c>
      <c r="B331" s="27">
        <v>11.5</v>
      </c>
      <c r="C331" s="38" t="s">
        <v>208</v>
      </c>
      <c r="D331" s="12">
        <v>22</v>
      </c>
      <c r="E331" s="12">
        <v>22</v>
      </c>
      <c r="F331" s="12">
        <v>15</v>
      </c>
      <c r="G331" s="12">
        <v>15</v>
      </c>
      <c r="H331" s="12"/>
      <c r="I331" s="27"/>
      <c r="J331" s="27"/>
      <c r="K331" s="13">
        <f t="shared" si="13"/>
        <v>74</v>
      </c>
    </row>
    <row r="332" s="1" customFormat="1" ht="21" customHeight="1" spans="1:11">
      <c r="A332" s="21"/>
      <c r="B332" s="27"/>
      <c r="C332" s="38" t="s">
        <v>210</v>
      </c>
      <c r="D332" s="12">
        <v>22</v>
      </c>
      <c r="E332" s="12">
        <v>22</v>
      </c>
      <c r="F332" s="12">
        <v>15</v>
      </c>
      <c r="G332" s="12">
        <v>15</v>
      </c>
      <c r="H332" s="12"/>
      <c r="I332" s="27"/>
      <c r="J332" s="27"/>
      <c r="K332" s="13">
        <f t="shared" si="13"/>
        <v>74</v>
      </c>
    </row>
    <row r="333" s="1" customFormat="1" ht="21" customHeight="1" spans="1:11">
      <c r="A333" s="16" t="s">
        <v>237</v>
      </c>
      <c r="B333" s="13">
        <v>11.5</v>
      </c>
      <c r="C333" s="17" t="s">
        <v>212</v>
      </c>
      <c r="D333" s="12">
        <v>14.3</v>
      </c>
      <c r="E333" s="12">
        <v>14.3</v>
      </c>
      <c r="F333" s="12">
        <v>11</v>
      </c>
      <c r="G333" s="12">
        <v>10</v>
      </c>
      <c r="H333" s="12"/>
      <c r="I333" s="27"/>
      <c r="J333" s="27"/>
      <c r="K333" s="13">
        <f t="shared" si="13"/>
        <v>49.6</v>
      </c>
    </row>
    <row r="334" s="1" customFormat="1" ht="21" customHeight="1" spans="1:11">
      <c r="A334" s="18"/>
      <c r="B334" s="13"/>
      <c r="C334" s="1" t="s">
        <v>215</v>
      </c>
      <c r="D334" s="12">
        <v>14.3</v>
      </c>
      <c r="E334" s="12">
        <v>14.3</v>
      </c>
      <c r="F334" s="12">
        <v>11</v>
      </c>
      <c r="G334" s="12">
        <v>10</v>
      </c>
      <c r="H334" s="12"/>
      <c r="I334" s="27"/>
      <c r="J334" s="27"/>
      <c r="K334" s="13">
        <f t="shared" si="13"/>
        <v>49.6</v>
      </c>
    </row>
    <row r="335" s="1" customFormat="1" ht="21" customHeight="1" spans="1:11">
      <c r="A335" s="19" t="s">
        <v>238</v>
      </c>
      <c r="B335" s="13"/>
      <c r="C335" s="17" t="s">
        <v>213</v>
      </c>
      <c r="D335" s="12">
        <v>14.3</v>
      </c>
      <c r="E335" s="12">
        <v>14.3</v>
      </c>
      <c r="F335" s="12">
        <v>11</v>
      </c>
      <c r="G335" s="12">
        <v>10</v>
      </c>
      <c r="H335" s="12"/>
      <c r="I335" s="27"/>
      <c r="J335" s="27"/>
      <c r="K335" s="13">
        <f t="shared" si="13"/>
        <v>49.6</v>
      </c>
    </row>
    <row r="336" s="1" customFormat="1" ht="21" customHeight="1" spans="1:11">
      <c r="A336" s="20"/>
      <c r="B336" s="13"/>
      <c r="C336" s="17" t="s">
        <v>216</v>
      </c>
      <c r="D336" s="12">
        <v>14.3</v>
      </c>
      <c r="E336" s="12">
        <v>14.3</v>
      </c>
      <c r="F336" s="12">
        <v>11</v>
      </c>
      <c r="G336" s="12">
        <v>10</v>
      </c>
      <c r="H336" s="12"/>
      <c r="I336" s="12"/>
      <c r="J336" s="27"/>
      <c r="K336" s="13">
        <f t="shared" si="13"/>
        <v>49.6</v>
      </c>
    </row>
    <row r="337" s="1" customFormat="1" ht="21" customHeight="1" spans="1:11">
      <c r="A337" s="21" t="s">
        <v>239</v>
      </c>
      <c r="B337" s="13"/>
      <c r="C337" s="13" t="s">
        <v>214</v>
      </c>
      <c r="D337" s="12">
        <v>14.3</v>
      </c>
      <c r="E337" s="12">
        <v>14.3</v>
      </c>
      <c r="F337" s="12">
        <v>11</v>
      </c>
      <c r="G337" s="12">
        <v>5</v>
      </c>
      <c r="H337" s="12"/>
      <c r="I337" s="12"/>
      <c r="J337" s="27"/>
      <c r="K337" s="13">
        <f t="shared" si="13"/>
        <v>44.6</v>
      </c>
    </row>
    <row r="338" s="1" customFormat="1" ht="21" customHeight="1" spans="1:11">
      <c r="A338" s="27" t="s">
        <v>217</v>
      </c>
      <c r="B338" s="27">
        <v>10.5</v>
      </c>
      <c r="C338" s="27" t="s">
        <v>218</v>
      </c>
      <c r="D338" s="12">
        <v>16.7</v>
      </c>
      <c r="E338" s="12">
        <v>16.7</v>
      </c>
      <c r="F338" s="12">
        <v>10</v>
      </c>
      <c r="G338" s="12">
        <v>5</v>
      </c>
      <c r="H338" s="12"/>
      <c r="I338" s="27"/>
      <c r="J338" s="27"/>
      <c r="K338" s="13">
        <f t="shared" si="13"/>
        <v>48.4</v>
      </c>
    </row>
    <row r="339" s="1" customFormat="1" ht="21" customHeight="1" spans="1:11">
      <c r="A339" s="27"/>
      <c r="B339" s="27"/>
      <c r="C339" s="27" t="s">
        <v>219</v>
      </c>
      <c r="D339" s="12">
        <v>16.7</v>
      </c>
      <c r="E339" s="12">
        <v>16.7</v>
      </c>
      <c r="F339" s="12">
        <v>10</v>
      </c>
      <c r="G339" s="12">
        <v>5</v>
      </c>
      <c r="H339" s="12"/>
      <c r="I339" s="27"/>
      <c r="J339" s="27"/>
      <c r="K339" s="13">
        <f t="shared" si="13"/>
        <v>48.4</v>
      </c>
    </row>
    <row r="340" s="1" customFormat="1" ht="21" customHeight="1" spans="1:11">
      <c r="A340" s="27" t="s">
        <v>220</v>
      </c>
      <c r="B340" s="27">
        <v>11.5</v>
      </c>
      <c r="C340" s="38" t="s">
        <v>221</v>
      </c>
      <c r="D340" s="12">
        <v>0</v>
      </c>
      <c r="E340" s="12">
        <v>0</v>
      </c>
      <c r="F340" s="12">
        <v>0</v>
      </c>
      <c r="G340" s="12">
        <v>5</v>
      </c>
      <c r="H340" s="12"/>
      <c r="I340" s="27"/>
      <c r="J340" s="27"/>
      <c r="K340" s="13">
        <f t="shared" si="13"/>
        <v>5</v>
      </c>
    </row>
    <row r="341" s="1" customFormat="1" ht="21" customHeight="1" spans="1:11">
      <c r="A341" s="27"/>
      <c r="B341" s="27"/>
      <c r="C341" s="38" t="s">
        <v>222</v>
      </c>
      <c r="D341" s="12">
        <v>16.7</v>
      </c>
      <c r="E341" s="12">
        <v>16.7</v>
      </c>
      <c r="F341" s="12">
        <v>10</v>
      </c>
      <c r="G341" s="12">
        <v>5</v>
      </c>
      <c r="H341" s="12"/>
      <c r="I341" s="27"/>
      <c r="J341" s="27"/>
      <c r="K341" s="13">
        <f t="shared" si="13"/>
        <v>48.4</v>
      </c>
    </row>
    <row r="342" s="1" customFormat="1" ht="21" customHeight="1" spans="1:11">
      <c r="A342" s="27"/>
      <c r="B342" s="27"/>
      <c r="C342" s="38" t="s">
        <v>223</v>
      </c>
      <c r="D342" s="12">
        <v>16.7</v>
      </c>
      <c r="E342" s="12">
        <v>16.7</v>
      </c>
      <c r="F342" s="12">
        <v>5</v>
      </c>
      <c r="G342" s="12">
        <v>5</v>
      </c>
      <c r="H342" s="12"/>
      <c r="I342" s="27"/>
      <c r="J342" s="27"/>
      <c r="K342" s="13">
        <f t="shared" si="13"/>
        <v>43.4</v>
      </c>
    </row>
    <row r="343" s="1" customFormat="1" ht="21" customHeight="1" spans="1:11">
      <c r="A343" s="27"/>
      <c r="B343" s="27"/>
      <c r="C343" s="38" t="s">
        <v>224</v>
      </c>
      <c r="D343" s="12">
        <v>0</v>
      </c>
      <c r="E343" s="12">
        <v>0</v>
      </c>
      <c r="F343" s="12">
        <v>0</v>
      </c>
      <c r="G343" s="12">
        <v>5</v>
      </c>
      <c r="H343" s="12"/>
      <c r="I343" s="27"/>
      <c r="J343" s="27"/>
      <c r="K343" s="13">
        <f t="shared" si="13"/>
        <v>5</v>
      </c>
    </row>
    <row r="344" s="1" customFormat="1" ht="21" customHeight="1" spans="1:11">
      <c r="A344" s="39" t="s">
        <v>225</v>
      </c>
      <c r="B344" s="39">
        <v>10.5</v>
      </c>
      <c r="C344" s="27" t="s">
        <v>226</v>
      </c>
      <c r="D344" s="12">
        <v>16.7</v>
      </c>
      <c r="E344" s="12">
        <v>16.7</v>
      </c>
      <c r="F344" s="12">
        <v>5</v>
      </c>
      <c r="G344" s="12">
        <v>5</v>
      </c>
      <c r="H344" s="12"/>
      <c r="I344" s="27"/>
      <c r="J344" s="27"/>
      <c r="K344" s="13">
        <f t="shared" si="13"/>
        <v>43.4</v>
      </c>
    </row>
    <row r="345" s="1" customFormat="1" ht="21" customHeight="1" spans="1:11">
      <c r="A345" s="39"/>
      <c r="B345" s="39"/>
      <c r="C345" s="27" t="s">
        <v>228</v>
      </c>
      <c r="D345" s="12">
        <v>16.7</v>
      </c>
      <c r="E345" s="12">
        <v>16.7</v>
      </c>
      <c r="F345" s="12">
        <v>5</v>
      </c>
      <c r="G345" s="12">
        <v>5</v>
      </c>
      <c r="H345" s="12"/>
      <c r="I345" s="27"/>
      <c r="J345" s="27"/>
      <c r="K345" s="13">
        <f t="shared" si="13"/>
        <v>43.4</v>
      </c>
    </row>
    <row r="346" s="1" customFormat="1" ht="21" customHeight="1" spans="1:11">
      <c r="A346" s="39"/>
      <c r="B346" s="39"/>
      <c r="C346" s="27" t="s">
        <v>227</v>
      </c>
      <c r="D346" s="12">
        <v>16.7</v>
      </c>
      <c r="E346" s="12">
        <v>16.7</v>
      </c>
      <c r="F346" s="12">
        <v>5</v>
      </c>
      <c r="G346" s="12">
        <v>5</v>
      </c>
      <c r="H346" s="12"/>
      <c r="I346" s="27"/>
      <c r="J346" s="27"/>
      <c r="K346" s="13">
        <f t="shared" si="13"/>
        <v>43.4</v>
      </c>
    </row>
    <row r="347" s="1" customFormat="1" ht="21" customHeight="1" spans="1:11">
      <c r="A347" s="39"/>
      <c r="B347" s="39"/>
      <c r="C347" s="27" t="s">
        <v>229</v>
      </c>
      <c r="D347" s="12">
        <v>0</v>
      </c>
      <c r="E347" s="12">
        <v>0</v>
      </c>
      <c r="F347" s="12">
        <v>5</v>
      </c>
      <c r="G347" s="12">
        <v>5</v>
      </c>
      <c r="H347" s="12"/>
      <c r="I347" s="27"/>
      <c r="J347" s="40"/>
      <c r="K347" s="13">
        <f t="shared" si="13"/>
        <v>10</v>
      </c>
    </row>
    <row r="348" s="1" customFormat="1" ht="21" customHeight="1" spans="1:11">
      <c r="A348" s="39"/>
      <c r="B348" s="39"/>
      <c r="C348" s="27" t="s">
        <v>240</v>
      </c>
      <c r="D348" s="12">
        <v>16.7</v>
      </c>
      <c r="E348" s="12">
        <v>16.7</v>
      </c>
      <c r="F348" s="12">
        <v>5</v>
      </c>
      <c r="G348" s="12">
        <v>5</v>
      </c>
      <c r="H348" s="12"/>
      <c r="I348" s="27"/>
      <c r="J348" s="40"/>
      <c r="K348" s="13">
        <f t="shared" si="13"/>
        <v>43.4</v>
      </c>
    </row>
    <row r="349" s="1" customFormat="1" ht="21" customHeight="1" spans="1:11">
      <c r="A349" s="12" t="s">
        <v>230</v>
      </c>
      <c r="B349" s="12">
        <v>10.5</v>
      </c>
      <c r="C349" s="27" t="s">
        <v>231</v>
      </c>
      <c r="D349" s="27">
        <v>10.5</v>
      </c>
      <c r="E349" s="27">
        <v>10.5</v>
      </c>
      <c r="F349" s="27">
        <v>10.5</v>
      </c>
      <c r="G349" s="12">
        <v>5</v>
      </c>
      <c r="H349" s="27"/>
      <c r="I349" s="27"/>
      <c r="J349" s="40"/>
      <c r="K349" s="13">
        <f t="shared" si="13"/>
        <v>36.5</v>
      </c>
    </row>
    <row r="350" s="1" customFormat="1" ht="21" customHeight="1" spans="1:11">
      <c r="A350" s="27" t="s">
        <v>232</v>
      </c>
      <c r="B350" s="27">
        <v>12</v>
      </c>
      <c r="C350" s="27" t="s">
        <v>233</v>
      </c>
      <c r="D350" s="27">
        <v>12</v>
      </c>
      <c r="E350" s="27">
        <v>12</v>
      </c>
      <c r="F350" s="27">
        <v>12</v>
      </c>
      <c r="G350" s="27">
        <v>0</v>
      </c>
      <c r="H350" s="27"/>
      <c r="I350" s="27"/>
      <c r="J350" s="40"/>
      <c r="K350" s="13">
        <f t="shared" si="13"/>
        <v>36</v>
      </c>
    </row>
    <row r="351" s="1" customFormat="1" ht="21" customHeight="1" spans="1:11">
      <c r="A351" s="38"/>
      <c r="B351" s="41"/>
      <c r="C351" s="41"/>
      <c r="D351" s="41"/>
      <c r="E351" s="41"/>
      <c r="F351" s="30"/>
      <c r="G351" s="41"/>
      <c r="H351" s="41"/>
      <c r="I351" s="41"/>
      <c r="J351" s="41"/>
      <c r="K351" s="31">
        <f>SUM(K330:K350)</f>
        <v>895.7</v>
      </c>
    </row>
  </sheetData>
  <mergeCells count="181">
    <mergeCell ref="A1:K1"/>
    <mergeCell ref="A2:C2"/>
    <mergeCell ref="D2:K2"/>
    <mergeCell ref="A25:J25"/>
    <mergeCell ref="A28:K28"/>
    <mergeCell ref="A29:C29"/>
    <mergeCell ref="D29:K29"/>
    <mergeCell ref="A56:K56"/>
    <mergeCell ref="A57:C57"/>
    <mergeCell ref="D57:K57"/>
    <mergeCell ref="A83:K83"/>
    <mergeCell ref="A84:C84"/>
    <mergeCell ref="D84:K84"/>
    <mergeCell ref="A110:K110"/>
    <mergeCell ref="A111:C111"/>
    <mergeCell ref="D111:K111"/>
    <mergeCell ref="A137:K137"/>
    <mergeCell ref="A138:C138"/>
    <mergeCell ref="D138:K138"/>
    <mergeCell ref="A164:K164"/>
    <mergeCell ref="A165:C165"/>
    <mergeCell ref="D165:K165"/>
    <mergeCell ref="A191:K191"/>
    <mergeCell ref="A192:C192"/>
    <mergeCell ref="D192:K192"/>
    <mergeCell ref="A215:J215"/>
    <mergeCell ref="A218:K218"/>
    <mergeCell ref="A219:C219"/>
    <mergeCell ref="D219:K219"/>
    <mergeCell ref="A245:K245"/>
    <mergeCell ref="A246:C246"/>
    <mergeCell ref="D246:K246"/>
    <mergeCell ref="A272:K272"/>
    <mergeCell ref="A273:C273"/>
    <mergeCell ref="D273:K273"/>
    <mergeCell ref="A299:K299"/>
    <mergeCell ref="A300:C300"/>
    <mergeCell ref="D300:K300"/>
    <mergeCell ref="A327:K327"/>
    <mergeCell ref="A328:C328"/>
    <mergeCell ref="D328:K328"/>
    <mergeCell ref="A5:A6"/>
    <mergeCell ref="A7:A8"/>
    <mergeCell ref="A9:A10"/>
    <mergeCell ref="A12:A13"/>
    <mergeCell ref="A14:A17"/>
    <mergeCell ref="A18:A22"/>
    <mergeCell ref="A32:A33"/>
    <mergeCell ref="A34:A35"/>
    <mergeCell ref="A36:A37"/>
    <mergeCell ref="A39:A40"/>
    <mergeCell ref="A41:A44"/>
    <mergeCell ref="A45:A49"/>
    <mergeCell ref="A60:A61"/>
    <mergeCell ref="A62:A63"/>
    <mergeCell ref="A64:A65"/>
    <mergeCell ref="A67:A68"/>
    <mergeCell ref="A69:A72"/>
    <mergeCell ref="A73:A77"/>
    <mergeCell ref="A87:A88"/>
    <mergeCell ref="A89:A90"/>
    <mergeCell ref="A91:A92"/>
    <mergeCell ref="A94:A95"/>
    <mergeCell ref="A96:A99"/>
    <mergeCell ref="A100:A104"/>
    <mergeCell ref="A114:A115"/>
    <mergeCell ref="A116:A117"/>
    <mergeCell ref="A118:A119"/>
    <mergeCell ref="A121:A122"/>
    <mergeCell ref="A123:A126"/>
    <mergeCell ref="A127:A131"/>
    <mergeCell ref="A141:A142"/>
    <mergeCell ref="A143:A147"/>
    <mergeCell ref="A148:A149"/>
    <mergeCell ref="A150:A153"/>
    <mergeCell ref="A154:A158"/>
    <mergeCell ref="A168:A169"/>
    <mergeCell ref="A170:A171"/>
    <mergeCell ref="A172:A173"/>
    <mergeCell ref="A175:A176"/>
    <mergeCell ref="A177:A180"/>
    <mergeCell ref="A181:A183"/>
    <mergeCell ref="A195:A196"/>
    <mergeCell ref="A197:A201"/>
    <mergeCell ref="A202:A203"/>
    <mergeCell ref="A204:A207"/>
    <mergeCell ref="A208:A212"/>
    <mergeCell ref="A222:A223"/>
    <mergeCell ref="A224:A228"/>
    <mergeCell ref="A229:A230"/>
    <mergeCell ref="A231:A234"/>
    <mergeCell ref="A235:A239"/>
    <mergeCell ref="A249:A250"/>
    <mergeCell ref="A251:A252"/>
    <mergeCell ref="A253:A254"/>
    <mergeCell ref="A256:A257"/>
    <mergeCell ref="A258:A261"/>
    <mergeCell ref="A262:A266"/>
    <mergeCell ref="A276:A277"/>
    <mergeCell ref="A278:A279"/>
    <mergeCell ref="A280:A281"/>
    <mergeCell ref="A283:A284"/>
    <mergeCell ref="A285:A288"/>
    <mergeCell ref="A289:A293"/>
    <mergeCell ref="A303:A304"/>
    <mergeCell ref="A305:A306"/>
    <mergeCell ref="A307:A308"/>
    <mergeCell ref="A310:A311"/>
    <mergeCell ref="A312:A315"/>
    <mergeCell ref="A316:A321"/>
    <mergeCell ref="A331:A332"/>
    <mergeCell ref="A333:A334"/>
    <mergeCell ref="A335:A336"/>
    <mergeCell ref="A338:A339"/>
    <mergeCell ref="A340:A343"/>
    <mergeCell ref="A344:A348"/>
    <mergeCell ref="B5:B6"/>
    <mergeCell ref="B7:B11"/>
    <mergeCell ref="B12:B13"/>
    <mergeCell ref="B14:B17"/>
    <mergeCell ref="B18:B22"/>
    <mergeCell ref="B32:B33"/>
    <mergeCell ref="B34:B38"/>
    <mergeCell ref="B39:B40"/>
    <mergeCell ref="B41:B44"/>
    <mergeCell ref="B45:B49"/>
    <mergeCell ref="B60:B61"/>
    <mergeCell ref="B62:B66"/>
    <mergeCell ref="B67:B68"/>
    <mergeCell ref="B69:B72"/>
    <mergeCell ref="B73:B77"/>
    <mergeCell ref="B87:B88"/>
    <mergeCell ref="B89:B93"/>
    <mergeCell ref="B94:B95"/>
    <mergeCell ref="B96:B99"/>
    <mergeCell ref="B100:B104"/>
    <mergeCell ref="B114:B115"/>
    <mergeCell ref="B116:B120"/>
    <mergeCell ref="B121:B122"/>
    <mergeCell ref="B123:B126"/>
    <mergeCell ref="B127:B131"/>
    <mergeCell ref="B141:B142"/>
    <mergeCell ref="B143:B147"/>
    <mergeCell ref="B148:B149"/>
    <mergeCell ref="B150:B153"/>
    <mergeCell ref="B154:B158"/>
    <mergeCell ref="B168:B169"/>
    <mergeCell ref="B170:B174"/>
    <mergeCell ref="B175:B176"/>
    <mergeCell ref="B177:B180"/>
    <mergeCell ref="B181:B183"/>
    <mergeCell ref="B195:B196"/>
    <mergeCell ref="B197:B201"/>
    <mergeCell ref="B202:B203"/>
    <mergeCell ref="B204:B207"/>
    <mergeCell ref="B208:B212"/>
    <mergeCell ref="B222:B223"/>
    <mergeCell ref="B224:B228"/>
    <mergeCell ref="B229:B230"/>
    <mergeCell ref="B231:B234"/>
    <mergeCell ref="B235:B239"/>
    <mergeCell ref="B249:B250"/>
    <mergeCell ref="B251:B255"/>
    <mergeCell ref="B256:B257"/>
    <mergeCell ref="B258:B261"/>
    <mergeCell ref="B262:B266"/>
    <mergeCell ref="B276:B277"/>
    <mergeCell ref="B278:B282"/>
    <mergeCell ref="B283:B284"/>
    <mergeCell ref="B285:B288"/>
    <mergeCell ref="B289:B293"/>
    <mergeCell ref="B303:B304"/>
    <mergeCell ref="B305:B309"/>
    <mergeCell ref="B310:B311"/>
    <mergeCell ref="B312:B315"/>
    <mergeCell ref="B316:B321"/>
    <mergeCell ref="B331:B332"/>
    <mergeCell ref="B333:B337"/>
    <mergeCell ref="B338:B339"/>
    <mergeCell ref="B340:B343"/>
    <mergeCell ref="B344:B34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4"/>
  <sheetViews>
    <sheetView topLeftCell="A7" workbookViewId="0">
      <selection activeCell="A1" sqref="$A1:$XFD25"/>
    </sheetView>
  </sheetViews>
  <sheetFormatPr defaultColWidth="9" defaultRowHeight="13.5"/>
  <sheetData>
    <row r="1" s="3" customFormat="1" ht="21" customHeight="1" spans="1:11">
      <c r="A1" s="71" t="s">
        <v>417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="3" customFormat="1" ht="21" customHeight="1" spans="1:11">
      <c r="A2" s="72" t="s">
        <v>198</v>
      </c>
      <c r="B2" s="72"/>
      <c r="C2" s="72"/>
      <c r="D2" s="73" t="s">
        <v>418</v>
      </c>
      <c r="E2" s="72"/>
      <c r="F2" s="72"/>
      <c r="G2" s="72"/>
      <c r="H2" s="72"/>
      <c r="I2" s="72"/>
      <c r="J2" s="72"/>
      <c r="K2" s="72"/>
    </row>
    <row r="3" s="3" customFormat="1" ht="21" customHeight="1" spans="1:11">
      <c r="A3" s="74" t="s">
        <v>200</v>
      </c>
      <c r="B3" s="74" t="s">
        <v>201</v>
      </c>
      <c r="C3" s="75" t="s">
        <v>202</v>
      </c>
      <c r="D3" s="76" t="s">
        <v>6</v>
      </c>
      <c r="E3" s="76" t="s">
        <v>6</v>
      </c>
      <c r="F3" s="74" t="s">
        <v>6</v>
      </c>
      <c r="G3" s="74" t="s">
        <v>6</v>
      </c>
      <c r="H3" s="74" t="s">
        <v>6</v>
      </c>
      <c r="I3" s="74" t="s">
        <v>6</v>
      </c>
      <c r="J3" s="74" t="s">
        <v>203</v>
      </c>
      <c r="K3" s="74" t="s">
        <v>204</v>
      </c>
    </row>
    <row r="4" s="3" customFormat="1" ht="21" customHeight="1" spans="1:11">
      <c r="A4" s="56" t="s">
        <v>205</v>
      </c>
      <c r="B4" s="56">
        <v>12</v>
      </c>
      <c r="C4" s="54" t="s">
        <v>206</v>
      </c>
      <c r="D4" s="55">
        <v>12</v>
      </c>
      <c r="E4" s="100">
        <v>10</v>
      </c>
      <c r="F4" s="100"/>
      <c r="G4" s="77"/>
      <c r="H4" s="77"/>
      <c r="I4" s="58"/>
      <c r="J4" s="47"/>
      <c r="K4" s="56">
        <f t="shared" ref="K4:K24" si="0">SUM(D4:J4)</f>
        <v>22</v>
      </c>
    </row>
    <row r="5" s="3" customFormat="1" ht="21" customHeight="1" spans="1:11">
      <c r="A5" s="78" t="s">
        <v>207</v>
      </c>
      <c r="B5" s="56">
        <v>11.5</v>
      </c>
      <c r="C5" s="61" t="s">
        <v>208</v>
      </c>
      <c r="D5" s="55">
        <v>17.5</v>
      </c>
      <c r="E5" s="100">
        <v>15</v>
      </c>
      <c r="F5" s="100"/>
      <c r="G5" s="77"/>
      <c r="H5" s="77"/>
      <c r="I5" s="58"/>
      <c r="J5" s="47"/>
      <c r="K5" s="56">
        <f t="shared" si="0"/>
        <v>32.5</v>
      </c>
    </row>
    <row r="6" s="3" customFormat="1" ht="21" customHeight="1" spans="1:11">
      <c r="A6" s="78"/>
      <c r="B6" s="56"/>
      <c r="C6" s="61" t="s">
        <v>210</v>
      </c>
      <c r="D6" s="55">
        <v>17.5</v>
      </c>
      <c r="E6" s="100">
        <v>15</v>
      </c>
      <c r="F6" s="100"/>
      <c r="G6" s="77"/>
      <c r="H6" s="77"/>
      <c r="I6" s="58"/>
      <c r="J6" s="47"/>
      <c r="K6" s="56">
        <f t="shared" si="0"/>
        <v>32.5</v>
      </c>
    </row>
    <row r="7" s="3" customFormat="1" ht="21" customHeight="1" spans="1:11">
      <c r="A7" s="79" t="s">
        <v>237</v>
      </c>
      <c r="B7" s="56">
        <v>11.5</v>
      </c>
      <c r="C7" s="61" t="s">
        <v>212</v>
      </c>
      <c r="D7" s="55">
        <v>30</v>
      </c>
      <c r="E7" s="100">
        <v>11</v>
      </c>
      <c r="F7" s="100"/>
      <c r="G7" s="77"/>
      <c r="H7" s="77"/>
      <c r="I7" s="58"/>
      <c r="J7" s="47"/>
      <c r="K7" s="56">
        <f t="shared" si="0"/>
        <v>41</v>
      </c>
    </row>
    <row r="8" s="3" customFormat="1" ht="21" customHeight="1" spans="1:11">
      <c r="A8" s="80"/>
      <c r="B8" s="56"/>
      <c r="C8" s="3" t="s">
        <v>215</v>
      </c>
      <c r="D8" s="55">
        <v>45.5</v>
      </c>
      <c r="E8" s="100">
        <v>0</v>
      </c>
      <c r="F8" s="100"/>
      <c r="G8" s="77"/>
      <c r="H8" s="77"/>
      <c r="I8" s="58"/>
      <c r="J8" s="47"/>
      <c r="K8" s="56">
        <f t="shared" si="0"/>
        <v>45.5</v>
      </c>
    </row>
    <row r="9" s="3" customFormat="1" ht="21" customHeight="1" spans="1:11">
      <c r="A9" s="81" t="s">
        <v>238</v>
      </c>
      <c r="B9" s="56"/>
      <c r="C9" s="61" t="s">
        <v>213</v>
      </c>
      <c r="D9" s="55">
        <v>45.5</v>
      </c>
      <c r="E9" s="100">
        <v>0</v>
      </c>
      <c r="F9" s="100"/>
      <c r="G9" s="77"/>
      <c r="H9" s="77"/>
      <c r="I9" s="58"/>
      <c r="J9" s="47"/>
      <c r="K9" s="56">
        <f t="shared" si="0"/>
        <v>45.5</v>
      </c>
    </row>
    <row r="10" s="3" customFormat="1" ht="21" customHeight="1" spans="1:11">
      <c r="A10" s="82"/>
      <c r="B10" s="56"/>
      <c r="C10" s="61" t="s">
        <v>216</v>
      </c>
      <c r="D10" s="55">
        <v>45.5</v>
      </c>
      <c r="E10" s="100">
        <v>0</v>
      </c>
      <c r="F10" s="100"/>
      <c r="G10" s="77"/>
      <c r="H10" s="77"/>
      <c r="I10" s="83"/>
      <c r="J10" s="47"/>
      <c r="K10" s="56">
        <f t="shared" si="0"/>
        <v>45.5</v>
      </c>
    </row>
    <row r="11" s="3" customFormat="1" ht="21" customHeight="1" spans="1:11">
      <c r="A11" s="84" t="s">
        <v>239</v>
      </c>
      <c r="B11" s="56"/>
      <c r="C11" s="56" t="s">
        <v>214</v>
      </c>
      <c r="D11" s="55">
        <v>19</v>
      </c>
      <c r="E11" s="100">
        <v>11</v>
      </c>
      <c r="F11" s="100"/>
      <c r="G11" s="77"/>
      <c r="H11" s="77"/>
      <c r="I11" s="83"/>
      <c r="J11" s="47"/>
      <c r="K11" s="56">
        <f t="shared" si="0"/>
        <v>30</v>
      </c>
    </row>
    <row r="12" s="3" customFormat="1" ht="21" customHeight="1" spans="1:11">
      <c r="A12" s="56" t="s">
        <v>217</v>
      </c>
      <c r="B12" s="56">
        <v>10.5</v>
      </c>
      <c r="C12" s="56" t="s">
        <v>218</v>
      </c>
      <c r="D12" s="47">
        <v>31.8</v>
      </c>
      <c r="E12" s="100">
        <v>5</v>
      </c>
      <c r="F12" s="100"/>
      <c r="G12" s="77"/>
      <c r="H12" s="77"/>
      <c r="I12" s="58"/>
      <c r="J12" s="47"/>
      <c r="K12" s="56">
        <f t="shared" si="0"/>
        <v>36.8</v>
      </c>
    </row>
    <row r="13" s="3" customFormat="1" ht="21" customHeight="1" spans="1:11">
      <c r="A13" s="56"/>
      <c r="B13" s="56"/>
      <c r="C13" s="56" t="s">
        <v>219</v>
      </c>
      <c r="D13" s="55">
        <v>45.5</v>
      </c>
      <c r="E13" s="100">
        <v>0</v>
      </c>
      <c r="F13" s="100"/>
      <c r="G13" s="77"/>
      <c r="H13" s="77"/>
      <c r="I13" s="58"/>
      <c r="J13" s="47"/>
      <c r="K13" s="56">
        <f t="shared" si="0"/>
        <v>45.5</v>
      </c>
    </row>
    <row r="14" s="3" customFormat="1" ht="21" customHeight="1" spans="1:11">
      <c r="A14" s="56" t="s">
        <v>220</v>
      </c>
      <c r="B14" s="56">
        <v>11.5</v>
      </c>
      <c r="C14" s="61" t="s">
        <v>221</v>
      </c>
      <c r="D14" s="55">
        <v>36</v>
      </c>
      <c r="E14" s="100">
        <v>5</v>
      </c>
      <c r="F14" s="100"/>
      <c r="G14" s="77"/>
      <c r="H14" s="77"/>
      <c r="I14" s="58"/>
      <c r="J14" s="47"/>
      <c r="K14" s="56">
        <f t="shared" si="0"/>
        <v>41</v>
      </c>
    </row>
    <row r="15" s="3" customFormat="1" ht="21" customHeight="1" spans="1:11">
      <c r="A15" s="56"/>
      <c r="B15" s="56"/>
      <c r="C15" s="61" t="s">
        <v>222</v>
      </c>
      <c r="D15" s="47">
        <v>34.6</v>
      </c>
      <c r="E15" s="100">
        <v>5</v>
      </c>
      <c r="F15" s="100"/>
      <c r="G15" s="77"/>
      <c r="H15" s="77"/>
      <c r="I15" s="58"/>
      <c r="J15" s="47"/>
      <c r="K15" s="56">
        <f t="shared" si="0"/>
        <v>39.6</v>
      </c>
    </row>
    <row r="16" s="3" customFormat="1" ht="21" customHeight="1" spans="1:11">
      <c r="A16" s="56"/>
      <c r="B16" s="56"/>
      <c r="C16" s="61" t="s">
        <v>223</v>
      </c>
      <c r="D16" s="55">
        <v>34.6</v>
      </c>
      <c r="E16" s="100">
        <v>0</v>
      </c>
      <c r="F16" s="100"/>
      <c r="G16" s="77"/>
      <c r="H16" s="77"/>
      <c r="I16" s="58"/>
      <c r="J16" s="47"/>
      <c r="K16" s="56">
        <f t="shared" si="0"/>
        <v>34.6</v>
      </c>
    </row>
    <row r="17" s="3" customFormat="1" ht="21" customHeight="1" spans="1:11">
      <c r="A17" s="56"/>
      <c r="B17" s="56"/>
      <c r="C17" s="61" t="s">
        <v>224</v>
      </c>
      <c r="D17" s="47">
        <v>24.5</v>
      </c>
      <c r="E17" s="100">
        <v>5</v>
      </c>
      <c r="F17" s="100"/>
      <c r="G17" s="77"/>
      <c r="H17" s="77"/>
      <c r="I17" s="58"/>
      <c r="J17" s="47"/>
      <c r="K17" s="56">
        <f t="shared" si="0"/>
        <v>29.5</v>
      </c>
    </row>
    <row r="18" s="3" customFormat="1" ht="21" customHeight="1" spans="1:11">
      <c r="A18" s="85" t="s">
        <v>225</v>
      </c>
      <c r="B18" s="85">
        <v>10.5</v>
      </c>
      <c r="C18" s="56" t="s">
        <v>226</v>
      </c>
      <c r="D18" s="55">
        <v>56</v>
      </c>
      <c r="E18" s="100">
        <v>10</v>
      </c>
      <c r="F18" s="100"/>
      <c r="G18" s="77"/>
      <c r="H18" s="77"/>
      <c r="I18" s="58"/>
      <c r="J18" s="47"/>
      <c r="K18" s="56">
        <f t="shared" si="0"/>
        <v>66</v>
      </c>
    </row>
    <row r="19" s="3" customFormat="1" ht="21" customHeight="1" spans="1:11">
      <c r="A19" s="85"/>
      <c r="B19" s="85"/>
      <c r="C19" s="56" t="s">
        <v>228</v>
      </c>
      <c r="D19" s="55">
        <v>42.1</v>
      </c>
      <c r="E19" s="100">
        <v>0</v>
      </c>
      <c r="F19" s="100"/>
      <c r="G19" s="77"/>
      <c r="H19" s="77"/>
      <c r="I19" s="58"/>
      <c r="J19" s="47"/>
      <c r="K19" s="56">
        <f t="shared" si="0"/>
        <v>42.1</v>
      </c>
    </row>
    <row r="20" s="3" customFormat="1" ht="21" customHeight="1" spans="1:11">
      <c r="A20" s="85"/>
      <c r="B20" s="85"/>
      <c r="C20" s="61" t="s">
        <v>227</v>
      </c>
      <c r="D20" s="55">
        <v>42.1</v>
      </c>
      <c r="E20" s="100">
        <v>0</v>
      </c>
      <c r="F20" s="100"/>
      <c r="G20" s="77"/>
      <c r="H20" s="77"/>
      <c r="I20" s="58"/>
      <c r="J20" s="47"/>
      <c r="K20" s="56">
        <f t="shared" si="0"/>
        <v>42.1</v>
      </c>
    </row>
    <row r="21" s="3" customFormat="1" ht="21" customHeight="1" spans="1:11">
      <c r="A21" s="85"/>
      <c r="B21" s="85"/>
      <c r="C21" s="61" t="s">
        <v>240</v>
      </c>
      <c r="D21" s="101">
        <v>42.1</v>
      </c>
      <c r="E21" s="100">
        <v>5</v>
      </c>
      <c r="F21" s="100"/>
      <c r="G21" s="77"/>
      <c r="H21" s="77"/>
      <c r="I21" s="58"/>
      <c r="J21" s="58"/>
      <c r="K21" s="56">
        <f t="shared" si="0"/>
        <v>47.1</v>
      </c>
    </row>
    <row r="22" s="3" customFormat="1" ht="21" customHeight="1" spans="1:11">
      <c r="A22" s="85"/>
      <c r="B22" s="85"/>
      <c r="C22" s="56" t="s">
        <v>229</v>
      </c>
      <c r="D22" s="64">
        <v>42.1</v>
      </c>
      <c r="E22" s="100">
        <v>5</v>
      </c>
      <c r="F22" s="100"/>
      <c r="G22" s="77"/>
      <c r="H22" s="77"/>
      <c r="I22" s="58"/>
      <c r="J22" s="58"/>
      <c r="K22" s="56">
        <f t="shared" si="0"/>
        <v>47.1</v>
      </c>
    </row>
    <row r="23" s="3" customFormat="1" ht="21" customHeight="1" spans="1:11">
      <c r="A23" s="86" t="s">
        <v>230</v>
      </c>
      <c r="B23" s="86">
        <v>10.5</v>
      </c>
      <c r="C23" s="56" t="s">
        <v>231</v>
      </c>
      <c r="D23" s="55">
        <v>10.5</v>
      </c>
      <c r="E23" s="100">
        <v>10.5</v>
      </c>
      <c r="F23" s="100"/>
      <c r="G23" s="77"/>
      <c r="H23" s="77"/>
      <c r="I23" s="58"/>
      <c r="J23" s="58"/>
      <c r="K23" s="56">
        <f t="shared" si="0"/>
        <v>21</v>
      </c>
    </row>
    <row r="24" s="3" customFormat="1" ht="21" customHeight="1" spans="1:11">
      <c r="A24" s="56" t="s">
        <v>232</v>
      </c>
      <c r="B24" s="56">
        <v>12</v>
      </c>
      <c r="C24" s="56" t="s">
        <v>233</v>
      </c>
      <c r="D24" s="47">
        <v>12</v>
      </c>
      <c r="E24" s="54">
        <v>12</v>
      </c>
      <c r="F24" s="54"/>
      <c r="G24" s="77"/>
      <c r="H24" s="77"/>
      <c r="I24" s="58"/>
      <c r="J24" s="58"/>
      <c r="K24" s="56">
        <f t="shared" si="0"/>
        <v>24</v>
      </c>
    </row>
    <row r="25" s="3" customFormat="1" ht="21" customHeight="1" spans="1:1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47">
        <f>SUM(K4:K24)</f>
        <v>810.9</v>
      </c>
    </row>
    <row r="28" s="2" customFormat="1" ht="21.75" customHeight="1" spans="1:11">
      <c r="A28" s="88" t="s">
        <v>419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</row>
    <row r="29" s="2" customFormat="1" ht="21.75" customHeight="1" spans="1:11">
      <c r="A29" s="35" t="s">
        <v>320</v>
      </c>
      <c r="B29" s="36"/>
      <c r="C29" s="36"/>
      <c r="D29" s="37" t="s">
        <v>420</v>
      </c>
      <c r="E29" s="36"/>
      <c r="F29" s="36"/>
      <c r="G29" s="36"/>
      <c r="H29" s="36"/>
      <c r="I29" s="36"/>
      <c r="J29" s="36"/>
      <c r="K29" s="36"/>
    </row>
    <row r="30" s="2" customFormat="1" ht="21.75" customHeight="1" spans="1:11">
      <c r="A30" s="27" t="s">
        <v>200</v>
      </c>
      <c r="B30" s="27" t="s">
        <v>201</v>
      </c>
      <c r="C30" s="38" t="s">
        <v>202</v>
      </c>
      <c r="D30" s="12" t="s">
        <v>6</v>
      </c>
      <c r="E30" s="12" t="s">
        <v>6</v>
      </c>
      <c r="F30" s="27" t="s">
        <v>6</v>
      </c>
      <c r="G30" s="27" t="s">
        <v>6</v>
      </c>
      <c r="H30" s="27" t="s">
        <v>6</v>
      </c>
      <c r="I30" s="27" t="s">
        <v>6</v>
      </c>
      <c r="J30" s="27" t="s">
        <v>203</v>
      </c>
      <c r="K30" s="27" t="s">
        <v>204</v>
      </c>
    </row>
    <row r="31" s="2" customFormat="1" ht="21.75" customHeight="1" spans="1:11">
      <c r="A31" s="27" t="s">
        <v>205</v>
      </c>
      <c r="B31" s="27">
        <v>12</v>
      </c>
      <c r="C31" s="38" t="s">
        <v>206</v>
      </c>
      <c r="D31" s="12">
        <v>12</v>
      </c>
      <c r="E31" s="12">
        <v>12</v>
      </c>
      <c r="F31" s="12">
        <v>12</v>
      </c>
      <c r="G31" s="12">
        <v>12</v>
      </c>
      <c r="H31" s="12">
        <v>12</v>
      </c>
      <c r="I31" s="12">
        <v>12</v>
      </c>
      <c r="J31" s="12">
        <v>10</v>
      </c>
      <c r="K31" s="27">
        <f t="shared" ref="K31:K51" si="1">SUM(D31:J31)</f>
        <v>82</v>
      </c>
    </row>
    <row r="32" s="2" customFormat="1" ht="21.75" customHeight="1" spans="1:11">
      <c r="A32" s="43" t="s">
        <v>207</v>
      </c>
      <c r="B32" s="12">
        <v>11.5</v>
      </c>
      <c r="C32" s="38" t="s">
        <v>208</v>
      </c>
      <c r="D32" s="12">
        <v>17.5</v>
      </c>
      <c r="E32" s="12">
        <v>17.5</v>
      </c>
      <c r="F32" s="12">
        <v>17.5</v>
      </c>
      <c r="G32" s="12">
        <v>17.5</v>
      </c>
      <c r="H32" s="12">
        <v>17.5</v>
      </c>
      <c r="I32" s="12">
        <v>17.5</v>
      </c>
      <c r="J32" s="12">
        <v>15</v>
      </c>
      <c r="K32" s="27">
        <f t="shared" si="1"/>
        <v>120</v>
      </c>
    </row>
    <row r="33" s="2" customFormat="1" ht="21.75" customHeight="1" spans="1:11">
      <c r="A33" s="44"/>
      <c r="B33" s="39"/>
      <c r="C33" s="38" t="s">
        <v>210</v>
      </c>
      <c r="D33" s="12">
        <v>17.5</v>
      </c>
      <c r="E33" s="12">
        <v>17.5</v>
      </c>
      <c r="F33" s="12">
        <v>17.5</v>
      </c>
      <c r="G33" s="12">
        <v>17.5</v>
      </c>
      <c r="H33" s="12">
        <v>17.5</v>
      </c>
      <c r="I33" s="12">
        <v>17.5</v>
      </c>
      <c r="J33" s="12">
        <v>15</v>
      </c>
      <c r="K33" s="27">
        <f t="shared" si="1"/>
        <v>120</v>
      </c>
    </row>
    <row r="34" s="2" customFormat="1" ht="21.75" customHeight="1" spans="1:11">
      <c r="A34" s="43" t="s">
        <v>211</v>
      </c>
      <c r="B34" s="12">
        <v>11.5</v>
      </c>
      <c r="C34" s="38" t="s">
        <v>212</v>
      </c>
      <c r="D34" s="27">
        <v>11.5</v>
      </c>
      <c r="E34" s="27">
        <v>11.5</v>
      </c>
      <c r="F34" s="27">
        <v>11.5</v>
      </c>
      <c r="G34" s="27">
        <v>11.5</v>
      </c>
      <c r="H34" s="27">
        <v>11.5</v>
      </c>
      <c r="I34" s="27">
        <v>11.5</v>
      </c>
      <c r="J34" s="27">
        <v>11</v>
      </c>
      <c r="K34" s="27">
        <f t="shared" si="1"/>
        <v>80</v>
      </c>
    </row>
    <row r="35" s="2" customFormat="1" ht="21.75" customHeight="1" spans="1:11">
      <c r="A35" s="44"/>
      <c r="B35" s="39"/>
      <c r="C35" s="38" t="s">
        <v>213</v>
      </c>
      <c r="D35" s="12">
        <v>11.5</v>
      </c>
      <c r="E35" s="12">
        <v>11.5</v>
      </c>
      <c r="F35" s="12">
        <v>11.5</v>
      </c>
      <c r="G35" s="12">
        <v>11.5</v>
      </c>
      <c r="H35" s="12">
        <v>11.5</v>
      </c>
      <c r="I35" s="12">
        <v>11.5</v>
      </c>
      <c r="J35" s="12">
        <v>11.5</v>
      </c>
      <c r="K35" s="27">
        <f t="shared" si="1"/>
        <v>80.5</v>
      </c>
    </row>
    <row r="36" s="2" customFormat="1" ht="21.75" customHeight="1" spans="1:11">
      <c r="A36" s="44"/>
      <c r="B36" s="39"/>
      <c r="C36" s="27" t="s">
        <v>214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f t="shared" si="1"/>
        <v>0</v>
      </c>
    </row>
    <row r="37" s="2" customFormat="1" ht="21.75" customHeight="1" spans="1:11">
      <c r="A37" s="44"/>
      <c r="B37" s="39"/>
      <c r="C37" s="38" t="s">
        <v>216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f t="shared" si="1"/>
        <v>0</v>
      </c>
    </row>
    <row r="38" s="2" customFormat="1" ht="21.75" customHeight="1" spans="1:11">
      <c r="A38" s="45"/>
      <c r="B38" s="46"/>
      <c r="C38" s="38" t="s">
        <v>215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27">
        <f t="shared" si="1"/>
        <v>0</v>
      </c>
    </row>
    <row r="39" s="2" customFormat="1" ht="21.75" customHeight="1" spans="1:11">
      <c r="A39" s="27" t="s">
        <v>217</v>
      </c>
      <c r="B39" s="27">
        <v>10.5</v>
      </c>
      <c r="C39" s="27" t="s">
        <v>218</v>
      </c>
      <c r="D39" s="12">
        <v>10.5</v>
      </c>
      <c r="E39" s="12">
        <v>10.5</v>
      </c>
      <c r="F39" s="12">
        <v>10.5</v>
      </c>
      <c r="G39" s="12">
        <v>10.5</v>
      </c>
      <c r="H39" s="12">
        <v>10.5</v>
      </c>
      <c r="I39" s="12">
        <v>10.5</v>
      </c>
      <c r="J39" s="12">
        <v>5</v>
      </c>
      <c r="K39" s="27">
        <f t="shared" si="1"/>
        <v>68</v>
      </c>
    </row>
    <row r="40" s="2" customFormat="1" ht="21.75" customHeight="1" spans="1:11">
      <c r="A40" s="27"/>
      <c r="B40" s="27"/>
      <c r="C40" s="27" t="s">
        <v>219</v>
      </c>
      <c r="D40" s="27">
        <v>10.5</v>
      </c>
      <c r="E40" s="27">
        <v>10.5</v>
      </c>
      <c r="F40" s="27">
        <v>10.5</v>
      </c>
      <c r="G40" s="27">
        <v>10.5</v>
      </c>
      <c r="H40" s="27">
        <v>10.5</v>
      </c>
      <c r="I40" s="27">
        <v>10.5</v>
      </c>
      <c r="J40" s="27">
        <v>5</v>
      </c>
      <c r="K40" s="27">
        <f t="shared" si="1"/>
        <v>68</v>
      </c>
    </row>
    <row r="41" s="2" customFormat="1" ht="21.75" customHeight="1" spans="1:11">
      <c r="A41" s="27" t="s">
        <v>220</v>
      </c>
      <c r="B41" s="27">
        <v>11.5</v>
      </c>
      <c r="C41" s="38" t="s">
        <v>221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f t="shared" si="1"/>
        <v>0</v>
      </c>
    </row>
    <row r="42" s="2" customFormat="1" ht="21.75" customHeight="1" spans="1:11">
      <c r="A42" s="27"/>
      <c r="B42" s="27"/>
      <c r="C42" s="38" t="s">
        <v>222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27">
        <f t="shared" si="1"/>
        <v>0</v>
      </c>
    </row>
    <row r="43" s="2" customFormat="1" ht="21.75" customHeight="1" spans="1:11">
      <c r="A43" s="27"/>
      <c r="B43" s="27"/>
      <c r="C43" s="38" t="s">
        <v>223</v>
      </c>
      <c r="D43" s="12">
        <v>10.5</v>
      </c>
      <c r="E43" s="12">
        <v>10.5</v>
      </c>
      <c r="F43" s="12">
        <v>10.5</v>
      </c>
      <c r="G43" s="12">
        <v>10.5</v>
      </c>
      <c r="H43" s="12">
        <v>10.5</v>
      </c>
      <c r="I43" s="12">
        <v>10.5</v>
      </c>
      <c r="J43" s="12">
        <v>5</v>
      </c>
      <c r="K43" s="27">
        <f t="shared" si="1"/>
        <v>68</v>
      </c>
    </row>
    <row r="44" s="2" customFormat="1" ht="21.75" customHeight="1" spans="1:11">
      <c r="A44" s="27"/>
      <c r="B44" s="27"/>
      <c r="C44" s="38" t="s">
        <v>224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f t="shared" si="1"/>
        <v>0</v>
      </c>
    </row>
    <row r="45" s="2" customFormat="1" ht="21.75" customHeight="1" spans="1:11">
      <c r="A45" s="39" t="s">
        <v>225</v>
      </c>
      <c r="B45" s="39">
        <v>10.5</v>
      </c>
      <c r="C45" s="27" t="s">
        <v>226</v>
      </c>
      <c r="D45" s="12">
        <v>10.5</v>
      </c>
      <c r="E45" s="12">
        <v>10.5</v>
      </c>
      <c r="F45" s="12">
        <v>10.5</v>
      </c>
      <c r="G45" s="12">
        <v>10.5</v>
      </c>
      <c r="H45" s="12">
        <v>10.5</v>
      </c>
      <c r="I45" s="12">
        <v>10.5</v>
      </c>
      <c r="J45" s="12">
        <v>5</v>
      </c>
      <c r="K45" s="27">
        <f t="shared" si="1"/>
        <v>68</v>
      </c>
    </row>
    <row r="46" s="2" customFormat="1" ht="21.75" customHeight="1" spans="1:11">
      <c r="A46" s="39"/>
      <c r="B46" s="39"/>
      <c r="C46" s="27" t="s">
        <v>228</v>
      </c>
      <c r="D46" s="12">
        <v>10.5</v>
      </c>
      <c r="E46" s="12">
        <v>10.5</v>
      </c>
      <c r="F46" s="12">
        <v>10.5</v>
      </c>
      <c r="G46" s="12">
        <v>10.5</v>
      </c>
      <c r="H46" s="12">
        <v>10.5</v>
      </c>
      <c r="I46" s="12">
        <v>10.5</v>
      </c>
      <c r="J46" s="12">
        <v>5</v>
      </c>
      <c r="K46" s="27">
        <f t="shared" si="1"/>
        <v>68</v>
      </c>
    </row>
    <row r="47" s="2" customFormat="1" ht="21.75" customHeight="1" spans="1:11">
      <c r="A47" s="39"/>
      <c r="B47" s="39"/>
      <c r="C47" s="27" t="s">
        <v>227</v>
      </c>
      <c r="D47" s="12">
        <v>10.5</v>
      </c>
      <c r="E47" s="12">
        <v>10.5</v>
      </c>
      <c r="F47" s="12">
        <v>10.5</v>
      </c>
      <c r="G47" s="12">
        <v>10.5</v>
      </c>
      <c r="H47" s="12">
        <v>10.5</v>
      </c>
      <c r="I47" s="12">
        <v>10.5</v>
      </c>
      <c r="J47" s="12">
        <v>5</v>
      </c>
      <c r="K47" s="27">
        <f t="shared" si="1"/>
        <v>68</v>
      </c>
    </row>
    <row r="48" s="2" customFormat="1" ht="21.75" customHeight="1" spans="1:11">
      <c r="A48" s="39"/>
      <c r="B48" s="39"/>
      <c r="C48" s="27" t="s">
        <v>229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f t="shared" si="1"/>
        <v>0</v>
      </c>
    </row>
    <row r="49" s="2" customFormat="1" ht="21.75" customHeight="1" spans="1:11">
      <c r="A49" s="39"/>
      <c r="B49" s="39"/>
      <c r="C49" s="27" t="s">
        <v>240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f t="shared" si="1"/>
        <v>0</v>
      </c>
    </row>
    <row r="50" s="2" customFormat="1" ht="21.75" customHeight="1" spans="1:11">
      <c r="A50" s="12" t="s">
        <v>230</v>
      </c>
      <c r="B50" s="12">
        <v>10.5</v>
      </c>
      <c r="C50" s="27" t="s">
        <v>231</v>
      </c>
      <c r="D50" s="27">
        <v>10</v>
      </c>
      <c r="E50" s="27">
        <v>10</v>
      </c>
      <c r="F50" s="27">
        <v>10</v>
      </c>
      <c r="G50" s="27">
        <v>10</v>
      </c>
      <c r="H50" s="27">
        <v>10</v>
      </c>
      <c r="I50" s="27">
        <v>10</v>
      </c>
      <c r="J50" s="27">
        <v>10</v>
      </c>
      <c r="K50" s="27">
        <f t="shared" si="1"/>
        <v>70</v>
      </c>
    </row>
    <row r="51" s="2" customFormat="1" ht="21.75" customHeight="1" spans="1:11">
      <c r="A51" s="12" t="s">
        <v>232</v>
      </c>
      <c r="B51" s="12">
        <v>12</v>
      </c>
      <c r="C51" s="12" t="s">
        <v>233</v>
      </c>
      <c r="D51" s="12">
        <v>12</v>
      </c>
      <c r="E51" s="12">
        <v>12</v>
      </c>
      <c r="F51" s="12">
        <v>12</v>
      </c>
      <c r="G51" s="12">
        <v>12</v>
      </c>
      <c r="H51" s="12">
        <v>12</v>
      </c>
      <c r="I51" s="12">
        <v>12</v>
      </c>
      <c r="J51" s="12">
        <v>12</v>
      </c>
      <c r="K51" s="27">
        <f t="shared" si="1"/>
        <v>84</v>
      </c>
    </row>
    <row r="52" s="2" customFormat="1" ht="21.75" customHeight="1" spans="1:11">
      <c r="A52" s="38"/>
      <c r="B52" s="41"/>
      <c r="C52" s="41"/>
      <c r="D52" s="41"/>
      <c r="E52" s="41"/>
      <c r="F52" s="41"/>
      <c r="G52" s="41"/>
      <c r="H52" s="41"/>
      <c r="I52" s="41"/>
      <c r="J52" s="40"/>
      <c r="K52" s="27">
        <f>SUM(K31:K51)</f>
        <v>1044.5</v>
      </c>
    </row>
    <row r="55" ht="26" customHeight="1" spans="1:11">
      <c r="A55" s="42" t="s">
        <v>419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ht="26" customHeight="1" spans="1:11">
      <c r="A56" s="70" t="s">
        <v>257</v>
      </c>
      <c r="B56" s="27"/>
      <c r="C56" s="27"/>
      <c r="D56" s="37" t="s">
        <v>421</v>
      </c>
      <c r="E56" s="36"/>
      <c r="F56" s="36"/>
      <c r="G56" s="36"/>
      <c r="H56" s="36"/>
      <c r="I56" s="36"/>
      <c r="J56" s="36"/>
      <c r="K56" s="36"/>
    </row>
    <row r="57" ht="26" customHeight="1" spans="1:11">
      <c r="A57" s="27" t="s">
        <v>200</v>
      </c>
      <c r="B57" s="27" t="s">
        <v>201</v>
      </c>
      <c r="C57" s="38" t="s">
        <v>202</v>
      </c>
      <c r="D57" s="12" t="s">
        <v>6</v>
      </c>
      <c r="E57" s="12" t="s">
        <v>6</v>
      </c>
      <c r="F57" s="27" t="s">
        <v>6</v>
      </c>
      <c r="G57" s="27" t="s">
        <v>6</v>
      </c>
      <c r="H57" s="27" t="s">
        <v>6</v>
      </c>
      <c r="I57" s="27" t="s">
        <v>6</v>
      </c>
      <c r="J57" s="27" t="s">
        <v>203</v>
      </c>
      <c r="K57" s="27" t="s">
        <v>204</v>
      </c>
    </row>
    <row r="58" ht="26" customHeight="1" spans="1:11">
      <c r="A58" s="27" t="s">
        <v>205</v>
      </c>
      <c r="B58" s="27">
        <v>12</v>
      </c>
      <c r="C58" s="38" t="s">
        <v>206</v>
      </c>
      <c r="D58" s="12">
        <v>12</v>
      </c>
      <c r="E58" s="12">
        <v>12</v>
      </c>
      <c r="F58" s="12">
        <v>20</v>
      </c>
      <c r="G58" s="12"/>
      <c r="H58" s="12"/>
      <c r="I58" s="12"/>
      <c r="J58" s="12"/>
      <c r="K58" s="27">
        <f t="shared" ref="K58:K78" si="2">SUM(D58:J58)</f>
        <v>44</v>
      </c>
    </row>
    <row r="59" ht="26" customHeight="1" spans="1:11">
      <c r="A59" s="21" t="s">
        <v>207</v>
      </c>
      <c r="B59" s="27">
        <v>11.5</v>
      </c>
      <c r="C59" s="38" t="s">
        <v>208</v>
      </c>
      <c r="D59" s="12">
        <v>17.5</v>
      </c>
      <c r="E59" s="12">
        <v>17.5</v>
      </c>
      <c r="F59" s="12">
        <v>20</v>
      </c>
      <c r="G59" s="12"/>
      <c r="H59" s="12"/>
      <c r="I59" s="12"/>
      <c r="J59" s="12"/>
      <c r="K59" s="27">
        <f t="shared" si="2"/>
        <v>55</v>
      </c>
    </row>
    <row r="60" ht="26" customHeight="1" spans="1:11">
      <c r="A60" s="21"/>
      <c r="B60" s="27"/>
      <c r="C60" s="38" t="s">
        <v>210</v>
      </c>
      <c r="D60" s="12">
        <v>17.5</v>
      </c>
      <c r="E60" s="12">
        <v>17.5</v>
      </c>
      <c r="F60" s="12">
        <v>20</v>
      </c>
      <c r="G60" s="12"/>
      <c r="H60" s="12"/>
      <c r="I60" s="12"/>
      <c r="J60" s="12"/>
      <c r="K60" s="27">
        <f t="shared" si="2"/>
        <v>55</v>
      </c>
    </row>
    <row r="61" ht="26" customHeight="1" spans="1:11">
      <c r="A61" s="16" t="s">
        <v>237</v>
      </c>
      <c r="B61" s="13">
        <v>11.5</v>
      </c>
      <c r="C61" s="17" t="s">
        <v>212</v>
      </c>
      <c r="D61" s="27">
        <v>10</v>
      </c>
      <c r="E61" s="27">
        <v>10</v>
      </c>
      <c r="F61" s="12">
        <v>20</v>
      </c>
      <c r="G61" s="27"/>
      <c r="H61" s="27"/>
      <c r="I61" s="27"/>
      <c r="J61" s="12"/>
      <c r="K61" s="27">
        <f t="shared" si="2"/>
        <v>40</v>
      </c>
    </row>
    <row r="62" ht="26" customHeight="1" spans="1:11">
      <c r="A62" s="18"/>
      <c r="B62" s="13"/>
      <c r="C62" s="1" t="s">
        <v>215</v>
      </c>
      <c r="D62" s="27">
        <v>11.5</v>
      </c>
      <c r="E62" s="27">
        <v>11.5</v>
      </c>
      <c r="F62" s="12">
        <v>0</v>
      </c>
      <c r="G62" s="12"/>
      <c r="H62" s="12"/>
      <c r="I62" s="12"/>
      <c r="J62" s="12"/>
      <c r="K62" s="27">
        <f t="shared" si="2"/>
        <v>23</v>
      </c>
    </row>
    <row r="63" ht="26" customHeight="1" spans="1:11">
      <c r="A63" s="19" t="s">
        <v>238</v>
      </c>
      <c r="B63" s="13"/>
      <c r="C63" s="17" t="s">
        <v>213</v>
      </c>
      <c r="D63" s="27">
        <v>10</v>
      </c>
      <c r="E63" s="27">
        <v>10</v>
      </c>
      <c r="F63" s="12">
        <v>20</v>
      </c>
      <c r="G63" s="27"/>
      <c r="H63" s="27"/>
      <c r="I63" s="27"/>
      <c r="J63" s="12"/>
      <c r="K63" s="27">
        <f t="shared" si="2"/>
        <v>40</v>
      </c>
    </row>
    <row r="64" ht="26" customHeight="1" spans="1:11">
      <c r="A64" s="20"/>
      <c r="B64" s="13"/>
      <c r="C64" s="17" t="s">
        <v>216</v>
      </c>
      <c r="D64" s="27">
        <v>10</v>
      </c>
      <c r="E64" s="27">
        <v>10</v>
      </c>
      <c r="F64" s="12">
        <v>0</v>
      </c>
      <c r="G64" s="27"/>
      <c r="H64" s="27"/>
      <c r="I64" s="27"/>
      <c r="J64" s="12"/>
      <c r="K64" s="27">
        <f t="shared" si="2"/>
        <v>20</v>
      </c>
    </row>
    <row r="65" ht="26" customHeight="1" spans="1:11">
      <c r="A65" s="21" t="s">
        <v>239</v>
      </c>
      <c r="B65" s="13"/>
      <c r="C65" s="13" t="s">
        <v>214</v>
      </c>
      <c r="D65" s="27">
        <v>11.5</v>
      </c>
      <c r="E65" s="27">
        <v>11.5</v>
      </c>
      <c r="F65" s="12">
        <v>0</v>
      </c>
      <c r="G65" s="12"/>
      <c r="H65" s="12"/>
      <c r="I65" s="12"/>
      <c r="J65" s="12"/>
      <c r="K65" s="27">
        <f t="shared" si="2"/>
        <v>23</v>
      </c>
    </row>
    <row r="66" ht="26" customHeight="1" spans="1:11">
      <c r="A66" s="27" t="s">
        <v>217</v>
      </c>
      <c r="B66" s="27">
        <v>10.5</v>
      </c>
      <c r="C66" s="27" t="s">
        <v>218</v>
      </c>
      <c r="D66" s="27">
        <v>10</v>
      </c>
      <c r="E66" s="27">
        <v>10</v>
      </c>
      <c r="F66" s="12">
        <v>0</v>
      </c>
      <c r="G66" s="27"/>
      <c r="H66" s="27"/>
      <c r="I66" s="27"/>
      <c r="J66" s="12"/>
      <c r="K66" s="27">
        <f t="shared" si="2"/>
        <v>20</v>
      </c>
    </row>
    <row r="67" ht="26" customHeight="1" spans="1:11">
      <c r="A67" s="27"/>
      <c r="B67" s="27"/>
      <c r="C67" s="27" t="s">
        <v>219</v>
      </c>
      <c r="D67" s="27">
        <v>10</v>
      </c>
      <c r="E67" s="27">
        <v>10</v>
      </c>
      <c r="F67" s="12">
        <v>0</v>
      </c>
      <c r="G67" s="27"/>
      <c r="H67" s="27"/>
      <c r="I67" s="27"/>
      <c r="J67" s="12"/>
      <c r="K67" s="27">
        <f t="shared" si="2"/>
        <v>20</v>
      </c>
    </row>
    <row r="68" ht="26" customHeight="1" spans="1:11">
      <c r="A68" s="27" t="s">
        <v>220</v>
      </c>
      <c r="B68" s="27">
        <v>11.5</v>
      </c>
      <c r="C68" s="38" t="s">
        <v>221</v>
      </c>
      <c r="D68" s="12">
        <v>29</v>
      </c>
      <c r="E68" s="12">
        <v>15</v>
      </c>
      <c r="F68" s="12">
        <v>10</v>
      </c>
      <c r="G68" s="12"/>
      <c r="H68" s="12"/>
      <c r="I68" s="12"/>
      <c r="J68" s="12"/>
      <c r="K68" s="27">
        <f t="shared" si="2"/>
        <v>54</v>
      </c>
    </row>
    <row r="69" ht="26" customHeight="1" spans="1:11">
      <c r="A69" s="27"/>
      <c r="B69" s="27"/>
      <c r="C69" s="38" t="s">
        <v>222</v>
      </c>
      <c r="D69" s="12">
        <v>9</v>
      </c>
      <c r="E69" s="12">
        <v>10</v>
      </c>
      <c r="F69" s="12">
        <v>10</v>
      </c>
      <c r="G69" s="12"/>
      <c r="H69" s="12"/>
      <c r="I69" s="12"/>
      <c r="J69" s="12"/>
      <c r="K69" s="27">
        <f t="shared" si="2"/>
        <v>29</v>
      </c>
    </row>
    <row r="70" ht="26" customHeight="1" spans="1:11">
      <c r="A70" s="27"/>
      <c r="B70" s="27"/>
      <c r="C70" s="38" t="s">
        <v>223</v>
      </c>
      <c r="D70" s="12">
        <v>0</v>
      </c>
      <c r="E70" s="12">
        <v>0</v>
      </c>
      <c r="F70" s="12">
        <v>0</v>
      </c>
      <c r="G70" s="12"/>
      <c r="H70" s="12"/>
      <c r="I70" s="12"/>
      <c r="J70" s="12"/>
      <c r="K70" s="27">
        <f t="shared" si="2"/>
        <v>0</v>
      </c>
    </row>
    <row r="71" ht="26" customHeight="1" spans="1:11">
      <c r="A71" s="27"/>
      <c r="B71" s="27"/>
      <c r="C71" s="38" t="s">
        <v>224</v>
      </c>
      <c r="D71" s="12">
        <v>10</v>
      </c>
      <c r="E71" s="12">
        <v>10</v>
      </c>
      <c r="F71" s="12">
        <v>0</v>
      </c>
      <c r="G71" s="12"/>
      <c r="H71" s="12"/>
      <c r="I71" s="12"/>
      <c r="J71" s="12"/>
      <c r="K71" s="27">
        <f t="shared" si="2"/>
        <v>20</v>
      </c>
    </row>
    <row r="72" ht="26" customHeight="1" spans="1:11">
      <c r="A72" s="39" t="s">
        <v>225</v>
      </c>
      <c r="B72" s="39">
        <v>10.5</v>
      </c>
      <c r="C72" s="27" t="s">
        <v>226</v>
      </c>
      <c r="D72" s="12">
        <v>12</v>
      </c>
      <c r="E72" s="12">
        <v>12</v>
      </c>
      <c r="F72" s="12">
        <v>20</v>
      </c>
      <c r="G72" s="12"/>
      <c r="H72" s="12"/>
      <c r="I72" s="12"/>
      <c r="J72" s="12"/>
      <c r="K72" s="27">
        <f t="shared" si="2"/>
        <v>44</v>
      </c>
    </row>
    <row r="73" ht="26" customHeight="1" spans="1:11">
      <c r="A73" s="39"/>
      <c r="B73" s="39"/>
      <c r="C73" s="27" t="s">
        <v>228</v>
      </c>
      <c r="D73" s="12">
        <v>10</v>
      </c>
      <c r="E73" s="12">
        <v>10</v>
      </c>
      <c r="F73" s="12">
        <v>0</v>
      </c>
      <c r="G73" s="12"/>
      <c r="H73" s="12"/>
      <c r="I73" s="12"/>
      <c r="J73" s="12"/>
      <c r="K73" s="27">
        <f t="shared" si="2"/>
        <v>20</v>
      </c>
    </row>
    <row r="74" ht="26" customHeight="1" spans="1:11">
      <c r="A74" s="39"/>
      <c r="B74" s="39"/>
      <c r="C74" s="27" t="s">
        <v>289</v>
      </c>
      <c r="D74" s="12">
        <v>5</v>
      </c>
      <c r="E74" s="12">
        <v>5</v>
      </c>
      <c r="F74" s="12">
        <v>0</v>
      </c>
      <c r="G74" s="12"/>
      <c r="H74" s="12"/>
      <c r="I74" s="12"/>
      <c r="J74" s="12"/>
      <c r="K74" s="27">
        <f t="shared" si="2"/>
        <v>10</v>
      </c>
    </row>
    <row r="75" ht="26" customHeight="1" spans="1:11">
      <c r="A75" s="39"/>
      <c r="B75" s="39"/>
      <c r="C75" s="27" t="s">
        <v>229</v>
      </c>
      <c r="D75" s="12">
        <v>8</v>
      </c>
      <c r="E75" s="12">
        <v>8</v>
      </c>
      <c r="F75" s="12">
        <v>10</v>
      </c>
      <c r="G75" s="12"/>
      <c r="H75" s="12"/>
      <c r="I75" s="12"/>
      <c r="J75" s="12"/>
      <c r="K75" s="27">
        <f t="shared" si="2"/>
        <v>26</v>
      </c>
    </row>
    <row r="76" ht="26" customHeight="1" spans="1:11">
      <c r="A76" s="39"/>
      <c r="B76" s="39"/>
      <c r="C76" s="27" t="s">
        <v>240</v>
      </c>
      <c r="D76" s="12">
        <v>8</v>
      </c>
      <c r="E76" s="12">
        <v>8</v>
      </c>
      <c r="F76" s="12">
        <v>10</v>
      </c>
      <c r="G76" s="12"/>
      <c r="H76" s="12"/>
      <c r="I76" s="12"/>
      <c r="J76" s="12"/>
      <c r="K76" s="27">
        <f t="shared" si="2"/>
        <v>26</v>
      </c>
    </row>
    <row r="77" ht="26" customHeight="1" spans="1:11">
      <c r="A77" s="12" t="s">
        <v>230</v>
      </c>
      <c r="B77" s="12">
        <v>10.5</v>
      </c>
      <c r="C77" s="27" t="s">
        <v>231</v>
      </c>
      <c r="D77" s="27">
        <v>10.5</v>
      </c>
      <c r="E77" s="27">
        <v>10.5</v>
      </c>
      <c r="F77" s="27">
        <v>10.5</v>
      </c>
      <c r="G77" s="12"/>
      <c r="H77" s="12"/>
      <c r="I77" s="12"/>
      <c r="J77" s="27"/>
      <c r="K77" s="27">
        <f t="shared" si="2"/>
        <v>31.5</v>
      </c>
    </row>
    <row r="78" ht="26" customHeight="1" spans="1:11">
      <c r="A78" s="27" t="s">
        <v>232</v>
      </c>
      <c r="B78" s="27">
        <v>12</v>
      </c>
      <c r="C78" s="27" t="s">
        <v>233</v>
      </c>
      <c r="D78" s="27">
        <v>12</v>
      </c>
      <c r="E78" s="27">
        <v>12</v>
      </c>
      <c r="F78" s="27">
        <v>12</v>
      </c>
      <c r="G78" s="27"/>
      <c r="H78" s="27"/>
      <c r="I78" s="27"/>
      <c r="J78" s="27"/>
      <c r="K78" s="27">
        <f t="shared" si="2"/>
        <v>36</v>
      </c>
    </row>
    <row r="79" ht="26" customHeight="1" spans="1:11">
      <c r="A79" s="38"/>
      <c r="B79" s="41"/>
      <c r="C79" s="41"/>
      <c r="D79" s="41"/>
      <c r="E79" s="41"/>
      <c r="F79" s="41"/>
      <c r="G79" s="41"/>
      <c r="H79" s="41"/>
      <c r="I79" s="41"/>
      <c r="J79" s="40"/>
      <c r="K79" s="27">
        <f>SUM(K58:K78)</f>
        <v>636.5</v>
      </c>
    </row>
    <row r="82" s="2" customFormat="1" ht="21.75" customHeight="1" spans="1:11">
      <c r="A82" s="42" t="s">
        <v>419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</row>
    <row r="83" s="2" customFormat="1" ht="21.75" customHeight="1" spans="1:11">
      <c r="A83" s="35" t="s">
        <v>267</v>
      </c>
      <c r="B83" s="36"/>
      <c r="C83" s="36"/>
      <c r="D83" s="37" t="s">
        <v>422</v>
      </c>
      <c r="E83" s="36"/>
      <c r="F83" s="36"/>
      <c r="G83" s="36"/>
      <c r="H83" s="36"/>
      <c r="I83" s="36"/>
      <c r="J83" s="36"/>
      <c r="K83" s="36"/>
    </row>
    <row r="84" s="2" customFormat="1" ht="21.75" customHeight="1" spans="1:11">
      <c r="A84" s="27" t="s">
        <v>200</v>
      </c>
      <c r="B84" s="27" t="s">
        <v>201</v>
      </c>
      <c r="C84" s="38" t="s">
        <v>202</v>
      </c>
      <c r="D84" s="12" t="s">
        <v>6</v>
      </c>
      <c r="E84" s="12" t="s">
        <v>6</v>
      </c>
      <c r="F84" s="27" t="s">
        <v>6</v>
      </c>
      <c r="G84" s="27" t="s">
        <v>6</v>
      </c>
      <c r="H84" s="27" t="s">
        <v>6</v>
      </c>
      <c r="I84" s="27" t="s">
        <v>6</v>
      </c>
      <c r="J84" s="27" t="s">
        <v>203</v>
      </c>
      <c r="K84" s="27" t="s">
        <v>204</v>
      </c>
    </row>
    <row r="85" s="2" customFormat="1" ht="21.75" customHeight="1" spans="1:11">
      <c r="A85" s="27" t="s">
        <v>205</v>
      </c>
      <c r="B85" s="27">
        <v>12</v>
      </c>
      <c r="C85" s="38" t="s">
        <v>206</v>
      </c>
      <c r="D85" s="12">
        <v>12</v>
      </c>
      <c r="E85" s="12">
        <v>10</v>
      </c>
      <c r="F85" s="11"/>
      <c r="G85" s="11"/>
      <c r="H85" s="12"/>
      <c r="I85" s="27"/>
      <c r="J85" s="27"/>
      <c r="K85" s="27">
        <f t="shared" ref="K85:K105" si="3">SUM(D85:J85)</f>
        <v>22</v>
      </c>
    </row>
    <row r="86" s="2" customFormat="1" ht="21.75" customHeight="1" spans="1:11">
      <c r="A86" s="43" t="s">
        <v>207</v>
      </c>
      <c r="B86" s="12">
        <v>11.5</v>
      </c>
      <c r="C86" s="38" t="s">
        <v>208</v>
      </c>
      <c r="D86" s="12">
        <v>17.5</v>
      </c>
      <c r="E86" s="12">
        <v>10</v>
      </c>
      <c r="F86" s="11"/>
      <c r="G86" s="11"/>
      <c r="H86" s="12"/>
      <c r="I86" s="27"/>
      <c r="J86" s="27"/>
      <c r="K86" s="27">
        <f t="shared" si="3"/>
        <v>27.5</v>
      </c>
    </row>
    <row r="87" s="2" customFormat="1" ht="21.75" customHeight="1" spans="1:11">
      <c r="A87" s="44"/>
      <c r="B87" s="39"/>
      <c r="C87" s="38" t="s">
        <v>210</v>
      </c>
      <c r="D87" s="12">
        <v>17.5</v>
      </c>
      <c r="E87" s="12">
        <v>15</v>
      </c>
      <c r="F87" s="11"/>
      <c r="G87" s="11"/>
      <c r="H87" s="12"/>
      <c r="I87" s="27"/>
      <c r="J87" s="27"/>
      <c r="K87" s="27">
        <f t="shared" si="3"/>
        <v>32.5</v>
      </c>
    </row>
    <row r="88" s="2" customFormat="1" ht="21.75" customHeight="1" spans="1:11">
      <c r="A88" s="43" t="s">
        <v>211</v>
      </c>
      <c r="B88" s="12">
        <v>11.5</v>
      </c>
      <c r="C88" s="38" t="s">
        <v>212</v>
      </c>
      <c r="D88" s="27">
        <v>0</v>
      </c>
      <c r="E88" s="27">
        <v>0</v>
      </c>
      <c r="F88" s="11"/>
      <c r="G88" s="11"/>
      <c r="H88" s="12"/>
      <c r="I88" s="27"/>
      <c r="J88" s="27"/>
      <c r="K88" s="27">
        <f t="shared" si="3"/>
        <v>0</v>
      </c>
    </row>
    <row r="89" s="2" customFormat="1" ht="21.75" customHeight="1" spans="1:11">
      <c r="A89" s="44"/>
      <c r="B89" s="39"/>
      <c r="C89" s="38" t="s">
        <v>213</v>
      </c>
      <c r="D89" s="12">
        <v>11.5</v>
      </c>
      <c r="E89" s="12">
        <v>10</v>
      </c>
      <c r="F89" s="11"/>
      <c r="G89" s="11"/>
      <c r="H89" s="12"/>
      <c r="I89" s="27"/>
      <c r="J89" s="27"/>
      <c r="K89" s="27">
        <f t="shared" si="3"/>
        <v>21.5</v>
      </c>
    </row>
    <row r="90" s="2" customFormat="1" ht="21.75" customHeight="1" spans="1:11">
      <c r="A90" s="44"/>
      <c r="B90" s="39"/>
      <c r="C90" s="27" t="s">
        <v>214</v>
      </c>
      <c r="D90" s="27">
        <v>0</v>
      </c>
      <c r="E90" s="27">
        <v>0</v>
      </c>
      <c r="F90" s="11"/>
      <c r="G90" s="11"/>
      <c r="H90" s="12"/>
      <c r="I90" s="27"/>
      <c r="J90" s="27"/>
      <c r="K90" s="27">
        <f t="shared" si="3"/>
        <v>0</v>
      </c>
    </row>
    <row r="91" s="2" customFormat="1" ht="21.75" customHeight="1" spans="1:11">
      <c r="A91" s="44"/>
      <c r="B91" s="39"/>
      <c r="C91" s="38" t="s">
        <v>216</v>
      </c>
      <c r="D91" s="27">
        <v>0</v>
      </c>
      <c r="E91" s="27">
        <v>0</v>
      </c>
      <c r="F91" s="11"/>
      <c r="G91" s="11"/>
      <c r="H91" s="12"/>
      <c r="I91" s="12"/>
      <c r="J91" s="27"/>
      <c r="K91" s="27">
        <f t="shared" si="3"/>
        <v>0</v>
      </c>
    </row>
    <row r="92" s="2" customFormat="1" ht="21.75" customHeight="1" spans="1:11">
      <c r="A92" s="45"/>
      <c r="B92" s="46"/>
      <c r="C92" s="38" t="s">
        <v>215</v>
      </c>
      <c r="D92" s="12">
        <v>11.5</v>
      </c>
      <c r="E92" s="12">
        <v>10</v>
      </c>
      <c r="F92" s="11"/>
      <c r="G92" s="11"/>
      <c r="H92" s="12"/>
      <c r="I92" s="12"/>
      <c r="J92" s="27"/>
      <c r="K92" s="27">
        <f t="shared" si="3"/>
        <v>21.5</v>
      </c>
    </row>
    <row r="93" s="2" customFormat="1" ht="21.75" customHeight="1" spans="1:11">
      <c r="A93" s="27" t="s">
        <v>217</v>
      </c>
      <c r="B93" s="27">
        <v>10.5</v>
      </c>
      <c r="C93" s="27" t="s">
        <v>218</v>
      </c>
      <c r="D93" s="12">
        <v>10.5</v>
      </c>
      <c r="E93" s="12">
        <v>5</v>
      </c>
      <c r="F93" s="22"/>
      <c r="G93" s="22"/>
      <c r="H93" s="12"/>
      <c r="I93" s="27"/>
      <c r="J93" s="27"/>
      <c r="K93" s="27">
        <f t="shared" si="3"/>
        <v>15.5</v>
      </c>
    </row>
    <row r="94" s="2" customFormat="1" ht="21.75" customHeight="1" spans="1:11">
      <c r="A94" s="27"/>
      <c r="B94" s="27"/>
      <c r="C94" s="27" t="s">
        <v>219</v>
      </c>
      <c r="D94" s="27">
        <v>10.5</v>
      </c>
      <c r="E94" s="27">
        <v>5</v>
      </c>
      <c r="F94" s="11"/>
      <c r="G94" s="11"/>
      <c r="H94" s="12"/>
      <c r="I94" s="27"/>
      <c r="J94" s="27"/>
      <c r="K94" s="27">
        <f t="shared" si="3"/>
        <v>15.5</v>
      </c>
    </row>
    <row r="95" s="2" customFormat="1" ht="21.75" customHeight="1" spans="1:11">
      <c r="A95" s="27" t="s">
        <v>220</v>
      </c>
      <c r="B95" s="27">
        <v>11.5</v>
      </c>
      <c r="C95" s="38" t="s">
        <v>221</v>
      </c>
      <c r="D95" s="27">
        <v>0</v>
      </c>
      <c r="E95" s="27">
        <v>0</v>
      </c>
      <c r="F95" s="11"/>
      <c r="G95" s="11"/>
      <c r="H95" s="12"/>
      <c r="I95" s="27"/>
      <c r="J95" s="27"/>
      <c r="K95" s="27">
        <f t="shared" si="3"/>
        <v>0</v>
      </c>
    </row>
    <row r="96" s="2" customFormat="1" ht="21.75" customHeight="1" spans="1:11">
      <c r="A96" s="27"/>
      <c r="B96" s="27"/>
      <c r="C96" s="38" t="s">
        <v>222</v>
      </c>
      <c r="D96" s="12">
        <v>0</v>
      </c>
      <c r="E96" s="12">
        <v>0</v>
      </c>
      <c r="F96" s="11"/>
      <c r="G96" s="11"/>
      <c r="H96" s="12"/>
      <c r="I96" s="27"/>
      <c r="J96" s="27"/>
      <c r="K96" s="27">
        <f t="shared" si="3"/>
        <v>0</v>
      </c>
    </row>
    <row r="97" s="2" customFormat="1" ht="21.75" customHeight="1" spans="1:11">
      <c r="A97" s="27"/>
      <c r="B97" s="27"/>
      <c r="C97" s="38" t="s">
        <v>223</v>
      </c>
      <c r="D97" s="12">
        <v>10.5</v>
      </c>
      <c r="E97" s="12">
        <v>5</v>
      </c>
      <c r="F97" s="23"/>
      <c r="G97" s="23"/>
      <c r="H97" s="12"/>
      <c r="I97" s="27"/>
      <c r="J97" s="27"/>
      <c r="K97" s="27">
        <f t="shared" si="3"/>
        <v>15.5</v>
      </c>
    </row>
    <row r="98" s="2" customFormat="1" ht="21.75" customHeight="1" spans="1:11">
      <c r="A98" s="27"/>
      <c r="B98" s="27"/>
      <c r="C98" s="38" t="s">
        <v>224</v>
      </c>
      <c r="D98" s="27">
        <v>0</v>
      </c>
      <c r="E98" s="27">
        <v>0</v>
      </c>
      <c r="F98" s="24"/>
      <c r="G98" s="24"/>
      <c r="H98" s="12"/>
      <c r="I98" s="27"/>
      <c r="J98" s="27"/>
      <c r="K98" s="27">
        <f t="shared" si="3"/>
        <v>0</v>
      </c>
    </row>
    <row r="99" s="2" customFormat="1" ht="21.75" customHeight="1" spans="1:11">
      <c r="A99" s="39" t="s">
        <v>225</v>
      </c>
      <c r="B99" s="39">
        <v>10.5</v>
      </c>
      <c r="C99" s="27" t="s">
        <v>226</v>
      </c>
      <c r="D99" s="12">
        <v>10.5</v>
      </c>
      <c r="E99" s="12">
        <v>5</v>
      </c>
      <c r="F99" s="11"/>
      <c r="G99" s="11"/>
      <c r="H99" s="12"/>
      <c r="I99" s="27"/>
      <c r="J99" s="27"/>
      <c r="K99" s="27">
        <f t="shared" si="3"/>
        <v>15.5</v>
      </c>
    </row>
    <row r="100" s="2" customFormat="1" ht="21.75" customHeight="1" spans="1:11">
      <c r="A100" s="39"/>
      <c r="B100" s="39"/>
      <c r="C100" s="27" t="s">
        <v>228</v>
      </c>
      <c r="D100" s="12">
        <v>10.5</v>
      </c>
      <c r="E100" s="12">
        <v>5</v>
      </c>
      <c r="F100" s="11"/>
      <c r="G100" s="11"/>
      <c r="H100" s="12"/>
      <c r="I100" s="27"/>
      <c r="J100" s="27"/>
      <c r="K100" s="27">
        <f t="shared" si="3"/>
        <v>15.5</v>
      </c>
    </row>
    <row r="101" s="2" customFormat="1" ht="21.75" customHeight="1" spans="1:11">
      <c r="A101" s="39"/>
      <c r="B101" s="39"/>
      <c r="C101" s="27" t="s">
        <v>227</v>
      </c>
      <c r="D101" s="12">
        <v>10.5</v>
      </c>
      <c r="E101" s="12">
        <v>5</v>
      </c>
      <c r="F101" s="11"/>
      <c r="G101" s="11"/>
      <c r="H101" s="12"/>
      <c r="I101" s="27"/>
      <c r="J101" s="27"/>
      <c r="K101" s="27">
        <f t="shared" si="3"/>
        <v>15.5</v>
      </c>
    </row>
    <row r="102" s="2" customFormat="1" ht="21.75" customHeight="1" spans="1:11">
      <c r="A102" s="39"/>
      <c r="B102" s="39"/>
      <c r="C102" s="27" t="s">
        <v>229</v>
      </c>
      <c r="D102" s="27">
        <v>0</v>
      </c>
      <c r="E102" s="27">
        <v>0</v>
      </c>
      <c r="F102" s="11"/>
      <c r="G102" s="11"/>
      <c r="H102" s="12"/>
      <c r="I102" s="27"/>
      <c r="J102" s="40"/>
      <c r="K102" s="27">
        <f t="shared" si="3"/>
        <v>0</v>
      </c>
    </row>
    <row r="103" s="2" customFormat="1" ht="21.75" customHeight="1" spans="1:11">
      <c r="A103" s="39"/>
      <c r="B103" s="39"/>
      <c r="C103" s="27" t="s">
        <v>240</v>
      </c>
      <c r="D103" s="27">
        <v>0</v>
      </c>
      <c r="E103" s="27">
        <v>0</v>
      </c>
      <c r="F103" s="11"/>
      <c r="G103" s="11"/>
      <c r="H103" s="12"/>
      <c r="I103" s="27"/>
      <c r="J103" s="40"/>
      <c r="K103" s="27">
        <f t="shared" si="3"/>
        <v>0</v>
      </c>
    </row>
    <row r="104" s="2" customFormat="1" ht="21.75" customHeight="1" spans="1:11">
      <c r="A104" s="12" t="s">
        <v>230</v>
      </c>
      <c r="B104" s="12">
        <v>10.5</v>
      </c>
      <c r="C104" s="27" t="s">
        <v>231</v>
      </c>
      <c r="D104" s="27">
        <v>10.5</v>
      </c>
      <c r="E104" s="27">
        <v>10.5</v>
      </c>
      <c r="F104" s="11"/>
      <c r="G104" s="11"/>
      <c r="H104" s="27"/>
      <c r="I104" s="27"/>
      <c r="J104" s="40"/>
      <c r="K104" s="27">
        <f t="shared" si="3"/>
        <v>21</v>
      </c>
    </row>
    <row r="105" s="2" customFormat="1" ht="21.75" customHeight="1" spans="1:11">
      <c r="A105" s="12" t="s">
        <v>232</v>
      </c>
      <c r="B105" s="12">
        <v>12</v>
      </c>
      <c r="C105" s="12" t="s">
        <v>233</v>
      </c>
      <c r="D105" s="12">
        <v>12</v>
      </c>
      <c r="E105" s="12">
        <v>12</v>
      </c>
      <c r="F105" s="89"/>
      <c r="G105" s="89"/>
      <c r="H105" s="12"/>
      <c r="I105" s="12"/>
      <c r="J105" s="90"/>
      <c r="K105" s="12">
        <f t="shared" si="3"/>
        <v>24</v>
      </c>
    </row>
    <row r="106" s="2" customFormat="1" ht="21.75" customHeight="1" spans="1:11">
      <c r="A106" s="38"/>
      <c r="B106" s="41"/>
      <c r="C106" s="41"/>
      <c r="D106" s="41"/>
      <c r="E106" s="41"/>
      <c r="F106" s="41"/>
      <c r="G106" s="41"/>
      <c r="H106" s="41"/>
      <c r="I106" s="41"/>
      <c r="J106" s="41"/>
      <c r="K106" s="27">
        <f>SUM(K85:K105)</f>
        <v>263</v>
      </c>
    </row>
    <row r="111" s="2" customFormat="1" ht="21.75" customHeight="1" spans="1:11">
      <c r="A111" s="88" t="s">
        <v>419</v>
      </c>
      <c r="B111" s="88"/>
      <c r="C111" s="88"/>
      <c r="D111" s="88"/>
      <c r="E111" s="88"/>
      <c r="F111" s="88"/>
      <c r="G111" s="88"/>
      <c r="H111" s="88"/>
      <c r="I111" s="88"/>
      <c r="J111" s="88"/>
      <c r="K111" s="88"/>
    </row>
    <row r="112" s="169" customFormat="1" ht="22.5" customHeight="1" spans="1:11">
      <c r="A112" s="35" t="s">
        <v>267</v>
      </c>
      <c r="B112" s="36"/>
      <c r="C112" s="36"/>
      <c r="D112" s="171" t="s">
        <v>423</v>
      </c>
      <c r="E112" s="172"/>
      <c r="F112" s="172"/>
      <c r="G112" s="172"/>
      <c r="H112" s="172"/>
      <c r="I112" s="172"/>
      <c r="J112" s="172"/>
      <c r="K112" s="172"/>
    </row>
    <row r="113" s="169" customFormat="1" ht="22.5" customHeight="1" spans="1:11">
      <c r="A113" s="172" t="s">
        <v>324</v>
      </c>
      <c r="B113" s="172" t="s">
        <v>201</v>
      </c>
      <c r="C113" s="173" t="s">
        <v>325</v>
      </c>
      <c r="D113" s="174" t="s">
        <v>6</v>
      </c>
      <c r="E113" s="174" t="s">
        <v>6</v>
      </c>
      <c r="F113" s="172" t="s">
        <v>6</v>
      </c>
      <c r="G113" s="174" t="s">
        <v>6</v>
      </c>
      <c r="H113" s="174" t="s">
        <v>6</v>
      </c>
      <c r="I113" s="172" t="s">
        <v>6</v>
      </c>
      <c r="J113" s="172" t="s">
        <v>326</v>
      </c>
      <c r="K113" s="172" t="s">
        <v>327</v>
      </c>
    </row>
    <row r="114" s="169" customFormat="1" ht="22.5" customHeight="1" spans="1:11">
      <c r="A114" s="27" t="s">
        <v>205</v>
      </c>
      <c r="B114" s="27">
        <v>12</v>
      </c>
      <c r="C114" s="12" t="s">
        <v>328</v>
      </c>
      <c r="D114" s="12">
        <v>11.5</v>
      </c>
      <c r="E114" s="12">
        <v>10</v>
      </c>
      <c r="F114" s="175"/>
      <c r="G114" s="176"/>
      <c r="H114" s="176"/>
      <c r="I114" s="177"/>
      <c r="J114" s="172"/>
      <c r="K114" s="12">
        <f t="shared" ref="K114:K116" si="4">SUM(D114:J114)</f>
        <v>21.5</v>
      </c>
    </row>
    <row r="115" s="169" customFormat="1" ht="22.5" customHeight="1" spans="1:11">
      <c r="A115" s="43" t="s">
        <v>207</v>
      </c>
      <c r="B115" s="12">
        <v>11.5</v>
      </c>
      <c r="C115" s="12" t="s">
        <v>329</v>
      </c>
      <c r="D115" s="12">
        <v>17</v>
      </c>
      <c r="E115" s="12">
        <v>15</v>
      </c>
      <c r="F115" s="175"/>
      <c r="G115" s="176"/>
      <c r="H115" s="176"/>
      <c r="I115" s="177"/>
      <c r="J115" s="172"/>
      <c r="K115" s="12">
        <f t="shared" si="4"/>
        <v>32</v>
      </c>
    </row>
    <row r="116" s="169" customFormat="1" ht="22.5" customHeight="1" spans="1:11">
      <c r="A116" s="44"/>
      <c r="B116" s="39"/>
      <c r="C116" s="12" t="s">
        <v>210</v>
      </c>
      <c r="D116" s="12">
        <v>17</v>
      </c>
      <c r="E116" s="12">
        <v>15</v>
      </c>
      <c r="F116" s="175"/>
      <c r="G116" s="176"/>
      <c r="H116" s="176"/>
      <c r="I116" s="177"/>
      <c r="J116" s="172"/>
      <c r="K116" s="12">
        <f t="shared" si="4"/>
        <v>32</v>
      </c>
    </row>
    <row r="117" s="169" customFormat="1" ht="22.5" customHeight="1" spans="1:11">
      <c r="A117" s="43" t="s">
        <v>211</v>
      </c>
      <c r="B117" s="12">
        <v>11.5</v>
      </c>
      <c r="C117" s="12" t="s">
        <v>330</v>
      </c>
      <c r="D117" s="12">
        <v>11.5</v>
      </c>
      <c r="E117" s="12">
        <v>11</v>
      </c>
      <c r="F117" s="175"/>
      <c r="G117" s="176"/>
      <c r="H117" s="176"/>
      <c r="I117" s="177"/>
      <c r="J117" s="172"/>
      <c r="K117" s="12">
        <f>SUM(E117:J117)</f>
        <v>11</v>
      </c>
    </row>
    <row r="118" s="169" customFormat="1" ht="22.5" customHeight="1" spans="1:11">
      <c r="A118" s="44"/>
      <c r="B118" s="39"/>
      <c r="C118" s="12" t="s">
        <v>213</v>
      </c>
      <c r="D118" s="12">
        <v>11.5</v>
      </c>
      <c r="E118" s="12">
        <v>5</v>
      </c>
      <c r="F118" s="175"/>
      <c r="G118" s="176"/>
      <c r="H118" s="176"/>
      <c r="I118" s="177"/>
      <c r="J118" s="172"/>
      <c r="K118" s="12">
        <f>SUM(E118:J118)</f>
        <v>5</v>
      </c>
    </row>
    <row r="119" s="169" customFormat="1" ht="22.5" customHeight="1" spans="1:11">
      <c r="A119" s="44"/>
      <c r="B119" s="39"/>
      <c r="C119" s="12" t="s">
        <v>214</v>
      </c>
      <c r="D119" s="12">
        <v>11.5</v>
      </c>
      <c r="E119" s="12">
        <v>11</v>
      </c>
      <c r="F119" s="175"/>
      <c r="G119" s="176"/>
      <c r="H119" s="176"/>
      <c r="I119" s="177"/>
      <c r="J119" s="172"/>
      <c r="K119" s="12">
        <f t="shared" ref="K119:K133" si="5">SUM(D119:J119)</f>
        <v>22.5</v>
      </c>
    </row>
    <row r="120" s="169" customFormat="1" ht="22.5" customHeight="1" spans="1:11">
      <c r="A120" s="44"/>
      <c r="B120" s="39"/>
      <c r="C120" s="12" t="s">
        <v>331</v>
      </c>
      <c r="D120" s="12">
        <v>11.5</v>
      </c>
      <c r="E120" s="12">
        <v>5</v>
      </c>
      <c r="F120" s="175"/>
      <c r="G120" s="176"/>
      <c r="H120" s="176"/>
      <c r="I120" s="178"/>
      <c r="J120" s="172"/>
      <c r="K120" s="12">
        <f t="shared" si="5"/>
        <v>16.5</v>
      </c>
    </row>
    <row r="121" s="169" customFormat="1" ht="22.5" customHeight="1" spans="1:11">
      <c r="A121" s="45"/>
      <c r="B121" s="46"/>
      <c r="C121" s="12" t="s">
        <v>215</v>
      </c>
      <c r="D121" s="12">
        <v>11.5</v>
      </c>
      <c r="E121" s="12">
        <v>5</v>
      </c>
      <c r="F121" s="175"/>
      <c r="G121" s="176"/>
      <c r="H121" s="176"/>
      <c r="I121" s="178"/>
      <c r="J121" s="172"/>
      <c r="K121" s="12">
        <f t="shared" si="5"/>
        <v>16.5</v>
      </c>
    </row>
    <row r="122" s="169" customFormat="1" ht="22.5" customHeight="1" spans="1:11">
      <c r="A122" s="27" t="s">
        <v>217</v>
      </c>
      <c r="B122" s="27">
        <v>10.5</v>
      </c>
      <c r="C122" s="12" t="s">
        <v>332</v>
      </c>
      <c r="D122" s="12">
        <v>11.5</v>
      </c>
      <c r="E122" s="12">
        <v>5</v>
      </c>
      <c r="F122" s="175"/>
      <c r="G122" s="176"/>
      <c r="H122" s="176"/>
      <c r="I122" s="177"/>
      <c r="J122" s="172"/>
      <c r="K122" s="12">
        <f t="shared" si="5"/>
        <v>16.5</v>
      </c>
    </row>
    <row r="123" s="169" customFormat="1" ht="22.5" customHeight="1" spans="1:11">
      <c r="A123" s="27"/>
      <c r="B123" s="27"/>
      <c r="C123" s="12" t="s">
        <v>333</v>
      </c>
      <c r="D123" s="12">
        <v>11.5</v>
      </c>
      <c r="E123" s="12">
        <v>20</v>
      </c>
      <c r="F123" s="175"/>
      <c r="G123" s="176"/>
      <c r="H123" s="176"/>
      <c r="I123" s="177"/>
      <c r="J123" s="172"/>
      <c r="K123" s="12">
        <f t="shared" si="5"/>
        <v>31.5</v>
      </c>
    </row>
    <row r="124" s="169" customFormat="1" ht="22.5" customHeight="1" spans="1:11">
      <c r="A124" s="27" t="s">
        <v>220</v>
      </c>
      <c r="B124" s="27">
        <v>11.5</v>
      </c>
      <c r="C124" s="12" t="s">
        <v>334</v>
      </c>
      <c r="D124" s="12">
        <v>39</v>
      </c>
      <c r="E124" s="12">
        <v>10</v>
      </c>
      <c r="F124" s="175"/>
      <c r="G124" s="176"/>
      <c r="H124" s="176"/>
      <c r="I124" s="177"/>
      <c r="J124" s="172"/>
      <c r="K124" s="12">
        <f t="shared" si="5"/>
        <v>49</v>
      </c>
    </row>
    <row r="125" s="169" customFormat="1" ht="22.5" customHeight="1" spans="1:11">
      <c r="A125" s="27"/>
      <c r="B125" s="27"/>
      <c r="C125" s="12" t="s">
        <v>222</v>
      </c>
      <c r="D125" s="12">
        <v>19</v>
      </c>
      <c r="E125" s="12">
        <v>20</v>
      </c>
      <c r="F125" s="175"/>
      <c r="G125" s="176"/>
      <c r="H125" s="176"/>
      <c r="I125" s="177"/>
      <c r="J125" s="172"/>
      <c r="K125" s="12">
        <f t="shared" si="5"/>
        <v>39</v>
      </c>
    </row>
    <row r="126" s="169" customFormat="1" ht="22.5" customHeight="1" spans="1:11">
      <c r="A126" s="27"/>
      <c r="B126" s="27"/>
      <c r="C126" s="12" t="s">
        <v>335</v>
      </c>
      <c r="D126" s="12">
        <v>11.5</v>
      </c>
      <c r="E126" s="12">
        <v>20</v>
      </c>
      <c r="F126" s="175"/>
      <c r="G126" s="176"/>
      <c r="H126" s="176"/>
      <c r="I126" s="177"/>
      <c r="J126" s="172"/>
      <c r="K126" s="12">
        <f t="shared" si="5"/>
        <v>31.5</v>
      </c>
    </row>
    <row r="127" s="169" customFormat="1" ht="22.5" customHeight="1" spans="1:11">
      <c r="A127" s="27"/>
      <c r="B127" s="27"/>
      <c r="C127" s="12" t="s">
        <v>224</v>
      </c>
      <c r="D127" s="12">
        <v>60</v>
      </c>
      <c r="E127" s="12">
        <v>50</v>
      </c>
      <c r="F127" s="175"/>
      <c r="G127" s="176"/>
      <c r="H127" s="176"/>
      <c r="I127" s="177"/>
      <c r="J127" s="172"/>
      <c r="K127" s="12">
        <f t="shared" si="5"/>
        <v>110</v>
      </c>
    </row>
    <row r="128" s="169" customFormat="1" ht="22.5" customHeight="1" spans="1:11">
      <c r="A128" s="39" t="s">
        <v>225</v>
      </c>
      <c r="B128" s="39">
        <v>10.5</v>
      </c>
      <c r="C128" s="12" t="s">
        <v>226</v>
      </c>
      <c r="D128" s="12">
        <v>22</v>
      </c>
      <c r="E128" s="12">
        <v>10</v>
      </c>
      <c r="F128" s="175"/>
      <c r="G128" s="176"/>
      <c r="H128" s="176"/>
      <c r="I128" s="177"/>
      <c r="J128" s="172"/>
      <c r="K128" s="12">
        <f t="shared" si="5"/>
        <v>32</v>
      </c>
    </row>
    <row r="129" s="169" customFormat="1" ht="22.5" customHeight="1" spans="1:11">
      <c r="A129" s="39"/>
      <c r="B129" s="39"/>
      <c r="C129" s="12" t="s">
        <v>336</v>
      </c>
      <c r="D129" s="12">
        <v>18</v>
      </c>
      <c r="E129" s="12">
        <v>20</v>
      </c>
      <c r="F129" s="175"/>
      <c r="G129" s="176"/>
      <c r="H129" s="176"/>
      <c r="I129" s="177"/>
      <c r="J129" s="172"/>
      <c r="K129" s="12">
        <f t="shared" si="5"/>
        <v>38</v>
      </c>
    </row>
    <row r="130" s="169" customFormat="1" ht="22.5" customHeight="1" spans="1:11">
      <c r="A130" s="39"/>
      <c r="B130" s="39"/>
      <c r="C130" s="12" t="s">
        <v>337</v>
      </c>
      <c r="D130" s="12">
        <v>18</v>
      </c>
      <c r="E130" s="12">
        <v>20</v>
      </c>
      <c r="F130" s="175"/>
      <c r="G130" s="176"/>
      <c r="H130" s="176"/>
      <c r="I130" s="177"/>
      <c r="J130" s="172"/>
      <c r="K130" s="12">
        <f t="shared" si="5"/>
        <v>38</v>
      </c>
    </row>
    <row r="131" s="169" customFormat="1" ht="22.5" customHeight="1" spans="1:11">
      <c r="A131" s="39"/>
      <c r="B131" s="39"/>
      <c r="C131" s="12" t="s">
        <v>229</v>
      </c>
      <c r="D131" s="12">
        <v>18</v>
      </c>
      <c r="E131" s="12">
        <v>5</v>
      </c>
      <c r="F131" s="175"/>
      <c r="G131" s="176"/>
      <c r="H131" s="176"/>
      <c r="I131" s="177"/>
      <c r="J131" s="177"/>
      <c r="K131" s="12">
        <f t="shared" si="5"/>
        <v>23</v>
      </c>
    </row>
    <row r="132" s="169" customFormat="1" ht="22.5" customHeight="1" spans="1:11">
      <c r="A132" s="39"/>
      <c r="B132" s="39"/>
      <c r="C132" s="12" t="s">
        <v>240</v>
      </c>
      <c r="D132" s="12">
        <v>10.5</v>
      </c>
      <c r="E132" s="12">
        <v>20</v>
      </c>
      <c r="F132" s="175"/>
      <c r="G132" s="176"/>
      <c r="H132" s="176"/>
      <c r="I132" s="177"/>
      <c r="J132" s="177"/>
      <c r="K132" s="12">
        <f t="shared" si="5"/>
        <v>30.5</v>
      </c>
    </row>
    <row r="133" s="169" customFormat="1" ht="22.5" customHeight="1" spans="1:11">
      <c r="A133" s="12" t="s">
        <v>230</v>
      </c>
      <c r="B133" s="12">
        <v>10.5</v>
      </c>
      <c r="C133" s="12" t="s">
        <v>338</v>
      </c>
      <c r="D133" s="12">
        <v>10.5</v>
      </c>
      <c r="E133" s="12">
        <v>10.5</v>
      </c>
      <c r="F133" s="175"/>
      <c r="G133" s="176"/>
      <c r="H133" s="176"/>
      <c r="I133" s="177"/>
      <c r="J133" s="177"/>
      <c r="K133" s="12">
        <f t="shared" si="5"/>
        <v>21</v>
      </c>
    </row>
    <row r="134" s="169" customFormat="1" ht="22.5" customHeight="1" spans="1:11">
      <c r="A134" s="27" t="s">
        <v>232</v>
      </c>
      <c r="B134" s="27">
        <v>12</v>
      </c>
      <c r="C134" s="27" t="s">
        <v>339</v>
      </c>
      <c r="D134" s="27">
        <v>12</v>
      </c>
      <c r="E134" s="27">
        <v>12</v>
      </c>
      <c r="F134" s="172"/>
      <c r="G134" s="176"/>
      <c r="H134" s="176"/>
      <c r="I134" s="172"/>
      <c r="J134" s="172"/>
      <c r="K134" s="179">
        <f>SUM(E134:J134)</f>
        <v>12</v>
      </c>
    </row>
    <row r="135" s="169" customFormat="1" ht="22.5" customHeight="1" spans="1:11">
      <c r="A135" s="180"/>
      <c r="B135" s="181"/>
      <c r="C135" s="181"/>
      <c r="D135" s="181"/>
      <c r="E135" s="181"/>
      <c r="F135" s="181"/>
      <c r="G135" s="181"/>
      <c r="H135" s="181"/>
      <c r="I135" s="181"/>
      <c r="J135" s="182"/>
      <c r="K135" s="179">
        <f>SUM(K114:K134)</f>
        <v>629</v>
      </c>
    </row>
    <row r="138" s="1" customFormat="1" ht="21" customHeight="1" spans="1:11">
      <c r="A138" s="32" t="s">
        <v>424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4"/>
    </row>
    <row r="139" s="1" customFormat="1" ht="21" customHeight="1" spans="1:11">
      <c r="A139" s="35" t="s">
        <v>253</v>
      </c>
      <c r="B139" s="36"/>
      <c r="C139" s="36"/>
      <c r="D139" s="37" t="s">
        <v>425</v>
      </c>
      <c r="E139" s="36"/>
      <c r="F139" s="36"/>
      <c r="G139" s="36"/>
      <c r="H139" s="36"/>
      <c r="I139" s="36"/>
      <c r="J139" s="36"/>
      <c r="K139" s="36"/>
    </row>
    <row r="140" s="1" customFormat="1" ht="21" customHeight="1" spans="1:11">
      <c r="A140" s="27" t="s">
        <v>200</v>
      </c>
      <c r="B140" s="27" t="s">
        <v>201</v>
      </c>
      <c r="C140" s="38" t="s">
        <v>202</v>
      </c>
      <c r="D140" s="12" t="s">
        <v>6</v>
      </c>
      <c r="E140" s="12" t="s">
        <v>6</v>
      </c>
      <c r="F140" s="27" t="s">
        <v>6</v>
      </c>
      <c r="G140" s="27" t="s">
        <v>6</v>
      </c>
      <c r="H140" s="27" t="s">
        <v>6</v>
      </c>
      <c r="I140" s="27" t="s">
        <v>6</v>
      </c>
      <c r="J140" s="27" t="s">
        <v>203</v>
      </c>
      <c r="K140" s="27" t="s">
        <v>204</v>
      </c>
    </row>
    <row r="141" s="1" customFormat="1" ht="21" customHeight="1" spans="1:11">
      <c r="A141" s="27" t="s">
        <v>205</v>
      </c>
      <c r="B141" s="27">
        <v>12</v>
      </c>
      <c r="C141" s="38" t="s">
        <v>206</v>
      </c>
      <c r="D141" s="12">
        <v>15</v>
      </c>
      <c r="E141" s="12">
        <v>10</v>
      </c>
      <c r="F141" s="12"/>
      <c r="G141" s="12"/>
      <c r="H141" s="12"/>
      <c r="I141" s="27"/>
      <c r="J141" s="27"/>
      <c r="K141" s="13">
        <f t="shared" ref="K141:K162" si="6">SUM(D141:J141)</f>
        <v>25</v>
      </c>
    </row>
    <row r="142" s="1" customFormat="1" ht="21" customHeight="1" spans="1:11">
      <c r="A142" s="21" t="s">
        <v>207</v>
      </c>
      <c r="B142" s="27">
        <v>11.5</v>
      </c>
      <c r="C142" s="38" t="s">
        <v>208</v>
      </c>
      <c r="D142" s="12">
        <v>22</v>
      </c>
      <c r="E142" s="12">
        <v>15</v>
      </c>
      <c r="F142" s="12"/>
      <c r="G142" s="12"/>
      <c r="H142" s="12"/>
      <c r="I142" s="27"/>
      <c r="J142" s="27"/>
      <c r="K142" s="13">
        <f t="shared" si="6"/>
        <v>37</v>
      </c>
    </row>
    <row r="143" s="1" customFormat="1" ht="21" customHeight="1" spans="1:11">
      <c r="A143" s="21"/>
      <c r="B143" s="27"/>
      <c r="C143" s="38" t="s">
        <v>210</v>
      </c>
      <c r="D143" s="12">
        <v>22</v>
      </c>
      <c r="E143" s="12">
        <v>15</v>
      </c>
      <c r="F143" s="12"/>
      <c r="G143" s="12"/>
      <c r="H143" s="12"/>
      <c r="I143" s="27"/>
      <c r="J143" s="27"/>
      <c r="K143" s="13">
        <f t="shared" si="6"/>
        <v>37</v>
      </c>
    </row>
    <row r="144" s="1" customFormat="1" ht="21" customHeight="1" spans="1:11">
      <c r="A144" s="16" t="s">
        <v>237</v>
      </c>
      <c r="B144" s="13">
        <v>11.5</v>
      </c>
      <c r="C144" s="17" t="s">
        <v>212</v>
      </c>
      <c r="D144" s="12">
        <v>14.3</v>
      </c>
      <c r="E144" s="12">
        <v>11</v>
      </c>
      <c r="F144" s="12"/>
      <c r="G144" s="12"/>
      <c r="H144" s="12"/>
      <c r="I144" s="27"/>
      <c r="J144" s="27"/>
      <c r="K144" s="13">
        <f t="shared" si="6"/>
        <v>25.3</v>
      </c>
    </row>
    <row r="145" s="1" customFormat="1" ht="21" customHeight="1" spans="1:11">
      <c r="A145" s="18"/>
      <c r="B145" s="13"/>
      <c r="C145" s="1" t="s">
        <v>215</v>
      </c>
      <c r="D145" s="12">
        <v>14.3</v>
      </c>
      <c r="E145" s="12">
        <v>11</v>
      </c>
      <c r="F145" s="12"/>
      <c r="G145" s="12"/>
      <c r="H145" s="12"/>
      <c r="I145" s="27"/>
      <c r="J145" s="27"/>
      <c r="K145" s="13">
        <f t="shared" si="6"/>
        <v>25.3</v>
      </c>
    </row>
    <row r="146" s="1" customFormat="1" ht="21" customHeight="1" spans="1:11">
      <c r="A146" s="19" t="s">
        <v>238</v>
      </c>
      <c r="B146" s="13"/>
      <c r="C146" s="17" t="s">
        <v>213</v>
      </c>
      <c r="D146" s="12">
        <v>14.3</v>
      </c>
      <c r="E146" s="12">
        <v>11</v>
      </c>
      <c r="F146" s="12"/>
      <c r="G146" s="12"/>
      <c r="H146" s="12"/>
      <c r="I146" s="27"/>
      <c r="J146" s="27"/>
      <c r="K146" s="13">
        <f t="shared" si="6"/>
        <v>25.3</v>
      </c>
    </row>
    <row r="147" s="1" customFormat="1" ht="21" customHeight="1" spans="1:11">
      <c r="A147" s="20"/>
      <c r="B147" s="13"/>
      <c r="C147" s="17" t="s">
        <v>216</v>
      </c>
      <c r="D147" s="12">
        <v>14.3</v>
      </c>
      <c r="E147" s="12">
        <v>11</v>
      </c>
      <c r="F147" s="12"/>
      <c r="G147" s="12"/>
      <c r="H147" s="12"/>
      <c r="I147" s="12"/>
      <c r="J147" s="27"/>
      <c r="K147" s="13">
        <f t="shared" si="6"/>
        <v>25.3</v>
      </c>
    </row>
    <row r="148" s="1" customFormat="1" ht="21" customHeight="1" spans="1:11">
      <c r="A148" s="21" t="s">
        <v>239</v>
      </c>
      <c r="B148" s="13"/>
      <c r="C148" s="13" t="s">
        <v>214</v>
      </c>
      <c r="D148" s="12">
        <v>14.3</v>
      </c>
      <c r="E148" s="12">
        <v>11</v>
      </c>
      <c r="F148" s="12"/>
      <c r="G148" s="12"/>
      <c r="H148" s="12"/>
      <c r="I148" s="12"/>
      <c r="J148" s="27"/>
      <c r="K148" s="13">
        <f t="shared" si="6"/>
        <v>25.3</v>
      </c>
    </row>
    <row r="149" s="1" customFormat="1" ht="21" customHeight="1" spans="1:11">
      <c r="A149" s="27" t="s">
        <v>217</v>
      </c>
      <c r="B149" s="27">
        <v>10.5</v>
      </c>
      <c r="C149" s="27" t="s">
        <v>218</v>
      </c>
      <c r="D149" s="12">
        <v>16.7</v>
      </c>
      <c r="E149" s="12">
        <v>10</v>
      </c>
      <c r="F149" s="12"/>
      <c r="G149" s="12"/>
      <c r="H149" s="12"/>
      <c r="I149" s="27"/>
      <c r="J149" s="27"/>
      <c r="K149" s="13">
        <f t="shared" si="6"/>
        <v>26.7</v>
      </c>
    </row>
    <row r="150" s="1" customFormat="1" ht="21" customHeight="1" spans="1:11">
      <c r="A150" s="27"/>
      <c r="B150" s="27"/>
      <c r="C150" s="27" t="s">
        <v>219</v>
      </c>
      <c r="D150" s="12">
        <v>16.7</v>
      </c>
      <c r="E150" s="12">
        <v>10</v>
      </c>
      <c r="F150" s="12"/>
      <c r="G150" s="12"/>
      <c r="H150" s="12"/>
      <c r="I150" s="27"/>
      <c r="J150" s="27"/>
      <c r="K150" s="13">
        <f t="shared" si="6"/>
        <v>26.7</v>
      </c>
    </row>
    <row r="151" s="1" customFormat="1" ht="21" customHeight="1" spans="1:11">
      <c r="A151" s="27" t="s">
        <v>220</v>
      </c>
      <c r="B151" s="27">
        <v>11.5</v>
      </c>
      <c r="C151" s="38" t="s">
        <v>221</v>
      </c>
      <c r="D151" s="12">
        <v>16.7</v>
      </c>
      <c r="E151" s="12">
        <v>10</v>
      </c>
      <c r="F151" s="12"/>
      <c r="G151" s="12"/>
      <c r="H151" s="12"/>
      <c r="I151" s="27"/>
      <c r="J151" s="27"/>
      <c r="K151" s="13">
        <f t="shared" si="6"/>
        <v>26.7</v>
      </c>
    </row>
    <row r="152" s="1" customFormat="1" ht="21" customHeight="1" spans="1:11">
      <c r="A152" s="27"/>
      <c r="B152" s="27"/>
      <c r="C152" s="38" t="s">
        <v>222</v>
      </c>
      <c r="D152" s="12">
        <v>16.7</v>
      </c>
      <c r="E152" s="12">
        <v>10</v>
      </c>
      <c r="F152" s="12"/>
      <c r="G152" s="12"/>
      <c r="H152" s="12"/>
      <c r="I152" s="27"/>
      <c r="J152" s="27"/>
      <c r="K152" s="13">
        <f t="shared" si="6"/>
        <v>26.7</v>
      </c>
    </row>
    <row r="153" s="1" customFormat="1" ht="21" customHeight="1" spans="1:11">
      <c r="A153" s="27"/>
      <c r="B153" s="27"/>
      <c r="C153" s="38" t="s">
        <v>223</v>
      </c>
      <c r="D153" s="12">
        <v>16.7</v>
      </c>
      <c r="E153" s="12">
        <v>5</v>
      </c>
      <c r="F153" s="12"/>
      <c r="G153" s="12"/>
      <c r="H153" s="12"/>
      <c r="I153" s="27"/>
      <c r="J153" s="27"/>
      <c r="K153" s="13">
        <f t="shared" si="6"/>
        <v>21.7</v>
      </c>
    </row>
    <row r="154" s="1" customFormat="1" ht="21" customHeight="1" spans="1:11">
      <c r="A154" s="27"/>
      <c r="B154" s="27"/>
      <c r="C154" s="38" t="s">
        <v>224</v>
      </c>
      <c r="D154" s="12">
        <v>0</v>
      </c>
      <c r="E154" s="12">
        <v>0</v>
      </c>
      <c r="F154" s="12"/>
      <c r="G154" s="12"/>
      <c r="H154" s="12"/>
      <c r="I154" s="27"/>
      <c r="J154" s="27"/>
      <c r="K154" s="13">
        <f t="shared" si="6"/>
        <v>0</v>
      </c>
    </row>
    <row r="155" s="1" customFormat="1" ht="21" customHeight="1" spans="1:11">
      <c r="A155" s="39" t="s">
        <v>225</v>
      </c>
      <c r="B155" s="39">
        <v>10.5</v>
      </c>
      <c r="C155" s="27" t="s">
        <v>226</v>
      </c>
      <c r="D155" s="12">
        <v>16.7</v>
      </c>
      <c r="E155" s="12">
        <v>5</v>
      </c>
      <c r="F155" s="12"/>
      <c r="G155" s="12"/>
      <c r="H155" s="12"/>
      <c r="I155" s="27"/>
      <c r="J155" s="27"/>
      <c r="K155" s="13">
        <f t="shared" si="6"/>
        <v>21.7</v>
      </c>
    </row>
    <row r="156" s="1" customFormat="1" ht="21" customHeight="1" spans="1:11">
      <c r="A156" s="39"/>
      <c r="B156" s="39"/>
      <c r="C156" s="27" t="s">
        <v>250</v>
      </c>
      <c r="D156" s="12">
        <v>16.7</v>
      </c>
      <c r="E156" s="12">
        <v>5</v>
      </c>
      <c r="F156" s="12"/>
      <c r="G156" s="12"/>
      <c r="H156" s="12"/>
      <c r="I156" s="27"/>
      <c r="J156" s="27"/>
      <c r="K156" s="13">
        <f t="shared" si="6"/>
        <v>21.7</v>
      </c>
    </row>
    <row r="157" s="1" customFormat="1" ht="21" customHeight="1" spans="1:11">
      <c r="A157" s="39"/>
      <c r="B157" s="39"/>
      <c r="C157" s="27" t="s">
        <v>228</v>
      </c>
      <c r="D157" s="12">
        <v>16.7</v>
      </c>
      <c r="E157" s="12">
        <v>0</v>
      </c>
      <c r="F157" s="12"/>
      <c r="G157" s="12"/>
      <c r="H157" s="12"/>
      <c r="I157" s="27"/>
      <c r="J157" s="27"/>
      <c r="K157" s="13">
        <f t="shared" si="6"/>
        <v>16.7</v>
      </c>
    </row>
    <row r="158" s="1" customFormat="1" ht="21" customHeight="1" spans="1:11">
      <c r="A158" s="39"/>
      <c r="B158" s="39"/>
      <c r="C158" s="27" t="s">
        <v>227</v>
      </c>
      <c r="D158" s="12">
        <v>0</v>
      </c>
      <c r="E158" s="12">
        <v>0</v>
      </c>
      <c r="F158" s="12"/>
      <c r="G158" s="12"/>
      <c r="H158" s="12"/>
      <c r="I158" s="27"/>
      <c r="J158" s="27"/>
      <c r="K158" s="13">
        <f t="shared" si="6"/>
        <v>0</v>
      </c>
    </row>
    <row r="159" s="1" customFormat="1" ht="21" customHeight="1" spans="1:11">
      <c r="A159" s="39"/>
      <c r="B159" s="39"/>
      <c r="C159" s="27" t="s">
        <v>229</v>
      </c>
      <c r="D159" s="12">
        <v>0</v>
      </c>
      <c r="E159" s="12">
        <v>0</v>
      </c>
      <c r="F159" s="12"/>
      <c r="G159" s="12"/>
      <c r="H159" s="12"/>
      <c r="I159" s="27"/>
      <c r="J159" s="40"/>
      <c r="K159" s="13">
        <f t="shared" si="6"/>
        <v>0</v>
      </c>
    </row>
    <row r="160" s="1" customFormat="1" ht="21" customHeight="1" spans="1:11">
      <c r="A160" s="39"/>
      <c r="B160" s="39"/>
      <c r="C160" s="27" t="s">
        <v>240</v>
      </c>
      <c r="D160" s="12">
        <v>16.7</v>
      </c>
      <c r="E160" s="12">
        <v>0</v>
      </c>
      <c r="F160" s="12"/>
      <c r="G160" s="12"/>
      <c r="H160" s="12"/>
      <c r="I160" s="27"/>
      <c r="J160" s="40"/>
      <c r="K160" s="13">
        <f t="shared" si="6"/>
        <v>16.7</v>
      </c>
    </row>
    <row r="161" s="1" customFormat="1" ht="21" customHeight="1" spans="1:11">
      <c r="A161" s="12" t="s">
        <v>230</v>
      </c>
      <c r="B161" s="12">
        <v>10.5</v>
      </c>
      <c r="C161" s="27" t="s">
        <v>231</v>
      </c>
      <c r="D161" s="27">
        <v>10.5</v>
      </c>
      <c r="E161" s="27">
        <v>10.5</v>
      </c>
      <c r="F161" s="27"/>
      <c r="G161" s="27"/>
      <c r="H161" s="27"/>
      <c r="I161" s="27"/>
      <c r="J161" s="40"/>
      <c r="K161" s="13">
        <f t="shared" si="6"/>
        <v>21</v>
      </c>
    </row>
    <row r="162" s="1" customFormat="1" ht="21" customHeight="1" spans="1:11">
      <c r="A162" s="27" t="s">
        <v>232</v>
      </c>
      <c r="B162" s="27">
        <v>12</v>
      </c>
      <c r="C162" s="27" t="s">
        <v>233</v>
      </c>
      <c r="D162" s="27">
        <v>12</v>
      </c>
      <c r="E162" s="27">
        <v>12</v>
      </c>
      <c r="F162" s="27"/>
      <c r="G162" s="27"/>
      <c r="H162" s="27"/>
      <c r="I162" s="27"/>
      <c r="J162" s="40"/>
      <c r="K162" s="13">
        <f t="shared" si="6"/>
        <v>24</v>
      </c>
    </row>
    <row r="163" s="1" customFormat="1" ht="21" customHeight="1" spans="1:11">
      <c r="A163" s="38"/>
      <c r="B163" s="41"/>
      <c r="C163" s="41"/>
      <c r="D163" s="41"/>
      <c r="E163" s="41"/>
      <c r="F163" s="30"/>
      <c r="G163" s="41"/>
      <c r="H163" s="41"/>
      <c r="I163" s="41"/>
      <c r="J163" s="41"/>
      <c r="K163" s="31">
        <f>SUM(K141:K162)</f>
        <v>475.8</v>
      </c>
    </row>
    <row r="167" s="2" customFormat="1" ht="21.75" customHeight="1" spans="1:11">
      <c r="A167" s="88" t="s">
        <v>419</v>
      </c>
      <c r="B167" s="88"/>
      <c r="C167" s="88"/>
      <c r="D167" s="88"/>
      <c r="E167" s="88"/>
      <c r="F167" s="88"/>
      <c r="G167" s="88"/>
      <c r="H167" s="88"/>
      <c r="I167" s="88"/>
      <c r="J167" s="88"/>
      <c r="K167" s="88"/>
    </row>
    <row r="168" s="2" customFormat="1" ht="21.75" customHeight="1" spans="1:11">
      <c r="A168" s="91" t="s">
        <v>251</v>
      </c>
      <c r="B168" s="91"/>
      <c r="C168" s="91"/>
      <c r="D168" s="92" t="s">
        <v>426</v>
      </c>
      <c r="E168" s="91"/>
      <c r="F168" s="91"/>
      <c r="G168" s="91"/>
      <c r="H168" s="91"/>
      <c r="I168" s="91"/>
      <c r="J168" s="91"/>
      <c r="K168" s="91"/>
    </row>
    <row r="169" s="2" customFormat="1" ht="21.75" customHeight="1" spans="1:11">
      <c r="A169" s="93" t="s">
        <v>200</v>
      </c>
      <c r="B169" s="93" t="s">
        <v>201</v>
      </c>
      <c r="C169" s="94" t="s">
        <v>202</v>
      </c>
      <c r="D169" s="95" t="s">
        <v>6</v>
      </c>
      <c r="E169" s="95" t="s">
        <v>6</v>
      </c>
      <c r="F169" s="93" t="s">
        <v>6</v>
      </c>
      <c r="G169" s="93" t="s">
        <v>6</v>
      </c>
      <c r="H169" s="93" t="s">
        <v>6</v>
      </c>
      <c r="I169" s="93" t="s">
        <v>6</v>
      </c>
      <c r="J169" s="93" t="s">
        <v>203</v>
      </c>
      <c r="K169" s="93" t="s">
        <v>204</v>
      </c>
    </row>
    <row r="170" s="2" customFormat="1" ht="21.75" customHeight="1" spans="1:11">
      <c r="A170" s="13" t="s">
        <v>205</v>
      </c>
      <c r="B170" s="13">
        <v>12</v>
      </c>
      <c r="C170" s="38" t="s">
        <v>206</v>
      </c>
      <c r="D170" s="28">
        <v>15</v>
      </c>
      <c r="E170" s="28">
        <v>15</v>
      </c>
      <c r="F170" s="28">
        <v>15</v>
      </c>
      <c r="G170" s="28">
        <v>15</v>
      </c>
      <c r="H170" s="13">
        <v>10</v>
      </c>
      <c r="I170" s="153"/>
      <c r="J170" s="98"/>
      <c r="K170" s="13">
        <f t="shared" ref="K170:K190" si="7">SUM(D170:J170)</f>
        <v>70</v>
      </c>
    </row>
    <row r="171" s="2" customFormat="1" ht="21.75" customHeight="1" spans="1:11">
      <c r="A171" s="96" t="s">
        <v>207</v>
      </c>
      <c r="B171" s="13">
        <v>11.5</v>
      </c>
      <c r="C171" s="17" t="s">
        <v>208</v>
      </c>
      <c r="D171" s="154">
        <v>21.5</v>
      </c>
      <c r="E171" s="154">
        <v>21.5</v>
      </c>
      <c r="F171" s="154">
        <v>21.5</v>
      </c>
      <c r="G171" s="154">
        <v>21.5</v>
      </c>
      <c r="H171" s="13">
        <v>0</v>
      </c>
      <c r="I171" s="153"/>
      <c r="J171" s="98"/>
      <c r="K171" s="13">
        <f t="shared" si="7"/>
        <v>86</v>
      </c>
    </row>
    <row r="172" s="2" customFormat="1" ht="21.75" customHeight="1" spans="1:11">
      <c r="A172" s="96"/>
      <c r="B172" s="13"/>
      <c r="C172" s="17" t="s">
        <v>210</v>
      </c>
      <c r="D172" s="154">
        <v>21.5</v>
      </c>
      <c r="E172" s="154">
        <v>21.5</v>
      </c>
      <c r="F172" s="154">
        <v>21.5</v>
      </c>
      <c r="G172" s="154">
        <v>21.5</v>
      </c>
      <c r="H172" s="13">
        <v>10</v>
      </c>
      <c r="I172" s="153"/>
      <c r="J172" s="98"/>
      <c r="K172" s="13">
        <f t="shared" si="7"/>
        <v>96</v>
      </c>
    </row>
    <row r="173" s="2" customFormat="1" ht="21.75" customHeight="1" spans="1:11">
      <c r="A173" s="19" t="s">
        <v>211</v>
      </c>
      <c r="B173" s="28">
        <v>11.5</v>
      </c>
      <c r="C173" s="17" t="s">
        <v>212</v>
      </c>
      <c r="D173" s="154">
        <v>14.3</v>
      </c>
      <c r="E173" s="154">
        <v>14.3</v>
      </c>
      <c r="F173" s="154">
        <v>14.3</v>
      </c>
      <c r="G173" s="154">
        <v>14.3</v>
      </c>
      <c r="H173" s="13">
        <v>11.5</v>
      </c>
      <c r="I173" s="153"/>
      <c r="J173" s="98"/>
      <c r="K173" s="13">
        <f t="shared" si="7"/>
        <v>68.7</v>
      </c>
    </row>
    <row r="174" s="2" customFormat="1" ht="21.75" customHeight="1" spans="1:11">
      <c r="A174" s="155"/>
      <c r="B174" s="97"/>
      <c r="C174" s="17" t="s">
        <v>213</v>
      </c>
      <c r="D174" s="154">
        <v>14.3</v>
      </c>
      <c r="E174" s="154">
        <v>14.3</v>
      </c>
      <c r="F174" s="154">
        <v>14.3</v>
      </c>
      <c r="G174" s="154">
        <v>14.3</v>
      </c>
      <c r="H174" s="13">
        <v>11.5</v>
      </c>
      <c r="I174" s="153"/>
      <c r="J174" s="98"/>
      <c r="K174" s="13">
        <f t="shared" si="7"/>
        <v>68.7</v>
      </c>
    </row>
    <row r="175" s="2" customFormat="1" ht="21.75" customHeight="1" spans="1:11">
      <c r="A175" s="155"/>
      <c r="B175" s="97"/>
      <c r="C175" s="13" t="s">
        <v>214</v>
      </c>
      <c r="D175" s="156">
        <v>14.3</v>
      </c>
      <c r="E175" s="156">
        <v>14.3</v>
      </c>
      <c r="F175" s="156">
        <v>14.3</v>
      </c>
      <c r="G175" s="156">
        <v>14.3</v>
      </c>
      <c r="H175" s="13">
        <v>11.5</v>
      </c>
      <c r="I175" s="153"/>
      <c r="J175" s="98"/>
      <c r="K175" s="13">
        <f t="shared" si="7"/>
        <v>68.7</v>
      </c>
    </row>
    <row r="176" s="2" customFormat="1" ht="21.75" customHeight="1" spans="1:11">
      <c r="A176" s="155"/>
      <c r="B176" s="97"/>
      <c r="C176" s="17" t="s">
        <v>216</v>
      </c>
      <c r="D176" s="154">
        <v>0</v>
      </c>
      <c r="E176" s="154">
        <v>0</v>
      </c>
      <c r="F176" s="154">
        <v>0</v>
      </c>
      <c r="G176" s="154">
        <v>0</v>
      </c>
      <c r="H176" s="13">
        <v>0</v>
      </c>
      <c r="I176" s="153"/>
      <c r="J176" s="98"/>
      <c r="K176" s="13">
        <f t="shared" si="7"/>
        <v>0</v>
      </c>
    </row>
    <row r="177" s="2" customFormat="1" ht="21.75" customHeight="1" spans="1:11">
      <c r="A177" s="20"/>
      <c r="B177" s="157"/>
      <c r="C177" s="17" t="s">
        <v>215</v>
      </c>
      <c r="D177" s="154">
        <v>14.3</v>
      </c>
      <c r="E177" s="154">
        <v>14.3</v>
      </c>
      <c r="F177" s="154">
        <v>14.3</v>
      </c>
      <c r="G177" s="154">
        <v>14.3</v>
      </c>
      <c r="H177" s="13">
        <v>11.5</v>
      </c>
      <c r="I177" s="153"/>
      <c r="J177" s="98"/>
      <c r="K177" s="13">
        <f t="shared" si="7"/>
        <v>68.7</v>
      </c>
    </row>
    <row r="178" s="2" customFormat="1" ht="21.75" customHeight="1" spans="1:11">
      <c r="A178" s="13" t="s">
        <v>217</v>
      </c>
      <c r="B178" s="13">
        <v>10.5</v>
      </c>
      <c r="C178" s="13" t="s">
        <v>218</v>
      </c>
      <c r="D178" s="154">
        <v>16.7</v>
      </c>
      <c r="E178" s="154">
        <v>16.7</v>
      </c>
      <c r="F178" s="154">
        <v>16.7</v>
      </c>
      <c r="G178" s="154">
        <v>16.7</v>
      </c>
      <c r="H178" s="13">
        <v>10</v>
      </c>
      <c r="I178" s="153"/>
      <c r="J178" s="98"/>
      <c r="K178" s="13">
        <f t="shared" si="7"/>
        <v>76.8</v>
      </c>
    </row>
    <row r="179" s="2" customFormat="1" ht="21.75" customHeight="1" spans="1:11">
      <c r="A179" s="13"/>
      <c r="B179" s="13"/>
      <c r="C179" s="13" t="s">
        <v>219</v>
      </c>
      <c r="D179" s="28">
        <v>16.7</v>
      </c>
      <c r="E179" s="28">
        <v>16.7</v>
      </c>
      <c r="F179" s="28">
        <v>16.7</v>
      </c>
      <c r="G179" s="28">
        <v>16.7</v>
      </c>
      <c r="H179" s="13">
        <v>10</v>
      </c>
      <c r="I179" s="153"/>
      <c r="J179" s="98"/>
      <c r="K179" s="13">
        <f t="shared" si="7"/>
        <v>76.8</v>
      </c>
    </row>
    <row r="180" s="2" customFormat="1" ht="21.75" customHeight="1" spans="1:11">
      <c r="A180" s="13" t="s">
        <v>220</v>
      </c>
      <c r="B180" s="13">
        <v>11.5</v>
      </c>
      <c r="C180" s="17" t="s">
        <v>221</v>
      </c>
      <c r="D180" s="28">
        <v>0</v>
      </c>
      <c r="E180" s="28">
        <v>0</v>
      </c>
      <c r="F180" s="28">
        <v>0</v>
      </c>
      <c r="G180" s="28">
        <v>0</v>
      </c>
      <c r="H180" s="13">
        <v>0</v>
      </c>
      <c r="I180" s="153"/>
      <c r="J180" s="98"/>
      <c r="K180" s="13">
        <f t="shared" si="7"/>
        <v>0</v>
      </c>
    </row>
    <row r="181" s="2" customFormat="1" ht="21.75" customHeight="1" spans="1:11">
      <c r="A181" s="13"/>
      <c r="B181" s="13"/>
      <c r="C181" s="17" t="s">
        <v>222</v>
      </c>
      <c r="D181" s="28">
        <v>16.7</v>
      </c>
      <c r="E181" s="28">
        <v>16.7</v>
      </c>
      <c r="F181" s="28">
        <v>16.7</v>
      </c>
      <c r="G181" s="28">
        <v>16.7</v>
      </c>
      <c r="H181" s="13">
        <v>10</v>
      </c>
      <c r="I181" s="153"/>
      <c r="J181" s="98"/>
      <c r="K181" s="13">
        <f t="shared" si="7"/>
        <v>76.8</v>
      </c>
    </row>
    <row r="182" s="2" customFormat="1" ht="21.75" customHeight="1" spans="1:11">
      <c r="A182" s="13"/>
      <c r="B182" s="13"/>
      <c r="C182" s="17" t="s">
        <v>223</v>
      </c>
      <c r="D182" s="28">
        <v>16.7</v>
      </c>
      <c r="E182" s="28">
        <v>16.7</v>
      </c>
      <c r="F182" s="28">
        <v>16.7</v>
      </c>
      <c r="G182" s="28">
        <v>16.7</v>
      </c>
      <c r="H182" s="13">
        <v>5</v>
      </c>
      <c r="I182" s="153"/>
      <c r="J182" s="98"/>
      <c r="K182" s="13">
        <f t="shared" si="7"/>
        <v>71.8</v>
      </c>
    </row>
    <row r="183" s="2" customFormat="1" ht="21.75" customHeight="1" spans="1:11">
      <c r="A183" s="13"/>
      <c r="B183" s="13"/>
      <c r="C183" s="17" t="s">
        <v>224</v>
      </c>
      <c r="D183" s="28">
        <v>0</v>
      </c>
      <c r="E183" s="28">
        <v>0</v>
      </c>
      <c r="F183" s="28">
        <v>0</v>
      </c>
      <c r="G183" s="28">
        <v>0</v>
      </c>
      <c r="H183" s="13">
        <v>0</v>
      </c>
      <c r="I183" s="153"/>
      <c r="J183" s="98"/>
      <c r="K183" s="13">
        <f t="shared" si="7"/>
        <v>0</v>
      </c>
    </row>
    <row r="184" s="2" customFormat="1" ht="21.75" customHeight="1" spans="1:11">
      <c r="A184" s="85" t="s">
        <v>225</v>
      </c>
      <c r="B184" s="85">
        <v>10.5</v>
      </c>
      <c r="C184" s="13" t="s">
        <v>226</v>
      </c>
      <c r="D184" s="28">
        <v>16.7</v>
      </c>
      <c r="E184" s="28">
        <v>16.7</v>
      </c>
      <c r="F184" s="28">
        <v>16.7</v>
      </c>
      <c r="G184" s="28">
        <v>16.7</v>
      </c>
      <c r="H184" s="28">
        <v>0</v>
      </c>
      <c r="I184" s="153"/>
      <c r="J184" s="98"/>
      <c r="K184" s="13">
        <f t="shared" si="7"/>
        <v>66.8</v>
      </c>
    </row>
    <row r="185" s="2" customFormat="1" ht="21.75" customHeight="1" spans="1:11">
      <c r="A185" s="85"/>
      <c r="B185" s="85"/>
      <c r="C185" s="13" t="s">
        <v>228</v>
      </c>
      <c r="D185" s="28">
        <v>16.7</v>
      </c>
      <c r="E185" s="28">
        <v>16.7</v>
      </c>
      <c r="F185" s="28">
        <v>16.7</v>
      </c>
      <c r="G185" s="28">
        <v>16.7</v>
      </c>
      <c r="H185" s="13">
        <v>10</v>
      </c>
      <c r="I185" s="153"/>
      <c r="J185" s="98"/>
      <c r="K185" s="13">
        <f t="shared" si="7"/>
        <v>76.8</v>
      </c>
    </row>
    <row r="186" s="2" customFormat="1" ht="21.75" customHeight="1" spans="1:11">
      <c r="A186" s="85"/>
      <c r="B186" s="85"/>
      <c r="C186" s="13" t="s">
        <v>227</v>
      </c>
      <c r="D186" s="28">
        <v>0</v>
      </c>
      <c r="E186" s="28">
        <v>0</v>
      </c>
      <c r="F186" s="28">
        <v>0</v>
      </c>
      <c r="G186" s="28">
        <v>0</v>
      </c>
      <c r="H186" s="13">
        <v>5</v>
      </c>
      <c r="I186" s="153"/>
      <c r="J186" s="98"/>
      <c r="K186" s="13">
        <f t="shared" si="7"/>
        <v>5</v>
      </c>
    </row>
    <row r="187" s="2" customFormat="1" ht="21.75" customHeight="1" spans="1:11">
      <c r="A187" s="85"/>
      <c r="B187" s="85"/>
      <c r="C187" s="13" t="s">
        <v>229</v>
      </c>
      <c r="D187" s="28">
        <v>16.7</v>
      </c>
      <c r="E187" s="28">
        <v>16.7</v>
      </c>
      <c r="F187" s="28">
        <v>16.7</v>
      </c>
      <c r="G187" s="28">
        <v>16.7</v>
      </c>
      <c r="H187" s="13">
        <v>5</v>
      </c>
      <c r="I187" s="153"/>
      <c r="J187" s="98"/>
      <c r="K187" s="13">
        <f t="shared" si="7"/>
        <v>71.8</v>
      </c>
    </row>
    <row r="188" s="2" customFormat="1" ht="21.75" customHeight="1" spans="1:11">
      <c r="A188" s="85"/>
      <c r="B188" s="85"/>
      <c r="C188" s="13" t="s">
        <v>240</v>
      </c>
      <c r="D188" s="28">
        <v>16.7</v>
      </c>
      <c r="E188" s="28">
        <v>16.7</v>
      </c>
      <c r="F188" s="28">
        <v>16.7</v>
      </c>
      <c r="G188" s="28">
        <v>16.7</v>
      </c>
      <c r="H188" s="13">
        <v>5</v>
      </c>
      <c r="I188" s="153"/>
      <c r="J188" s="98"/>
      <c r="K188" s="13">
        <f t="shared" si="7"/>
        <v>71.8</v>
      </c>
    </row>
    <row r="189" s="2" customFormat="1" ht="21.75" customHeight="1" spans="1:11">
      <c r="A189" s="28" t="s">
        <v>230</v>
      </c>
      <c r="B189" s="28">
        <v>10.5</v>
      </c>
      <c r="C189" s="13" t="s">
        <v>231</v>
      </c>
      <c r="D189" s="13">
        <v>10</v>
      </c>
      <c r="E189" s="13">
        <v>10</v>
      </c>
      <c r="F189" s="13">
        <v>10</v>
      </c>
      <c r="G189" s="13">
        <v>10</v>
      </c>
      <c r="H189" s="13">
        <v>10</v>
      </c>
      <c r="I189" s="153"/>
      <c r="J189" s="98"/>
      <c r="K189" s="13">
        <f t="shared" si="7"/>
        <v>50</v>
      </c>
    </row>
    <row r="190" s="2" customFormat="1" ht="21.75" customHeight="1" spans="1:11">
      <c r="A190" s="13" t="s">
        <v>232</v>
      </c>
      <c r="B190" s="13">
        <v>12</v>
      </c>
      <c r="C190" s="13" t="s">
        <v>233</v>
      </c>
      <c r="D190" s="13">
        <v>12</v>
      </c>
      <c r="E190" s="13">
        <v>12</v>
      </c>
      <c r="F190" s="13">
        <v>12</v>
      </c>
      <c r="G190" s="13">
        <v>12</v>
      </c>
      <c r="H190" s="13">
        <v>12</v>
      </c>
      <c r="I190" s="153"/>
      <c r="J190" s="98"/>
      <c r="K190" s="13">
        <f t="shared" si="7"/>
        <v>60</v>
      </c>
    </row>
    <row r="191" s="2" customFormat="1" ht="21.75" customHeight="1" spans="1:11">
      <c r="A191" s="17"/>
      <c r="B191" s="29"/>
      <c r="C191" s="29"/>
      <c r="D191" s="29"/>
      <c r="E191" s="29"/>
      <c r="F191" s="29"/>
      <c r="G191" s="29"/>
      <c r="H191" s="29"/>
      <c r="I191" s="29"/>
      <c r="J191" s="29"/>
      <c r="K191" s="13">
        <f>SUM(K170:K190)</f>
        <v>1231.2</v>
      </c>
    </row>
    <row r="195" s="2" customFormat="1" ht="21.75" customHeight="1" spans="1:11">
      <c r="A195" s="88" t="s">
        <v>419</v>
      </c>
      <c r="B195" s="88"/>
      <c r="C195" s="88"/>
      <c r="D195" s="88"/>
      <c r="E195" s="88"/>
      <c r="F195" s="88"/>
      <c r="G195" s="88"/>
      <c r="H195" s="88"/>
      <c r="I195" s="88"/>
      <c r="J195" s="88"/>
      <c r="K195" s="88"/>
    </row>
    <row r="196" s="169" customFormat="1" ht="22.5" customHeight="1" spans="1:11">
      <c r="A196" s="183" t="s">
        <v>322</v>
      </c>
      <c r="B196" s="172"/>
      <c r="C196" s="172"/>
      <c r="D196" s="171" t="s">
        <v>427</v>
      </c>
      <c r="E196" s="172"/>
      <c r="F196" s="172"/>
      <c r="G196" s="172"/>
      <c r="H196" s="172"/>
      <c r="I196" s="172"/>
      <c r="J196" s="172"/>
      <c r="K196" s="172"/>
    </row>
    <row r="197" s="169" customFormat="1" ht="22.5" customHeight="1" spans="1:11">
      <c r="A197" s="172" t="s">
        <v>324</v>
      </c>
      <c r="B197" s="172" t="s">
        <v>201</v>
      </c>
      <c r="C197" s="173" t="s">
        <v>325</v>
      </c>
      <c r="D197" s="174" t="s">
        <v>6</v>
      </c>
      <c r="E197" s="174" t="s">
        <v>6</v>
      </c>
      <c r="F197" s="172" t="s">
        <v>6</v>
      </c>
      <c r="G197" s="174" t="s">
        <v>6</v>
      </c>
      <c r="H197" s="174" t="s">
        <v>6</v>
      </c>
      <c r="I197" s="172" t="s">
        <v>6</v>
      </c>
      <c r="J197" s="172" t="s">
        <v>326</v>
      </c>
      <c r="K197" s="172" t="s">
        <v>327</v>
      </c>
    </row>
    <row r="198" s="169" customFormat="1" ht="22.5" customHeight="1" spans="1:11">
      <c r="A198" s="27" t="s">
        <v>205</v>
      </c>
      <c r="B198" s="27">
        <v>12</v>
      </c>
      <c r="C198" s="12" t="s">
        <v>328</v>
      </c>
      <c r="D198" s="12">
        <v>11.5</v>
      </c>
      <c r="E198" s="12">
        <v>11.5</v>
      </c>
      <c r="F198" s="12">
        <v>10</v>
      </c>
      <c r="G198" s="12">
        <v>10</v>
      </c>
      <c r="H198" s="176"/>
      <c r="I198" s="177"/>
      <c r="J198" s="172"/>
      <c r="K198" s="12">
        <f t="shared" ref="K198:K200" si="8">SUM(D198:J198)</f>
        <v>43</v>
      </c>
    </row>
    <row r="199" s="169" customFormat="1" ht="22.5" customHeight="1" spans="1:11">
      <c r="A199" s="43" t="s">
        <v>207</v>
      </c>
      <c r="B199" s="12">
        <v>11.5</v>
      </c>
      <c r="C199" s="12" t="s">
        <v>329</v>
      </c>
      <c r="D199" s="12">
        <v>17</v>
      </c>
      <c r="E199" s="12">
        <v>17</v>
      </c>
      <c r="F199" s="12">
        <v>15</v>
      </c>
      <c r="G199" s="12">
        <v>15</v>
      </c>
      <c r="H199" s="176"/>
      <c r="I199" s="177"/>
      <c r="J199" s="172"/>
      <c r="K199" s="12">
        <f t="shared" si="8"/>
        <v>64</v>
      </c>
    </row>
    <row r="200" s="169" customFormat="1" ht="22.5" customHeight="1" spans="1:11">
      <c r="A200" s="44"/>
      <c r="B200" s="39"/>
      <c r="C200" s="12" t="s">
        <v>210</v>
      </c>
      <c r="D200" s="12">
        <v>17</v>
      </c>
      <c r="E200" s="12">
        <v>17</v>
      </c>
      <c r="F200" s="12">
        <v>15</v>
      </c>
      <c r="G200" s="12">
        <v>15</v>
      </c>
      <c r="H200" s="176"/>
      <c r="I200" s="177"/>
      <c r="J200" s="172"/>
      <c r="K200" s="12">
        <f t="shared" si="8"/>
        <v>64</v>
      </c>
    </row>
    <row r="201" s="169" customFormat="1" ht="22.5" customHeight="1" spans="1:11">
      <c r="A201" s="43" t="s">
        <v>211</v>
      </c>
      <c r="B201" s="12">
        <v>11.5</v>
      </c>
      <c r="C201" s="12" t="s">
        <v>330</v>
      </c>
      <c r="D201" s="12">
        <v>11.5</v>
      </c>
      <c r="E201" s="12">
        <v>11.5</v>
      </c>
      <c r="F201" s="12">
        <v>11</v>
      </c>
      <c r="G201" s="12">
        <v>11</v>
      </c>
      <c r="H201" s="176"/>
      <c r="I201" s="177"/>
      <c r="J201" s="172"/>
      <c r="K201" s="12">
        <f>SUM(E201:J201)</f>
        <v>33.5</v>
      </c>
    </row>
    <row r="202" s="169" customFormat="1" ht="22.5" customHeight="1" spans="1:11">
      <c r="A202" s="44"/>
      <c r="B202" s="39"/>
      <c r="C202" s="12" t="s">
        <v>213</v>
      </c>
      <c r="D202" s="12">
        <v>11.5</v>
      </c>
      <c r="E202" s="12">
        <v>11.5</v>
      </c>
      <c r="F202" s="12">
        <v>5</v>
      </c>
      <c r="G202" s="12">
        <v>5</v>
      </c>
      <c r="H202" s="176"/>
      <c r="I202" s="177"/>
      <c r="J202" s="172"/>
      <c r="K202" s="12">
        <f>SUM(E202:J202)</f>
        <v>21.5</v>
      </c>
    </row>
    <row r="203" s="169" customFormat="1" ht="22.5" customHeight="1" spans="1:11">
      <c r="A203" s="44"/>
      <c r="B203" s="39"/>
      <c r="C203" s="12" t="s">
        <v>214</v>
      </c>
      <c r="D203" s="12">
        <v>11.5</v>
      </c>
      <c r="E203" s="12">
        <v>11.5</v>
      </c>
      <c r="F203" s="12">
        <v>11</v>
      </c>
      <c r="G203" s="12">
        <v>11</v>
      </c>
      <c r="H203" s="176"/>
      <c r="I203" s="177"/>
      <c r="J203" s="172"/>
      <c r="K203" s="12">
        <f t="shared" ref="K203:K217" si="9">SUM(D203:J203)</f>
        <v>45</v>
      </c>
    </row>
    <row r="204" s="169" customFormat="1" ht="22.5" customHeight="1" spans="1:11">
      <c r="A204" s="44"/>
      <c r="B204" s="39"/>
      <c r="C204" s="12" t="s">
        <v>331</v>
      </c>
      <c r="D204" s="12">
        <v>0</v>
      </c>
      <c r="E204" s="12">
        <v>0</v>
      </c>
      <c r="F204" s="12">
        <v>5</v>
      </c>
      <c r="G204" s="12">
        <v>5</v>
      </c>
      <c r="H204" s="176"/>
      <c r="I204" s="178"/>
      <c r="J204" s="172"/>
      <c r="K204" s="12">
        <f t="shared" si="9"/>
        <v>10</v>
      </c>
    </row>
    <row r="205" s="169" customFormat="1" ht="22.5" customHeight="1" spans="1:11">
      <c r="A205" s="45"/>
      <c r="B205" s="46"/>
      <c r="C205" s="12" t="s">
        <v>215</v>
      </c>
      <c r="D205" s="12">
        <v>11.5</v>
      </c>
      <c r="E205" s="12">
        <v>11.5</v>
      </c>
      <c r="F205" s="12">
        <v>5</v>
      </c>
      <c r="G205" s="12">
        <v>5</v>
      </c>
      <c r="H205" s="176"/>
      <c r="I205" s="178"/>
      <c r="J205" s="172"/>
      <c r="K205" s="12">
        <f t="shared" si="9"/>
        <v>33</v>
      </c>
    </row>
    <row r="206" s="169" customFormat="1" ht="22.5" customHeight="1" spans="1:11">
      <c r="A206" s="27" t="s">
        <v>217</v>
      </c>
      <c r="B206" s="27">
        <v>10.5</v>
      </c>
      <c r="C206" s="12" t="s">
        <v>332</v>
      </c>
      <c r="D206" s="12">
        <v>11.5</v>
      </c>
      <c r="E206" s="12">
        <v>11.5</v>
      </c>
      <c r="F206" s="12">
        <v>5</v>
      </c>
      <c r="G206" s="12">
        <v>5</v>
      </c>
      <c r="H206" s="176"/>
      <c r="I206" s="177"/>
      <c r="J206" s="172"/>
      <c r="K206" s="12">
        <f t="shared" si="9"/>
        <v>33</v>
      </c>
    </row>
    <row r="207" s="169" customFormat="1" ht="22.5" customHeight="1" spans="1:11">
      <c r="A207" s="27"/>
      <c r="B207" s="27"/>
      <c r="C207" s="12" t="s">
        <v>333</v>
      </c>
      <c r="D207" s="12">
        <v>11.5</v>
      </c>
      <c r="E207" s="12">
        <v>11.5</v>
      </c>
      <c r="F207" s="12">
        <v>20</v>
      </c>
      <c r="G207" s="12">
        <v>20</v>
      </c>
      <c r="H207" s="176"/>
      <c r="I207" s="177"/>
      <c r="J207" s="172"/>
      <c r="K207" s="12">
        <f t="shared" si="9"/>
        <v>63</v>
      </c>
    </row>
    <row r="208" s="169" customFormat="1" ht="22.5" customHeight="1" spans="1:11">
      <c r="A208" s="27" t="s">
        <v>220</v>
      </c>
      <c r="B208" s="27">
        <v>11.5</v>
      </c>
      <c r="C208" s="12" t="s">
        <v>334</v>
      </c>
      <c r="D208" s="12">
        <v>39</v>
      </c>
      <c r="E208" s="12">
        <v>39</v>
      </c>
      <c r="F208" s="12">
        <v>10</v>
      </c>
      <c r="G208" s="12">
        <v>10</v>
      </c>
      <c r="H208" s="176"/>
      <c r="I208" s="177"/>
      <c r="J208" s="172"/>
      <c r="K208" s="12">
        <f t="shared" si="9"/>
        <v>98</v>
      </c>
    </row>
    <row r="209" s="169" customFormat="1" ht="22.5" customHeight="1" spans="1:11">
      <c r="A209" s="27"/>
      <c r="B209" s="27"/>
      <c r="C209" s="12" t="s">
        <v>222</v>
      </c>
      <c r="D209" s="12">
        <v>19</v>
      </c>
      <c r="E209" s="12">
        <v>19</v>
      </c>
      <c r="F209" s="12">
        <v>20</v>
      </c>
      <c r="G209" s="12">
        <v>20</v>
      </c>
      <c r="H209" s="176"/>
      <c r="I209" s="177"/>
      <c r="J209" s="172"/>
      <c r="K209" s="12">
        <f t="shared" si="9"/>
        <v>78</v>
      </c>
    </row>
    <row r="210" s="169" customFormat="1" ht="22.5" customHeight="1" spans="1:11">
      <c r="A210" s="27"/>
      <c r="B210" s="27"/>
      <c r="C210" s="12" t="s">
        <v>335</v>
      </c>
      <c r="D210" s="12">
        <v>11.5</v>
      </c>
      <c r="E210" s="12">
        <v>11.5</v>
      </c>
      <c r="F210" s="12">
        <v>20</v>
      </c>
      <c r="G210" s="12">
        <v>20</v>
      </c>
      <c r="H210" s="176"/>
      <c r="I210" s="177"/>
      <c r="J210" s="172"/>
      <c r="K210" s="12">
        <f t="shared" si="9"/>
        <v>63</v>
      </c>
    </row>
    <row r="211" s="169" customFormat="1" ht="22.5" customHeight="1" spans="1:11">
      <c r="A211" s="27"/>
      <c r="B211" s="27"/>
      <c r="C211" s="12" t="s">
        <v>224</v>
      </c>
      <c r="D211" s="12">
        <v>60</v>
      </c>
      <c r="E211" s="12">
        <v>60</v>
      </c>
      <c r="F211" s="12">
        <v>50</v>
      </c>
      <c r="G211" s="12">
        <v>50</v>
      </c>
      <c r="H211" s="176"/>
      <c r="I211" s="177"/>
      <c r="J211" s="172"/>
      <c r="K211" s="12">
        <f t="shared" si="9"/>
        <v>220</v>
      </c>
    </row>
    <row r="212" s="169" customFormat="1" ht="22.5" customHeight="1" spans="1:11">
      <c r="A212" s="39" t="s">
        <v>225</v>
      </c>
      <c r="B212" s="39">
        <v>10.5</v>
      </c>
      <c r="C212" s="12" t="s">
        <v>226</v>
      </c>
      <c r="D212" s="12">
        <v>22</v>
      </c>
      <c r="E212" s="12">
        <v>22</v>
      </c>
      <c r="F212" s="12">
        <v>10</v>
      </c>
      <c r="G212" s="12">
        <v>10</v>
      </c>
      <c r="H212" s="176"/>
      <c r="I212" s="177"/>
      <c r="J212" s="172"/>
      <c r="K212" s="12">
        <f t="shared" si="9"/>
        <v>64</v>
      </c>
    </row>
    <row r="213" s="169" customFormat="1" ht="22.5" customHeight="1" spans="1:11">
      <c r="A213" s="39"/>
      <c r="B213" s="39"/>
      <c r="C213" s="12" t="s">
        <v>336</v>
      </c>
      <c r="D213" s="12">
        <v>18</v>
      </c>
      <c r="E213" s="12">
        <v>18</v>
      </c>
      <c r="F213" s="12">
        <v>20</v>
      </c>
      <c r="G213" s="12">
        <v>20</v>
      </c>
      <c r="H213" s="176"/>
      <c r="I213" s="177"/>
      <c r="J213" s="172"/>
      <c r="K213" s="12">
        <f t="shared" si="9"/>
        <v>76</v>
      </c>
    </row>
    <row r="214" s="169" customFormat="1" ht="22.5" customHeight="1" spans="1:11">
      <c r="A214" s="39"/>
      <c r="B214" s="39"/>
      <c r="C214" s="12" t="s">
        <v>337</v>
      </c>
      <c r="D214" s="12">
        <v>10.5</v>
      </c>
      <c r="E214" s="12">
        <v>10.5</v>
      </c>
      <c r="F214" s="12">
        <v>20</v>
      </c>
      <c r="G214" s="12">
        <v>15</v>
      </c>
      <c r="H214" s="176"/>
      <c r="I214" s="177"/>
      <c r="J214" s="172"/>
      <c r="K214" s="12">
        <f t="shared" si="9"/>
        <v>56</v>
      </c>
    </row>
    <row r="215" s="169" customFormat="1" ht="22.5" customHeight="1" spans="1:11">
      <c r="A215" s="39"/>
      <c r="B215" s="39"/>
      <c r="C215" s="12" t="s">
        <v>229</v>
      </c>
      <c r="D215" s="12">
        <v>18</v>
      </c>
      <c r="E215" s="12">
        <v>18</v>
      </c>
      <c r="F215" s="12">
        <v>5</v>
      </c>
      <c r="G215" s="12">
        <v>5</v>
      </c>
      <c r="H215" s="176"/>
      <c r="I215" s="177"/>
      <c r="J215" s="177"/>
      <c r="K215" s="12">
        <f t="shared" si="9"/>
        <v>46</v>
      </c>
    </row>
    <row r="216" s="169" customFormat="1" ht="22.5" customHeight="1" spans="1:11">
      <c r="A216" s="39"/>
      <c r="B216" s="39"/>
      <c r="C216" s="12" t="s">
        <v>240</v>
      </c>
      <c r="D216" s="12">
        <v>10.5</v>
      </c>
      <c r="E216" s="12">
        <v>10.5</v>
      </c>
      <c r="F216" s="12">
        <v>20</v>
      </c>
      <c r="G216" s="12">
        <v>15</v>
      </c>
      <c r="H216" s="176"/>
      <c r="I216" s="177"/>
      <c r="J216" s="177"/>
      <c r="K216" s="12">
        <f t="shared" si="9"/>
        <v>56</v>
      </c>
    </row>
    <row r="217" s="169" customFormat="1" ht="22.5" customHeight="1" spans="1:11">
      <c r="A217" s="12" t="s">
        <v>230</v>
      </c>
      <c r="B217" s="12">
        <v>10.5</v>
      </c>
      <c r="C217" s="12" t="s">
        <v>338</v>
      </c>
      <c r="D217" s="12">
        <v>10.5</v>
      </c>
      <c r="E217" s="12">
        <v>10.5</v>
      </c>
      <c r="F217" s="12">
        <v>10</v>
      </c>
      <c r="G217" s="12">
        <v>10</v>
      </c>
      <c r="H217" s="176"/>
      <c r="I217" s="177"/>
      <c r="J217" s="177"/>
      <c r="K217" s="12">
        <f t="shared" si="9"/>
        <v>41</v>
      </c>
    </row>
    <row r="218" s="169" customFormat="1" ht="22.5" customHeight="1" spans="1:11">
      <c r="A218" s="27" t="s">
        <v>232</v>
      </c>
      <c r="B218" s="27">
        <v>12</v>
      </c>
      <c r="C218" s="27" t="s">
        <v>339</v>
      </c>
      <c r="D218" s="27">
        <v>12</v>
      </c>
      <c r="E218" s="27">
        <v>12</v>
      </c>
      <c r="F218" s="27">
        <v>12</v>
      </c>
      <c r="G218" s="27">
        <v>12</v>
      </c>
      <c r="H218" s="176"/>
      <c r="I218" s="172"/>
      <c r="J218" s="172"/>
      <c r="K218" s="179">
        <f>SUM(E218:J218)</f>
        <v>36</v>
      </c>
    </row>
    <row r="219" s="169" customFormat="1" ht="22.5" customHeight="1" spans="1:11">
      <c r="A219" s="180"/>
      <c r="B219" s="181"/>
      <c r="C219" s="181"/>
      <c r="D219" s="181"/>
      <c r="E219" s="181"/>
      <c r="F219" s="181"/>
      <c r="G219" s="181"/>
      <c r="H219" s="181"/>
      <c r="I219" s="181"/>
      <c r="J219" s="182"/>
      <c r="K219" s="179">
        <f>SUM(K198:K218)</f>
        <v>1244</v>
      </c>
    </row>
    <row r="223" s="170" customFormat="1" ht="21" customHeight="1" spans="1:11">
      <c r="A223" s="184" t="s">
        <v>419</v>
      </c>
      <c r="B223" s="185"/>
      <c r="C223" s="185"/>
      <c r="D223" s="185"/>
      <c r="E223" s="185"/>
      <c r="F223" s="185"/>
      <c r="G223" s="185"/>
      <c r="H223" s="185"/>
      <c r="I223" s="185"/>
      <c r="J223" s="185"/>
      <c r="K223" s="186"/>
    </row>
    <row r="224" s="170" customFormat="1" ht="21" customHeight="1" spans="1:11">
      <c r="A224" s="187" t="s">
        <v>299</v>
      </c>
      <c r="B224" s="188"/>
      <c r="C224" s="188"/>
      <c r="D224" s="189" t="s">
        <v>428</v>
      </c>
      <c r="E224" s="188"/>
      <c r="F224" s="188"/>
      <c r="G224" s="188"/>
      <c r="H224" s="188"/>
      <c r="I224" s="188"/>
      <c r="J224" s="188"/>
      <c r="K224" s="188"/>
    </row>
    <row r="225" s="170" customFormat="1" ht="21" customHeight="1" spans="1:11">
      <c r="A225" s="190" t="s">
        <v>200</v>
      </c>
      <c r="B225" s="190" t="s">
        <v>201</v>
      </c>
      <c r="C225" s="184" t="s">
        <v>301</v>
      </c>
      <c r="D225" s="191" t="s">
        <v>6</v>
      </c>
      <c r="E225" s="191" t="s">
        <v>6</v>
      </c>
      <c r="F225" s="190" t="s">
        <v>6</v>
      </c>
      <c r="G225" s="190" t="s">
        <v>6</v>
      </c>
      <c r="H225" s="190" t="s">
        <v>6</v>
      </c>
      <c r="I225" s="190" t="s">
        <v>6</v>
      </c>
      <c r="J225" s="190" t="s">
        <v>302</v>
      </c>
      <c r="K225" s="190" t="s">
        <v>204</v>
      </c>
    </row>
    <row r="226" s="170" customFormat="1" ht="21" customHeight="1" spans="1:11">
      <c r="A226" s="190" t="s">
        <v>303</v>
      </c>
      <c r="B226" s="190">
        <v>12</v>
      </c>
      <c r="C226" s="184" t="s">
        <v>304</v>
      </c>
      <c r="D226" s="191">
        <v>12</v>
      </c>
      <c r="E226" s="191">
        <v>10</v>
      </c>
      <c r="F226" s="191"/>
      <c r="G226" s="192"/>
      <c r="H226" s="191"/>
      <c r="I226" s="190"/>
      <c r="J226" s="190"/>
      <c r="K226" s="190">
        <f t="shared" ref="K226:K248" si="10">SUM(D226:J226)</f>
        <v>22</v>
      </c>
    </row>
    <row r="227" s="170" customFormat="1" ht="21" customHeight="1" spans="1:11">
      <c r="A227" s="193" t="s">
        <v>207</v>
      </c>
      <c r="B227" s="191">
        <v>11.5</v>
      </c>
      <c r="C227" s="184" t="s">
        <v>305</v>
      </c>
      <c r="D227" s="191">
        <v>11.5</v>
      </c>
      <c r="E227" s="191">
        <v>10</v>
      </c>
      <c r="F227" s="191"/>
      <c r="G227" s="192"/>
      <c r="H227" s="191"/>
      <c r="I227" s="190"/>
      <c r="J227" s="190"/>
      <c r="K227" s="190">
        <f t="shared" si="10"/>
        <v>21.5</v>
      </c>
    </row>
    <row r="228" s="170" customFormat="1" ht="21" customHeight="1" spans="1:11">
      <c r="A228" s="194"/>
      <c r="B228" s="195"/>
      <c r="C228" s="190" t="s">
        <v>209</v>
      </c>
      <c r="D228" s="191">
        <v>11.5</v>
      </c>
      <c r="E228" s="191">
        <v>10</v>
      </c>
      <c r="F228" s="191"/>
      <c r="G228" s="192"/>
      <c r="H228" s="191"/>
      <c r="I228" s="190"/>
      <c r="J228" s="190"/>
      <c r="K228" s="190">
        <f t="shared" si="10"/>
        <v>21.5</v>
      </c>
    </row>
    <row r="229" s="170" customFormat="1" ht="21" customHeight="1" spans="1:11">
      <c r="A229" s="194"/>
      <c r="B229" s="195"/>
      <c r="C229" s="184" t="s">
        <v>210</v>
      </c>
      <c r="D229" s="191">
        <v>11.5</v>
      </c>
      <c r="E229" s="191">
        <v>10</v>
      </c>
      <c r="F229" s="191"/>
      <c r="G229" s="192"/>
      <c r="H229" s="191"/>
      <c r="I229" s="190"/>
      <c r="J229" s="190"/>
      <c r="K229" s="190">
        <f t="shared" si="10"/>
        <v>21.5</v>
      </c>
    </row>
    <row r="230" s="170" customFormat="1" ht="21" customHeight="1" spans="1:11">
      <c r="A230" s="193" t="s">
        <v>211</v>
      </c>
      <c r="B230" s="191">
        <v>11.5</v>
      </c>
      <c r="C230" s="184" t="s">
        <v>212</v>
      </c>
      <c r="D230" s="190">
        <v>11.5</v>
      </c>
      <c r="E230" s="190">
        <v>0</v>
      </c>
      <c r="F230" s="190"/>
      <c r="G230" s="192"/>
      <c r="H230" s="191"/>
      <c r="I230" s="190"/>
      <c r="J230" s="190"/>
      <c r="K230" s="190">
        <f t="shared" si="10"/>
        <v>11.5</v>
      </c>
    </row>
    <row r="231" s="170" customFormat="1" ht="21" customHeight="1" spans="1:11">
      <c r="A231" s="194"/>
      <c r="B231" s="195"/>
      <c r="C231" s="184" t="s">
        <v>213</v>
      </c>
      <c r="D231" s="191">
        <v>11.5</v>
      </c>
      <c r="E231" s="191">
        <v>11</v>
      </c>
      <c r="F231" s="191"/>
      <c r="G231" s="192"/>
      <c r="H231" s="191"/>
      <c r="I231" s="190"/>
      <c r="J231" s="190"/>
      <c r="K231" s="190">
        <f t="shared" si="10"/>
        <v>22.5</v>
      </c>
    </row>
    <row r="232" s="170" customFormat="1" ht="21" customHeight="1" spans="1:11">
      <c r="A232" s="194"/>
      <c r="B232" s="195"/>
      <c r="C232" s="190" t="s">
        <v>214</v>
      </c>
      <c r="D232" s="190">
        <v>0</v>
      </c>
      <c r="E232" s="190">
        <v>0</v>
      </c>
      <c r="F232" s="190"/>
      <c r="G232" s="192"/>
      <c r="H232" s="191"/>
      <c r="I232" s="190"/>
      <c r="J232" s="190"/>
      <c r="K232" s="190">
        <f t="shared" si="10"/>
        <v>0</v>
      </c>
    </row>
    <row r="233" s="170" customFormat="1" ht="21" customHeight="1" spans="1:11">
      <c r="A233" s="194"/>
      <c r="B233" s="195"/>
      <c r="C233" s="184" t="s">
        <v>216</v>
      </c>
      <c r="D233" s="190">
        <v>11.5</v>
      </c>
      <c r="E233" s="190">
        <v>0</v>
      </c>
      <c r="F233" s="190"/>
      <c r="G233" s="192"/>
      <c r="H233" s="191"/>
      <c r="I233" s="191"/>
      <c r="J233" s="190"/>
      <c r="K233" s="190">
        <f t="shared" si="10"/>
        <v>11.5</v>
      </c>
    </row>
    <row r="234" s="170" customFormat="1" ht="21" customHeight="1" spans="1:11">
      <c r="A234" s="196"/>
      <c r="B234" s="197"/>
      <c r="C234" s="184" t="s">
        <v>215</v>
      </c>
      <c r="D234" s="191">
        <v>11.5</v>
      </c>
      <c r="E234" s="191">
        <v>11</v>
      </c>
      <c r="F234" s="191"/>
      <c r="G234" s="192"/>
      <c r="H234" s="191"/>
      <c r="I234" s="191"/>
      <c r="J234" s="190"/>
      <c r="K234" s="190">
        <f t="shared" si="10"/>
        <v>22.5</v>
      </c>
    </row>
    <row r="235" s="170" customFormat="1" ht="21" customHeight="1" spans="1:11">
      <c r="A235" s="190" t="s">
        <v>306</v>
      </c>
      <c r="B235" s="190">
        <v>10.5</v>
      </c>
      <c r="C235" s="190" t="s">
        <v>307</v>
      </c>
      <c r="D235" s="191">
        <v>10.5</v>
      </c>
      <c r="E235" s="191">
        <v>5</v>
      </c>
      <c r="F235" s="191"/>
      <c r="G235" s="198"/>
      <c r="H235" s="191"/>
      <c r="I235" s="190"/>
      <c r="J235" s="190"/>
      <c r="K235" s="190">
        <f t="shared" si="10"/>
        <v>15.5</v>
      </c>
    </row>
    <row r="236" s="170" customFormat="1" ht="21" customHeight="1" spans="1:11">
      <c r="A236" s="190"/>
      <c r="B236" s="190"/>
      <c r="C236" s="190" t="s">
        <v>219</v>
      </c>
      <c r="D236" s="190">
        <v>10.5</v>
      </c>
      <c r="E236" s="190">
        <v>5</v>
      </c>
      <c r="F236" s="190"/>
      <c r="G236" s="192"/>
      <c r="H236" s="191"/>
      <c r="I236" s="190"/>
      <c r="J236" s="190"/>
      <c r="K236" s="190">
        <f t="shared" si="10"/>
        <v>15.5</v>
      </c>
    </row>
    <row r="237" s="170" customFormat="1" ht="21" customHeight="1" spans="1:11">
      <c r="A237" s="190" t="s">
        <v>308</v>
      </c>
      <c r="B237" s="190">
        <v>11.5</v>
      </c>
      <c r="C237" s="184" t="s">
        <v>221</v>
      </c>
      <c r="D237" s="190">
        <v>0</v>
      </c>
      <c r="E237" s="190">
        <v>0</v>
      </c>
      <c r="F237" s="190"/>
      <c r="G237" s="192"/>
      <c r="H237" s="191"/>
      <c r="I237" s="190"/>
      <c r="J237" s="190"/>
      <c r="K237" s="190">
        <f t="shared" si="10"/>
        <v>0</v>
      </c>
    </row>
    <row r="238" s="170" customFormat="1" ht="21" customHeight="1" spans="1:11">
      <c r="A238" s="190"/>
      <c r="B238" s="190"/>
      <c r="C238" s="184" t="s">
        <v>222</v>
      </c>
      <c r="D238" s="191">
        <v>0</v>
      </c>
      <c r="E238" s="191">
        <v>0</v>
      </c>
      <c r="F238" s="191"/>
      <c r="G238" s="192"/>
      <c r="H238" s="191"/>
      <c r="I238" s="190"/>
      <c r="J238" s="190"/>
      <c r="K238" s="190">
        <f t="shared" si="10"/>
        <v>0</v>
      </c>
    </row>
    <row r="239" s="170" customFormat="1" ht="21" customHeight="1" spans="1:11">
      <c r="A239" s="190"/>
      <c r="B239" s="190"/>
      <c r="C239" s="184" t="s">
        <v>309</v>
      </c>
      <c r="D239" s="191">
        <v>10.5</v>
      </c>
      <c r="E239" s="191">
        <v>5</v>
      </c>
      <c r="F239" s="191"/>
      <c r="G239" s="199"/>
      <c r="H239" s="191"/>
      <c r="I239" s="190"/>
      <c r="J239" s="190"/>
      <c r="K239" s="190">
        <f t="shared" si="10"/>
        <v>15.5</v>
      </c>
    </row>
    <row r="240" s="170" customFormat="1" ht="21" customHeight="1" spans="1:11">
      <c r="A240" s="190"/>
      <c r="B240" s="190"/>
      <c r="C240" s="184" t="s">
        <v>224</v>
      </c>
      <c r="D240" s="190">
        <v>0</v>
      </c>
      <c r="E240" s="190">
        <v>0</v>
      </c>
      <c r="F240" s="190"/>
      <c r="G240" s="200"/>
      <c r="H240" s="191"/>
      <c r="I240" s="190"/>
      <c r="J240" s="190"/>
      <c r="K240" s="190">
        <f t="shared" si="10"/>
        <v>0</v>
      </c>
    </row>
    <row r="241" s="170" customFormat="1" ht="21" customHeight="1" spans="1:11">
      <c r="A241" s="195" t="s">
        <v>225</v>
      </c>
      <c r="B241" s="195">
        <v>10.5</v>
      </c>
      <c r="C241" s="190" t="s">
        <v>226</v>
      </c>
      <c r="D241" s="191">
        <v>10.5</v>
      </c>
      <c r="E241" s="191">
        <v>5</v>
      </c>
      <c r="F241" s="191"/>
      <c r="G241" s="192"/>
      <c r="H241" s="191"/>
      <c r="I241" s="190"/>
      <c r="J241" s="190"/>
      <c r="K241" s="190">
        <f t="shared" si="10"/>
        <v>15.5</v>
      </c>
    </row>
    <row r="242" s="170" customFormat="1" ht="21" customHeight="1" spans="1:11">
      <c r="A242" s="195"/>
      <c r="B242" s="195"/>
      <c r="C242" s="190" t="s">
        <v>250</v>
      </c>
      <c r="D242" s="190">
        <v>10.5</v>
      </c>
      <c r="E242" s="190">
        <v>0</v>
      </c>
      <c r="F242" s="190"/>
      <c r="G242" s="192"/>
      <c r="H242" s="191"/>
      <c r="I242" s="190"/>
      <c r="J242" s="190"/>
      <c r="K242" s="190">
        <f t="shared" si="10"/>
        <v>10.5</v>
      </c>
    </row>
    <row r="243" s="170" customFormat="1" ht="21" customHeight="1" spans="1:11">
      <c r="A243" s="195"/>
      <c r="B243" s="195"/>
      <c r="C243" s="190" t="s">
        <v>310</v>
      </c>
      <c r="D243" s="191">
        <v>10.5</v>
      </c>
      <c r="E243" s="191">
        <v>5</v>
      </c>
      <c r="F243" s="191"/>
      <c r="G243" s="192"/>
      <c r="H243" s="191"/>
      <c r="I243" s="190"/>
      <c r="J243" s="190"/>
      <c r="K243" s="190">
        <f t="shared" si="10"/>
        <v>15.5</v>
      </c>
    </row>
    <row r="244" s="170" customFormat="1" ht="21" customHeight="1" spans="1:11">
      <c r="A244" s="195"/>
      <c r="B244" s="195"/>
      <c r="C244" s="190" t="s">
        <v>227</v>
      </c>
      <c r="D244" s="191">
        <v>0</v>
      </c>
      <c r="E244" s="191">
        <v>5</v>
      </c>
      <c r="F244" s="191"/>
      <c r="G244" s="192"/>
      <c r="H244" s="191"/>
      <c r="I244" s="190"/>
      <c r="J244" s="190"/>
      <c r="K244" s="190">
        <f t="shared" si="10"/>
        <v>5</v>
      </c>
    </row>
    <row r="245" s="170" customFormat="1" ht="21" customHeight="1" spans="1:11">
      <c r="A245" s="195"/>
      <c r="B245" s="195"/>
      <c r="C245" s="190" t="s">
        <v>229</v>
      </c>
      <c r="D245" s="190">
        <v>10.5</v>
      </c>
      <c r="E245" s="190">
        <v>0</v>
      </c>
      <c r="F245" s="190"/>
      <c r="G245" s="192"/>
      <c r="H245" s="191"/>
      <c r="I245" s="190"/>
      <c r="J245" s="186"/>
      <c r="K245" s="190">
        <f t="shared" si="10"/>
        <v>10.5</v>
      </c>
    </row>
    <row r="246" s="170" customFormat="1" ht="21" customHeight="1" spans="1:11">
      <c r="A246" s="195"/>
      <c r="B246" s="195"/>
      <c r="C246" s="190" t="s">
        <v>240</v>
      </c>
      <c r="D246" s="190">
        <v>10.5</v>
      </c>
      <c r="E246" s="190">
        <v>0</v>
      </c>
      <c r="F246" s="190"/>
      <c r="G246" s="192"/>
      <c r="H246" s="191"/>
      <c r="I246" s="190"/>
      <c r="J246" s="186"/>
      <c r="K246" s="190">
        <f t="shared" si="10"/>
        <v>10.5</v>
      </c>
    </row>
    <row r="247" s="170" customFormat="1" ht="21" customHeight="1" spans="1:11">
      <c r="A247" s="191" t="s">
        <v>311</v>
      </c>
      <c r="B247" s="191">
        <v>10.5</v>
      </c>
      <c r="C247" s="190" t="s">
        <v>231</v>
      </c>
      <c r="D247" s="190">
        <v>10</v>
      </c>
      <c r="E247" s="190">
        <v>10</v>
      </c>
      <c r="F247" s="190"/>
      <c r="G247" s="192"/>
      <c r="H247" s="190"/>
      <c r="I247" s="190"/>
      <c r="J247" s="186"/>
      <c r="K247" s="190">
        <f t="shared" si="10"/>
        <v>20</v>
      </c>
    </row>
    <row r="248" s="170" customFormat="1" ht="21" customHeight="1" spans="1:11">
      <c r="A248" s="191" t="s">
        <v>232</v>
      </c>
      <c r="B248" s="191">
        <v>12</v>
      </c>
      <c r="C248" s="191" t="s">
        <v>312</v>
      </c>
      <c r="D248" s="191">
        <v>12</v>
      </c>
      <c r="E248" s="191">
        <v>12</v>
      </c>
      <c r="F248" s="191"/>
      <c r="G248" s="201"/>
      <c r="H248" s="191"/>
      <c r="I248" s="191"/>
      <c r="J248" s="202"/>
      <c r="K248" s="191">
        <f t="shared" si="10"/>
        <v>24</v>
      </c>
    </row>
    <row r="249" s="170" customFormat="1" ht="21" customHeight="1" spans="1:11">
      <c r="A249" s="184"/>
      <c r="B249" s="185"/>
      <c r="C249" s="185"/>
      <c r="D249" s="185"/>
      <c r="E249" s="185"/>
      <c r="F249" s="185"/>
      <c r="G249" s="185"/>
      <c r="H249" s="185"/>
      <c r="I249" s="185"/>
      <c r="J249" s="186"/>
      <c r="K249" s="203">
        <f>SUM(K226:K248)</f>
        <v>312.5</v>
      </c>
    </row>
    <row r="253" s="2" customFormat="1" ht="21.75" customHeight="1" spans="1:11">
      <c r="A253" s="42" t="s">
        <v>419</v>
      </c>
      <c r="B253" s="42"/>
      <c r="C253" s="42"/>
      <c r="D253" s="42"/>
      <c r="E253" s="42"/>
      <c r="F253" s="42"/>
      <c r="G253" s="42"/>
      <c r="H253" s="42"/>
      <c r="I253" s="42"/>
      <c r="J253" s="42"/>
      <c r="K253" s="42"/>
    </row>
    <row r="254" s="2" customFormat="1" ht="21.75" customHeight="1" spans="1:11">
      <c r="A254" s="35" t="s">
        <v>235</v>
      </c>
      <c r="B254" s="36"/>
      <c r="C254" s="36"/>
      <c r="D254" s="37" t="s">
        <v>429</v>
      </c>
      <c r="E254" s="36"/>
      <c r="F254" s="36"/>
      <c r="G254" s="36"/>
      <c r="H254" s="36"/>
      <c r="I254" s="36"/>
      <c r="J254" s="36"/>
      <c r="K254" s="36"/>
    </row>
    <row r="255" s="2" customFormat="1" ht="21.75" customHeight="1" spans="1:11">
      <c r="A255" s="27" t="s">
        <v>200</v>
      </c>
      <c r="B255" s="27" t="s">
        <v>201</v>
      </c>
      <c r="C255" s="38" t="s">
        <v>202</v>
      </c>
      <c r="D255" s="12" t="s">
        <v>6</v>
      </c>
      <c r="E255" s="12" t="s">
        <v>6</v>
      </c>
      <c r="F255" s="27" t="s">
        <v>6</v>
      </c>
      <c r="G255" s="27" t="s">
        <v>6</v>
      </c>
      <c r="H255" s="27" t="s">
        <v>6</v>
      </c>
      <c r="I255" s="27" t="s">
        <v>6</v>
      </c>
      <c r="J255" s="27" t="s">
        <v>203</v>
      </c>
      <c r="K255" s="27" t="s">
        <v>204</v>
      </c>
    </row>
    <row r="256" s="2" customFormat="1" ht="21.75" customHeight="1" spans="1:11">
      <c r="A256" s="27" t="s">
        <v>205</v>
      </c>
      <c r="B256" s="27">
        <v>12</v>
      </c>
      <c r="C256" s="38" t="s">
        <v>206</v>
      </c>
      <c r="D256" s="11">
        <v>12</v>
      </c>
      <c r="E256" s="11">
        <v>10</v>
      </c>
      <c r="F256" s="11"/>
      <c r="G256" s="11"/>
      <c r="H256" s="12"/>
      <c r="I256" s="27"/>
      <c r="J256" s="27"/>
      <c r="K256" s="27">
        <f t="shared" ref="K256:K276" si="11">SUM(D256:J256)</f>
        <v>22</v>
      </c>
    </row>
    <row r="257" s="2" customFormat="1" ht="21.75" customHeight="1" spans="1:11">
      <c r="A257" s="43" t="s">
        <v>207</v>
      </c>
      <c r="B257" s="12">
        <v>11.5</v>
      </c>
      <c r="C257" s="38" t="s">
        <v>208</v>
      </c>
      <c r="D257" s="11">
        <v>17.5</v>
      </c>
      <c r="E257" s="11">
        <v>15</v>
      </c>
      <c r="F257" s="11"/>
      <c r="G257" s="11"/>
      <c r="H257" s="12"/>
      <c r="I257" s="27"/>
      <c r="J257" s="27"/>
      <c r="K257" s="27">
        <f t="shared" si="11"/>
        <v>32.5</v>
      </c>
    </row>
    <row r="258" s="2" customFormat="1" ht="21.75" customHeight="1" spans="1:11">
      <c r="A258" s="44"/>
      <c r="B258" s="39"/>
      <c r="C258" s="38" t="s">
        <v>210</v>
      </c>
      <c r="D258" s="11">
        <v>17.5</v>
      </c>
      <c r="E258" s="11">
        <v>15</v>
      </c>
      <c r="F258" s="11"/>
      <c r="G258" s="11"/>
      <c r="H258" s="12"/>
      <c r="I258" s="27"/>
      <c r="J258" s="27"/>
      <c r="K258" s="27">
        <f t="shared" si="11"/>
        <v>32.5</v>
      </c>
    </row>
    <row r="259" s="2" customFormat="1" ht="21.75" customHeight="1" spans="1:11">
      <c r="A259" s="43" t="s">
        <v>211</v>
      </c>
      <c r="B259" s="12">
        <v>11.5</v>
      </c>
      <c r="C259" s="38" t="s">
        <v>212</v>
      </c>
      <c r="D259" s="11">
        <v>11.5</v>
      </c>
      <c r="E259" s="11">
        <v>11</v>
      </c>
      <c r="F259" s="11"/>
      <c r="G259" s="11"/>
      <c r="H259" s="12"/>
      <c r="I259" s="27"/>
      <c r="J259" s="27"/>
      <c r="K259" s="27">
        <f t="shared" si="11"/>
        <v>22.5</v>
      </c>
    </row>
    <row r="260" s="2" customFormat="1" ht="21.75" customHeight="1" spans="1:11">
      <c r="A260" s="44"/>
      <c r="B260" s="39"/>
      <c r="C260" s="38" t="s">
        <v>213</v>
      </c>
      <c r="D260" s="11">
        <v>11.5</v>
      </c>
      <c r="E260" s="11">
        <v>11</v>
      </c>
      <c r="F260" s="11"/>
      <c r="G260" s="11"/>
      <c r="H260" s="12"/>
      <c r="I260" s="27"/>
      <c r="J260" s="27"/>
      <c r="K260" s="27">
        <f t="shared" si="11"/>
        <v>22.5</v>
      </c>
    </row>
    <row r="261" s="2" customFormat="1" ht="21.75" customHeight="1" spans="1:11">
      <c r="A261" s="44"/>
      <c r="B261" s="39"/>
      <c r="C261" s="27" t="s">
        <v>214</v>
      </c>
      <c r="D261" s="11">
        <v>11.5</v>
      </c>
      <c r="E261" s="11">
        <v>11</v>
      </c>
      <c r="F261" s="11"/>
      <c r="G261" s="11"/>
      <c r="H261" s="12"/>
      <c r="I261" s="27"/>
      <c r="J261" s="27"/>
      <c r="K261" s="27">
        <f t="shared" si="11"/>
        <v>22.5</v>
      </c>
    </row>
    <row r="262" s="2" customFormat="1" ht="21.75" customHeight="1" spans="1:11">
      <c r="A262" s="44"/>
      <c r="B262" s="39"/>
      <c r="C262" s="38" t="s">
        <v>216</v>
      </c>
      <c r="D262" s="11">
        <v>11.5</v>
      </c>
      <c r="E262" s="11">
        <v>11</v>
      </c>
      <c r="F262" s="11"/>
      <c r="G262" s="11"/>
      <c r="H262" s="12"/>
      <c r="I262" s="12"/>
      <c r="J262" s="27"/>
      <c r="K262" s="27">
        <f t="shared" si="11"/>
        <v>22.5</v>
      </c>
    </row>
    <row r="263" s="2" customFormat="1" ht="21.75" customHeight="1" spans="1:11">
      <c r="A263" s="45"/>
      <c r="B263" s="46"/>
      <c r="C263" s="38" t="s">
        <v>215</v>
      </c>
      <c r="D263" s="11">
        <v>11.5</v>
      </c>
      <c r="E263" s="11">
        <v>11</v>
      </c>
      <c r="F263" s="11"/>
      <c r="G263" s="11"/>
      <c r="H263" s="12"/>
      <c r="I263" s="12"/>
      <c r="J263" s="27"/>
      <c r="K263" s="27">
        <f t="shared" si="11"/>
        <v>22.5</v>
      </c>
    </row>
    <row r="264" s="2" customFormat="1" ht="21.75" customHeight="1" spans="1:11">
      <c r="A264" s="27" t="s">
        <v>217</v>
      </c>
      <c r="B264" s="27">
        <v>10.5</v>
      </c>
      <c r="C264" s="27" t="s">
        <v>218</v>
      </c>
      <c r="D264" s="11">
        <v>9</v>
      </c>
      <c r="E264" s="11">
        <v>5</v>
      </c>
      <c r="F264" s="11"/>
      <c r="G264" s="11"/>
      <c r="H264" s="12"/>
      <c r="I264" s="27"/>
      <c r="J264" s="27"/>
      <c r="K264" s="27">
        <f t="shared" si="11"/>
        <v>14</v>
      </c>
    </row>
    <row r="265" s="2" customFormat="1" ht="21.75" customHeight="1" spans="1:11">
      <c r="A265" s="27"/>
      <c r="B265" s="27"/>
      <c r="C265" s="27" t="s">
        <v>219</v>
      </c>
      <c r="D265" s="11">
        <v>40</v>
      </c>
      <c r="E265" s="11">
        <v>0</v>
      </c>
      <c r="F265" s="11"/>
      <c r="G265" s="11"/>
      <c r="H265" s="12"/>
      <c r="I265" s="27"/>
      <c r="J265" s="27"/>
      <c r="K265" s="27">
        <f t="shared" si="11"/>
        <v>40</v>
      </c>
    </row>
    <row r="266" s="2" customFormat="1" ht="21.75" customHeight="1" spans="1:11">
      <c r="A266" s="27" t="s">
        <v>220</v>
      </c>
      <c r="B266" s="27">
        <v>11.5</v>
      </c>
      <c r="C266" s="38" t="s">
        <v>221</v>
      </c>
      <c r="D266" s="11">
        <v>19.5</v>
      </c>
      <c r="E266" s="11">
        <v>5</v>
      </c>
      <c r="F266" s="11"/>
      <c r="G266" s="11"/>
      <c r="H266" s="12"/>
      <c r="I266" s="27"/>
      <c r="J266" s="27"/>
      <c r="K266" s="27">
        <f t="shared" si="11"/>
        <v>24.5</v>
      </c>
    </row>
    <row r="267" s="2" customFormat="1" ht="21.75" customHeight="1" spans="1:11">
      <c r="A267" s="27"/>
      <c r="B267" s="27"/>
      <c r="C267" s="38" t="s">
        <v>222</v>
      </c>
      <c r="D267" s="11">
        <v>9</v>
      </c>
      <c r="E267" s="11">
        <v>5</v>
      </c>
      <c r="F267" s="11"/>
      <c r="G267" s="11"/>
      <c r="H267" s="12"/>
      <c r="I267" s="27"/>
      <c r="J267" s="27"/>
      <c r="K267" s="27">
        <f t="shared" si="11"/>
        <v>14</v>
      </c>
    </row>
    <row r="268" s="2" customFormat="1" ht="21.75" customHeight="1" spans="1:11">
      <c r="A268" s="27"/>
      <c r="B268" s="27"/>
      <c r="C268" s="38" t="s">
        <v>223</v>
      </c>
      <c r="D268" s="11">
        <v>40</v>
      </c>
      <c r="E268" s="23">
        <v>0</v>
      </c>
      <c r="F268" s="23"/>
      <c r="G268" s="23"/>
      <c r="H268" s="12"/>
      <c r="I268" s="27"/>
      <c r="J268" s="27"/>
      <c r="K268" s="27">
        <f t="shared" si="11"/>
        <v>40</v>
      </c>
    </row>
    <row r="269" s="2" customFormat="1" ht="21.75" customHeight="1" spans="1:11">
      <c r="A269" s="27"/>
      <c r="B269" s="27"/>
      <c r="C269" s="38" t="s">
        <v>224</v>
      </c>
      <c r="D269" s="24">
        <v>73.5</v>
      </c>
      <c r="E269" s="24">
        <v>5</v>
      </c>
      <c r="F269" s="24"/>
      <c r="G269" s="24"/>
      <c r="H269" s="12"/>
      <c r="I269" s="27"/>
      <c r="J269" s="27"/>
      <c r="K269" s="27">
        <f t="shared" si="11"/>
        <v>78.5</v>
      </c>
    </row>
    <row r="270" s="2" customFormat="1" ht="21.75" customHeight="1" spans="1:11">
      <c r="A270" s="39" t="s">
        <v>225</v>
      </c>
      <c r="B270" s="39">
        <v>10.5</v>
      </c>
      <c r="C270" s="27" t="s">
        <v>226</v>
      </c>
      <c r="D270" s="11">
        <v>23</v>
      </c>
      <c r="E270" s="11">
        <v>10</v>
      </c>
      <c r="F270" s="11"/>
      <c r="G270" s="11"/>
      <c r="H270" s="12"/>
      <c r="I270" s="27"/>
      <c r="J270" s="27"/>
      <c r="K270" s="27">
        <f t="shared" si="11"/>
        <v>33</v>
      </c>
    </row>
    <row r="271" s="2" customFormat="1" ht="21.75" customHeight="1" spans="1:11">
      <c r="A271" s="39"/>
      <c r="B271" s="39"/>
      <c r="C271" s="27" t="s">
        <v>228</v>
      </c>
      <c r="D271" s="11">
        <v>40</v>
      </c>
      <c r="E271" s="11">
        <v>0</v>
      </c>
      <c r="F271" s="11"/>
      <c r="G271" s="11"/>
      <c r="H271" s="12"/>
      <c r="I271" s="27"/>
      <c r="J271" s="27"/>
      <c r="K271" s="27">
        <f t="shared" si="11"/>
        <v>40</v>
      </c>
    </row>
    <row r="272" s="2" customFormat="1" ht="21.75" customHeight="1" spans="1:11">
      <c r="A272" s="39"/>
      <c r="B272" s="39"/>
      <c r="C272" s="27" t="s">
        <v>227</v>
      </c>
      <c r="D272" s="11">
        <v>40</v>
      </c>
      <c r="E272" s="11">
        <v>0</v>
      </c>
      <c r="F272" s="11"/>
      <c r="G272" s="11"/>
      <c r="H272" s="12"/>
      <c r="I272" s="27"/>
      <c r="J272" s="27"/>
      <c r="K272" s="27">
        <f t="shared" si="11"/>
        <v>40</v>
      </c>
    </row>
    <row r="273" s="2" customFormat="1" ht="21.75" customHeight="1" spans="1:11">
      <c r="A273" s="39"/>
      <c r="B273" s="39"/>
      <c r="C273" s="27" t="s">
        <v>229</v>
      </c>
      <c r="D273" s="11">
        <v>11.5</v>
      </c>
      <c r="E273" s="11">
        <v>5</v>
      </c>
      <c r="F273" s="11"/>
      <c r="G273" s="11"/>
      <c r="H273" s="12"/>
      <c r="I273" s="27"/>
      <c r="J273" s="40"/>
      <c r="K273" s="27">
        <f t="shared" si="11"/>
        <v>16.5</v>
      </c>
    </row>
    <row r="274" s="2" customFormat="1" ht="21.75" customHeight="1" spans="1:11">
      <c r="A274" s="39"/>
      <c r="B274" s="39"/>
      <c r="C274" s="27" t="s">
        <v>240</v>
      </c>
      <c r="D274" s="11">
        <v>11.5</v>
      </c>
      <c r="E274" s="11">
        <v>5</v>
      </c>
      <c r="F274" s="11"/>
      <c r="G274" s="11"/>
      <c r="H274" s="12"/>
      <c r="I274" s="27"/>
      <c r="J274" s="40"/>
      <c r="K274" s="27">
        <f t="shared" si="11"/>
        <v>16.5</v>
      </c>
    </row>
    <row r="275" s="2" customFormat="1" ht="21.75" customHeight="1" spans="1:11">
      <c r="A275" s="12" t="s">
        <v>230</v>
      </c>
      <c r="B275" s="12">
        <v>10.5</v>
      </c>
      <c r="C275" s="27" t="s">
        <v>231</v>
      </c>
      <c r="D275" s="11">
        <v>10.5</v>
      </c>
      <c r="E275" s="11">
        <v>10.5</v>
      </c>
      <c r="F275" s="11"/>
      <c r="G275" s="11"/>
      <c r="H275" s="27"/>
      <c r="I275" s="27"/>
      <c r="J275" s="40"/>
      <c r="K275" s="27">
        <f t="shared" si="11"/>
        <v>21</v>
      </c>
    </row>
    <row r="276" s="2" customFormat="1" ht="21.75" customHeight="1" spans="1:11">
      <c r="A276" s="27" t="s">
        <v>232</v>
      </c>
      <c r="B276" s="27">
        <v>12</v>
      </c>
      <c r="C276" s="27" t="s">
        <v>233</v>
      </c>
      <c r="D276" s="22">
        <v>12</v>
      </c>
      <c r="E276" s="22">
        <v>12</v>
      </c>
      <c r="F276" s="22"/>
      <c r="G276" s="22"/>
      <c r="H276" s="27"/>
      <c r="I276" s="27"/>
      <c r="J276" s="40"/>
      <c r="K276" s="27">
        <f t="shared" si="11"/>
        <v>24</v>
      </c>
    </row>
    <row r="277" s="2" customFormat="1" ht="21.75" customHeight="1" spans="1:11">
      <c r="A277" s="38"/>
      <c r="B277" s="41"/>
      <c r="C277" s="41"/>
      <c r="D277" s="41"/>
      <c r="E277" s="41"/>
      <c r="F277" s="41"/>
      <c r="G277" s="41"/>
      <c r="H277" s="41"/>
      <c r="I277" s="41"/>
      <c r="J277" s="40"/>
      <c r="K277" s="47">
        <f>SUM(K256:K276)</f>
        <v>601.5</v>
      </c>
    </row>
    <row r="280" s="3" customFormat="1" ht="21" customHeight="1" spans="1:11">
      <c r="A280" s="71" t="s">
        <v>424</v>
      </c>
      <c r="B280" s="71"/>
      <c r="C280" s="71"/>
      <c r="D280" s="71"/>
      <c r="E280" s="71"/>
      <c r="F280" s="71"/>
      <c r="G280" s="71"/>
      <c r="H280" s="71"/>
      <c r="I280" s="71"/>
      <c r="J280" s="71"/>
      <c r="K280" s="71"/>
    </row>
    <row r="281" s="3" customFormat="1" ht="21" customHeight="1" spans="1:11">
      <c r="A281" s="72" t="s">
        <v>247</v>
      </c>
      <c r="B281" s="72"/>
      <c r="C281" s="72"/>
      <c r="D281" s="73" t="s">
        <v>430</v>
      </c>
      <c r="E281" s="72"/>
      <c r="F281" s="72"/>
      <c r="G281" s="72"/>
      <c r="H281" s="72"/>
      <c r="I281" s="72"/>
      <c r="J281" s="72"/>
      <c r="K281" s="72"/>
    </row>
    <row r="282" s="3" customFormat="1" ht="21" customHeight="1" spans="1:11">
      <c r="A282" s="74" t="s">
        <v>200</v>
      </c>
      <c r="B282" s="74" t="s">
        <v>201</v>
      </c>
      <c r="C282" s="75" t="s">
        <v>202</v>
      </c>
      <c r="D282" s="76" t="s">
        <v>6</v>
      </c>
      <c r="E282" s="76" t="s">
        <v>6</v>
      </c>
      <c r="F282" s="74" t="s">
        <v>6</v>
      </c>
      <c r="G282" s="74" t="s">
        <v>6</v>
      </c>
      <c r="H282" s="74" t="s">
        <v>6</v>
      </c>
      <c r="I282" s="74" t="s">
        <v>6</v>
      </c>
      <c r="J282" s="74" t="s">
        <v>203</v>
      </c>
      <c r="K282" s="74" t="s">
        <v>204</v>
      </c>
    </row>
    <row r="283" s="3" customFormat="1" ht="21" customHeight="1" spans="1:11">
      <c r="A283" s="56" t="s">
        <v>205</v>
      </c>
      <c r="B283" s="56">
        <v>12</v>
      </c>
      <c r="C283" s="54" t="s">
        <v>206</v>
      </c>
      <c r="D283" s="55">
        <v>12</v>
      </c>
      <c r="E283" s="55">
        <v>20</v>
      </c>
      <c r="F283" s="100"/>
      <c r="G283" s="77"/>
      <c r="H283" s="77"/>
      <c r="I283" s="58"/>
      <c r="J283" s="47"/>
      <c r="K283" s="56">
        <f t="shared" ref="K283:K303" si="12">SUM(D283:J283)</f>
        <v>32</v>
      </c>
    </row>
    <row r="284" s="3" customFormat="1" ht="21" customHeight="1" spans="1:11">
      <c r="A284" s="78" t="s">
        <v>207</v>
      </c>
      <c r="B284" s="56">
        <v>11.5</v>
      </c>
      <c r="C284" s="61" t="s">
        <v>208</v>
      </c>
      <c r="D284" s="55">
        <v>17.5</v>
      </c>
      <c r="E284" s="55">
        <v>25</v>
      </c>
      <c r="F284" s="100"/>
      <c r="G284" s="77"/>
      <c r="H284" s="77"/>
      <c r="I284" s="58"/>
      <c r="J284" s="47"/>
      <c r="K284" s="56">
        <f t="shared" si="12"/>
        <v>42.5</v>
      </c>
    </row>
    <row r="285" s="3" customFormat="1" ht="21" customHeight="1" spans="1:11">
      <c r="A285" s="78"/>
      <c r="B285" s="56"/>
      <c r="C285" s="61" t="s">
        <v>210</v>
      </c>
      <c r="D285" s="55">
        <v>17.5</v>
      </c>
      <c r="E285" s="55">
        <v>15</v>
      </c>
      <c r="F285" s="100"/>
      <c r="G285" s="77"/>
      <c r="H285" s="77"/>
      <c r="I285" s="58"/>
      <c r="J285" s="47"/>
      <c r="K285" s="56">
        <f t="shared" si="12"/>
        <v>32.5</v>
      </c>
    </row>
    <row r="286" s="3" customFormat="1" ht="21" customHeight="1" spans="1:11">
      <c r="A286" s="79" t="s">
        <v>237</v>
      </c>
      <c r="B286" s="56">
        <v>11.5</v>
      </c>
      <c r="C286" s="61" t="s">
        <v>212</v>
      </c>
      <c r="D286" s="55">
        <v>20</v>
      </c>
      <c r="E286" s="55">
        <v>15</v>
      </c>
      <c r="F286" s="100"/>
      <c r="G286" s="77"/>
      <c r="H286" s="77"/>
      <c r="I286" s="58"/>
      <c r="J286" s="47"/>
      <c r="K286" s="56">
        <f t="shared" si="12"/>
        <v>35</v>
      </c>
    </row>
    <row r="287" s="3" customFormat="1" ht="21" customHeight="1" spans="1:11">
      <c r="A287" s="80"/>
      <c r="B287" s="56"/>
      <c r="C287" s="3" t="s">
        <v>215</v>
      </c>
      <c r="D287" s="55">
        <v>15</v>
      </c>
      <c r="E287" s="55">
        <v>10</v>
      </c>
      <c r="F287" s="100"/>
      <c r="G287" s="77"/>
      <c r="H287" s="77"/>
      <c r="I287" s="58"/>
      <c r="J287" s="47"/>
      <c r="K287" s="56">
        <f t="shared" si="12"/>
        <v>25</v>
      </c>
    </row>
    <row r="288" s="3" customFormat="1" ht="21" customHeight="1" spans="1:11">
      <c r="A288" s="81" t="s">
        <v>238</v>
      </c>
      <c r="B288" s="56"/>
      <c r="C288" s="61" t="s">
        <v>213</v>
      </c>
      <c r="D288" s="55">
        <v>15</v>
      </c>
      <c r="E288" s="55">
        <v>10</v>
      </c>
      <c r="F288" s="100"/>
      <c r="G288" s="77"/>
      <c r="H288" s="77"/>
      <c r="I288" s="58"/>
      <c r="J288" s="47"/>
      <c r="K288" s="56">
        <f t="shared" si="12"/>
        <v>25</v>
      </c>
    </row>
    <row r="289" s="3" customFormat="1" ht="21" customHeight="1" spans="1:11">
      <c r="A289" s="82"/>
      <c r="B289" s="56"/>
      <c r="C289" s="61" t="s">
        <v>216</v>
      </c>
      <c r="D289" s="55">
        <v>15</v>
      </c>
      <c r="E289" s="55">
        <v>10</v>
      </c>
      <c r="F289" s="100"/>
      <c r="G289" s="77"/>
      <c r="H289" s="77"/>
      <c r="I289" s="83"/>
      <c r="J289" s="47"/>
      <c r="K289" s="56">
        <f t="shared" si="12"/>
        <v>25</v>
      </c>
    </row>
    <row r="290" s="3" customFormat="1" ht="21" customHeight="1" spans="1:11">
      <c r="A290" s="84" t="s">
        <v>239</v>
      </c>
      <c r="B290" s="56"/>
      <c r="C290" s="56" t="s">
        <v>214</v>
      </c>
      <c r="D290" s="55">
        <v>20</v>
      </c>
      <c r="E290" s="55">
        <v>10</v>
      </c>
      <c r="F290" s="100"/>
      <c r="G290" s="77"/>
      <c r="H290" s="77"/>
      <c r="I290" s="83"/>
      <c r="J290" s="47"/>
      <c r="K290" s="56">
        <f t="shared" si="12"/>
        <v>30</v>
      </c>
    </row>
    <row r="291" s="3" customFormat="1" ht="21" customHeight="1" spans="1:11">
      <c r="A291" s="56" t="s">
        <v>217</v>
      </c>
      <c r="B291" s="56">
        <v>10.5</v>
      </c>
      <c r="C291" s="56" t="s">
        <v>218</v>
      </c>
      <c r="D291" s="55">
        <v>15</v>
      </c>
      <c r="E291" s="55">
        <v>10</v>
      </c>
      <c r="F291" s="100"/>
      <c r="G291" s="77"/>
      <c r="H291" s="77"/>
      <c r="I291" s="58"/>
      <c r="J291" s="47"/>
      <c r="K291" s="56">
        <f t="shared" si="12"/>
        <v>25</v>
      </c>
    </row>
    <row r="292" s="3" customFormat="1" ht="21" customHeight="1" spans="1:11">
      <c r="A292" s="56"/>
      <c r="B292" s="56"/>
      <c r="C292" s="56" t="s">
        <v>219</v>
      </c>
      <c r="D292" s="55">
        <v>15</v>
      </c>
      <c r="E292" s="55">
        <v>10</v>
      </c>
      <c r="F292" s="100"/>
      <c r="G292" s="77"/>
      <c r="H292" s="77"/>
      <c r="I292" s="58"/>
      <c r="J292" s="47"/>
      <c r="K292" s="56">
        <f t="shared" si="12"/>
        <v>25</v>
      </c>
    </row>
    <row r="293" s="3" customFormat="1" ht="21" customHeight="1" spans="1:11">
      <c r="A293" s="56" t="s">
        <v>220</v>
      </c>
      <c r="B293" s="56">
        <v>11.5</v>
      </c>
      <c r="C293" s="61" t="s">
        <v>221</v>
      </c>
      <c r="D293" s="55">
        <v>48</v>
      </c>
      <c r="E293" s="55">
        <v>10</v>
      </c>
      <c r="F293" s="100"/>
      <c r="G293" s="77"/>
      <c r="H293" s="77"/>
      <c r="I293" s="58"/>
      <c r="J293" s="47"/>
      <c r="K293" s="56">
        <f t="shared" si="12"/>
        <v>58</v>
      </c>
    </row>
    <row r="294" s="3" customFormat="1" ht="21" customHeight="1" spans="1:11">
      <c r="A294" s="56"/>
      <c r="B294" s="56"/>
      <c r="C294" s="61" t="s">
        <v>222</v>
      </c>
      <c r="D294" s="47">
        <v>26</v>
      </c>
      <c r="E294" s="55">
        <v>10</v>
      </c>
      <c r="F294" s="100"/>
      <c r="G294" s="77"/>
      <c r="H294" s="77"/>
      <c r="I294" s="58"/>
      <c r="J294" s="47"/>
      <c r="K294" s="56">
        <f t="shared" si="12"/>
        <v>36</v>
      </c>
    </row>
    <row r="295" s="3" customFormat="1" ht="21" customHeight="1" spans="1:11">
      <c r="A295" s="56"/>
      <c r="B295" s="56"/>
      <c r="C295" s="61" t="s">
        <v>223</v>
      </c>
      <c r="D295" s="47">
        <v>26</v>
      </c>
      <c r="E295" s="55">
        <v>10</v>
      </c>
      <c r="F295" s="100"/>
      <c r="G295" s="77"/>
      <c r="H295" s="77"/>
      <c r="I295" s="58"/>
      <c r="J295" s="47"/>
      <c r="K295" s="56">
        <f t="shared" si="12"/>
        <v>36</v>
      </c>
    </row>
    <row r="296" s="3" customFormat="1" ht="21" customHeight="1" spans="1:11">
      <c r="A296" s="56"/>
      <c r="B296" s="56"/>
      <c r="C296" s="61" t="s">
        <v>224</v>
      </c>
      <c r="D296" s="47">
        <v>34</v>
      </c>
      <c r="E296" s="55">
        <v>10</v>
      </c>
      <c r="F296" s="100"/>
      <c r="G296" s="77"/>
      <c r="H296" s="77"/>
      <c r="I296" s="58"/>
      <c r="J296" s="47"/>
      <c r="K296" s="56">
        <f t="shared" si="12"/>
        <v>44</v>
      </c>
    </row>
    <row r="297" s="3" customFormat="1" ht="21" customHeight="1" spans="1:11">
      <c r="A297" s="85" t="s">
        <v>225</v>
      </c>
      <c r="B297" s="85">
        <v>10.5</v>
      </c>
      <c r="C297" s="56" t="s">
        <v>226</v>
      </c>
      <c r="D297" s="55">
        <v>51</v>
      </c>
      <c r="E297" s="55">
        <v>10</v>
      </c>
      <c r="F297" s="100"/>
      <c r="G297" s="77"/>
      <c r="H297" s="77"/>
      <c r="I297" s="58"/>
      <c r="J297" s="47"/>
      <c r="K297" s="56">
        <f t="shared" si="12"/>
        <v>61</v>
      </c>
    </row>
    <row r="298" s="3" customFormat="1" ht="21" customHeight="1" spans="1:11">
      <c r="A298" s="85"/>
      <c r="B298" s="85"/>
      <c r="C298" s="56" t="s">
        <v>228</v>
      </c>
      <c r="D298" s="55">
        <v>51</v>
      </c>
      <c r="E298" s="55">
        <v>10</v>
      </c>
      <c r="F298" s="100"/>
      <c r="G298" s="77"/>
      <c r="H298" s="77"/>
      <c r="I298" s="58"/>
      <c r="J298" s="47"/>
      <c r="K298" s="56">
        <f t="shared" si="12"/>
        <v>61</v>
      </c>
    </row>
    <row r="299" s="3" customFormat="1" ht="21" customHeight="1" spans="1:11">
      <c r="A299" s="85"/>
      <c r="B299" s="85"/>
      <c r="C299" s="56" t="s">
        <v>227</v>
      </c>
      <c r="D299" s="55">
        <v>34</v>
      </c>
      <c r="E299" s="55">
        <v>10</v>
      </c>
      <c r="F299" s="100"/>
      <c r="G299" s="77"/>
      <c r="H299" s="77"/>
      <c r="I299" s="58"/>
      <c r="J299" s="47"/>
      <c r="K299" s="56">
        <f t="shared" si="12"/>
        <v>44</v>
      </c>
    </row>
    <row r="300" s="3" customFormat="1" ht="21" customHeight="1" spans="1:11">
      <c r="A300" s="85"/>
      <c r="B300" s="85"/>
      <c r="C300" s="56" t="s">
        <v>229</v>
      </c>
      <c r="D300" s="55">
        <v>34</v>
      </c>
      <c r="E300" s="55">
        <v>10</v>
      </c>
      <c r="F300" s="100"/>
      <c r="G300" s="77"/>
      <c r="H300" s="77"/>
      <c r="I300" s="58"/>
      <c r="J300" s="58"/>
      <c r="K300" s="56">
        <f t="shared" si="12"/>
        <v>44</v>
      </c>
    </row>
    <row r="301" s="3" customFormat="1" ht="21" customHeight="1" spans="1:11">
      <c r="A301" s="85"/>
      <c r="B301" s="85"/>
      <c r="C301" s="56" t="s">
        <v>240</v>
      </c>
      <c r="D301" s="55">
        <v>34</v>
      </c>
      <c r="E301" s="55">
        <v>10</v>
      </c>
      <c r="F301" s="100"/>
      <c r="G301" s="77"/>
      <c r="H301" s="77"/>
      <c r="I301" s="58"/>
      <c r="J301" s="58"/>
      <c r="K301" s="56">
        <f t="shared" si="12"/>
        <v>44</v>
      </c>
    </row>
    <row r="302" s="3" customFormat="1" ht="21" customHeight="1" spans="1:11">
      <c r="A302" s="86" t="s">
        <v>230</v>
      </c>
      <c r="B302" s="86">
        <v>10.5</v>
      </c>
      <c r="C302" s="56" t="s">
        <v>231</v>
      </c>
      <c r="D302" s="55">
        <v>10.5</v>
      </c>
      <c r="E302" s="55">
        <v>10.5</v>
      </c>
      <c r="F302" s="100"/>
      <c r="G302" s="77"/>
      <c r="H302" s="77"/>
      <c r="I302" s="58"/>
      <c r="J302" s="58"/>
      <c r="K302" s="56">
        <f t="shared" si="12"/>
        <v>21</v>
      </c>
    </row>
    <row r="303" s="3" customFormat="1" ht="21" customHeight="1" spans="1:11">
      <c r="A303" s="56" t="s">
        <v>232</v>
      </c>
      <c r="B303" s="56">
        <v>12</v>
      </c>
      <c r="C303" s="56" t="s">
        <v>233</v>
      </c>
      <c r="D303" s="47">
        <v>12</v>
      </c>
      <c r="E303" s="47">
        <v>10</v>
      </c>
      <c r="F303" s="54"/>
      <c r="G303" s="77"/>
      <c r="H303" s="77"/>
      <c r="I303" s="58"/>
      <c r="J303" s="58"/>
      <c r="K303" s="56">
        <f t="shared" si="12"/>
        <v>22</v>
      </c>
    </row>
    <row r="304" s="3" customFormat="1" ht="21" customHeight="1" spans="1:11">
      <c r="A304" s="61"/>
      <c r="B304" s="87"/>
      <c r="C304" s="87"/>
      <c r="D304" s="65">
        <f t="shared" ref="D304:F304" si="13">SUM(D283:D303)</f>
        <v>522.5</v>
      </c>
      <c r="E304" s="65">
        <f t="shared" si="13"/>
        <v>245.5</v>
      </c>
      <c r="F304" s="65">
        <f t="shared" si="13"/>
        <v>0</v>
      </c>
      <c r="G304" s="65"/>
      <c r="H304" s="65"/>
      <c r="I304" s="65"/>
      <c r="J304" s="65"/>
      <c r="K304" s="47">
        <f>SUM(K283:K303)</f>
        <v>768</v>
      </c>
    </row>
  </sheetData>
  <mergeCells count="152">
    <mergeCell ref="A1:K1"/>
    <mergeCell ref="A2:C2"/>
    <mergeCell ref="D2:K2"/>
    <mergeCell ref="A25:J25"/>
    <mergeCell ref="A28:K28"/>
    <mergeCell ref="A29:C29"/>
    <mergeCell ref="D29:K29"/>
    <mergeCell ref="A55:K55"/>
    <mergeCell ref="A56:C56"/>
    <mergeCell ref="D56:K56"/>
    <mergeCell ref="A82:K82"/>
    <mergeCell ref="A83:C83"/>
    <mergeCell ref="D83:K83"/>
    <mergeCell ref="A111:K111"/>
    <mergeCell ref="A112:C112"/>
    <mergeCell ref="D112:K112"/>
    <mergeCell ref="A135:J135"/>
    <mergeCell ref="A138:K138"/>
    <mergeCell ref="A139:C139"/>
    <mergeCell ref="D139:K139"/>
    <mergeCell ref="A167:K167"/>
    <mergeCell ref="A168:C168"/>
    <mergeCell ref="D168:K168"/>
    <mergeCell ref="A195:K195"/>
    <mergeCell ref="A196:C196"/>
    <mergeCell ref="D196:K196"/>
    <mergeCell ref="A219:J219"/>
    <mergeCell ref="A223:K223"/>
    <mergeCell ref="A224:C224"/>
    <mergeCell ref="D224:K224"/>
    <mergeCell ref="A249:J249"/>
    <mergeCell ref="A253:K253"/>
    <mergeCell ref="A254:C254"/>
    <mergeCell ref="D254:K254"/>
    <mergeCell ref="A277:J277"/>
    <mergeCell ref="A280:K280"/>
    <mergeCell ref="A281:C281"/>
    <mergeCell ref="D281:K281"/>
    <mergeCell ref="A5:A6"/>
    <mergeCell ref="A7:A8"/>
    <mergeCell ref="A9:A10"/>
    <mergeCell ref="A12:A13"/>
    <mergeCell ref="A14:A17"/>
    <mergeCell ref="A18:A22"/>
    <mergeCell ref="A32:A33"/>
    <mergeCell ref="A34:A38"/>
    <mergeCell ref="A39:A40"/>
    <mergeCell ref="A41:A44"/>
    <mergeCell ref="A45:A49"/>
    <mergeCell ref="A59:A60"/>
    <mergeCell ref="A61:A62"/>
    <mergeCell ref="A63:A64"/>
    <mergeCell ref="A66:A67"/>
    <mergeCell ref="A68:A71"/>
    <mergeCell ref="A72:A76"/>
    <mergeCell ref="A86:A87"/>
    <mergeCell ref="A88:A92"/>
    <mergeCell ref="A93:A94"/>
    <mergeCell ref="A95:A98"/>
    <mergeCell ref="A99:A103"/>
    <mergeCell ref="A115:A116"/>
    <mergeCell ref="A117:A121"/>
    <mergeCell ref="A122:A123"/>
    <mergeCell ref="A124:A127"/>
    <mergeCell ref="A128:A132"/>
    <mergeCell ref="A142:A143"/>
    <mergeCell ref="A144:A145"/>
    <mergeCell ref="A146:A147"/>
    <mergeCell ref="A149:A150"/>
    <mergeCell ref="A151:A154"/>
    <mergeCell ref="A155:A160"/>
    <mergeCell ref="A171:A172"/>
    <mergeCell ref="A173:A177"/>
    <mergeCell ref="A178:A179"/>
    <mergeCell ref="A180:A183"/>
    <mergeCell ref="A184:A188"/>
    <mergeCell ref="A199:A200"/>
    <mergeCell ref="A201:A205"/>
    <mergeCell ref="A206:A207"/>
    <mergeCell ref="A208:A211"/>
    <mergeCell ref="A212:A216"/>
    <mergeCell ref="A227:A229"/>
    <mergeCell ref="A230:A234"/>
    <mergeCell ref="A235:A236"/>
    <mergeCell ref="A237:A240"/>
    <mergeCell ref="A241:A246"/>
    <mergeCell ref="A257:A258"/>
    <mergeCell ref="A259:A263"/>
    <mergeCell ref="A264:A265"/>
    <mergeCell ref="A266:A269"/>
    <mergeCell ref="A270:A274"/>
    <mergeCell ref="A284:A285"/>
    <mergeCell ref="A286:A287"/>
    <mergeCell ref="A288:A289"/>
    <mergeCell ref="A291:A292"/>
    <mergeCell ref="A293:A296"/>
    <mergeCell ref="A297:A301"/>
    <mergeCell ref="B5:B6"/>
    <mergeCell ref="B7:B11"/>
    <mergeCell ref="B12:B13"/>
    <mergeCell ref="B14:B17"/>
    <mergeCell ref="B18:B22"/>
    <mergeCell ref="B32:B33"/>
    <mergeCell ref="B34:B38"/>
    <mergeCell ref="B39:B40"/>
    <mergeCell ref="B41:B44"/>
    <mergeCell ref="B45:B49"/>
    <mergeCell ref="B59:B60"/>
    <mergeCell ref="B61:B65"/>
    <mergeCell ref="B66:B67"/>
    <mergeCell ref="B68:B71"/>
    <mergeCell ref="B72:B76"/>
    <mergeCell ref="B86:B87"/>
    <mergeCell ref="B88:B92"/>
    <mergeCell ref="B93:B94"/>
    <mergeCell ref="B95:B98"/>
    <mergeCell ref="B99:B103"/>
    <mergeCell ref="B115:B116"/>
    <mergeCell ref="B117:B121"/>
    <mergeCell ref="B122:B123"/>
    <mergeCell ref="B124:B127"/>
    <mergeCell ref="B128:B132"/>
    <mergeCell ref="B142:B143"/>
    <mergeCell ref="B144:B148"/>
    <mergeCell ref="B149:B150"/>
    <mergeCell ref="B151:B154"/>
    <mergeCell ref="B155:B160"/>
    <mergeCell ref="B171:B172"/>
    <mergeCell ref="B173:B177"/>
    <mergeCell ref="B178:B179"/>
    <mergeCell ref="B180:B183"/>
    <mergeCell ref="B184:B188"/>
    <mergeCell ref="B199:B200"/>
    <mergeCell ref="B201:B205"/>
    <mergeCell ref="B206:B207"/>
    <mergeCell ref="B208:B211"/>
    <mergeCell ref="B212:B216"/>
    <mergeCell ref="B227:B229"/>
    <mergeCell ref="B230:B234"/>
    <mergeCell ref="B235:B236"/>
    <mergeCell ref="B237:B240"/>
    <mergeCell ref="B241:B246"/>
    <mergeCell ref="B257:B258"/>
    <mergeCell ref="B259:B263"/>
    <mergeCell ref="B264:B265"/>
    <mergeCell ref="B266:B269"/>
    <mergeCell ref="B270:B274"/>
    <mergeCell ref="B284:B285"/>
    <mergeCell ref="B286:B290"/>
    <mergeCell ref="B291:B292"/>
    <mergeCell ref="B293:B296"/>
    <mergeCell ref="B297:B30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2"/>
  <sheetViews>
    <sheetView topLeftCell="A204" workbookViewId="0">
      <selection activeCell="A196" sqref="$A196:$XFD222"/>
    </sheetView>
  </sheetViews>
  <sheetFormatPr defaultColWidth="9" defaultRowHeight="13.5"/>
  <sheetData>
    <row r="1" s="2" customFormat="1" ht="21.75" customHeight="1" spans="1:11">
      <c r="A1" s="42" t="s">
        <v>431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="2" customFormat="1" ht="21.75" customHeight="1" spans="1:11">
      <c r="A2" s="35" t="s">
        <v>235</v>
      </c>
      <c r="B2" s="36"/>
      <c r="C2" s="36"/>
      <c r="D2" s="37" t="s">
        <v>432</v>
      </c>
      <c r="E2" s="36"/>
      <c r="F2" s="36"/>
      <c r="G2" s="36"/>
      <c r="H2" s="36"/>
      <c r="I2" s="36"/>
      <c r="J2" s="36"/>
      <c r="K2" s="36"/>
    </row>
    <row r="3" s="2" customFormat="1" ht="21.75" customHeight="1" spans="1:11">
      <c r="A3" s="27" t="s">
        <v>200</v>
      </c>
      <c r="B3" s="27" t="s">
        <v>201</v>
      </c>
      <c r="C3" s="38" t="s">
        <v>202</v>
      </c>
      <c r="D3" s="12" t="s">
        <v>6</v>
      </c>
      <c r="E3" s="12" t="s">
        <v>6</v>
      </c>
      <c r="F3" s="27" t="s">
        <v>6</v>
      </c>
      <c r="G3" s="27" t="s">
        <v>6</v>
      </c>
      <c r="H3" s="27" t="s">
        <v>6</v>
      </c>
      <c r="I3" s="27" t="s">
        <v>6</v>
      </c>
      <c r="J3" s="27" t="s">
        <v>203</v>
      </c>
      <c r="K3" s="27" t="s">
        <v>204</v>
      </c>
    </row>
    <row r="4" s="2" customFormat="1" ht="21.75" customHeight="1" spans="1:11">
      <c r="A4" s="27" t="s">
        <v>205</v>
      </c>
      <c r="B4" s="27">
        <v>12</v>
      </c>
      <c r="C4" s="38" t="s">
        <v>206</v>
      </c>
      <c r="D4" s="11">
        <v>12</v>
      </c>
      <c r="E4" s="11">
        <v>10</v>
      </c>
      <c r="F4" s="11"/>
      <c r="G4" s="11"/>
      <c r="H4" s="12"/>
      <c r="I4" s="27"/>
      <c r="J4" s="27"/>
      <c r="K4" s="27">
        <f t="shared" ref="K4:K24" si="0">SUM(D4:J4)</f>
        <v>22</v>
      </c>
    </row>
    <row r="5" s="2" customFormat="1" ht="21.75" customHeight="1" spans="1:11">
      <c r="A5" s="43" t="s">
        <v>207</v>
      </c>
      <c r="B5" s="12">
        <v>11.5</v>
      </c>
      <c r="C5" s="38" t="s">
        <v>208</v>
      </c>
      <c r="D5" s="11">
        <v>17.5</v>
      </c>
      <c r="E5" s="11">
        <v>15</v>
      </c>
      <c r="F5" s="11"/>
      <c r="G5" s="11"/>
      <c r="H5" s="12"/>
      <c r="I5" s="27"/>
      <c r="J5" s="27"/>
      <c r="K5" s="27">
        <f t="shared" si="0"/>
        <v>32.5</v>
      </c>
    </row>
    <row r="6" s="2" customFormat="1" ht="21.75" customHeight="1" spans="1:11">
      <c r="A6" s="44"/>
      <c r="B6" s="39"/>
      <c r="C6" s="38" t="s">
        <v>210</v>
      </c>
      <c r="D6" s="11">
        <v>17.5</v>
      </c>
      <c r="E6" s="11">
        <v>15</v>
      </c>
      <c r="F6" s="11"/>
      <c r="G6" s="11"/>
      <c r="H6" s="12"/>
      <c r="I6" s="27"/>
      <c r="J6" s="27"/>
      <c r="K6" s="27">
        <f t="shared" si="0"/>
        <v>32.5</v>
      </c>
    </row>
    <row r="7" s="2" customFormat="1" ht="21.75" customHeight="1" spans="1:11">
      <c r="A7" s="43" t="s">
        <v>211</v>
      </c>
      <c r="B7" s="12">
        <v>11.5</v>
      </c>
      <c r="C7" s="38" t="s">
        <v>212</v>
      </c>
      <c r="D7" s="11">
        <v>11.5</v>
      </c>
      <c r="E7" s="11">
        <v>11</v>
      </c>
      <c r="F7" s="11"/>
      <c r="G7" s="11"/>
      <c r="H7" s="12"/>
      <c r="I7" s="27"/>
      <c r="J7" s="27"/>
      <c r="K7" s="27">
        <f t="shared" si="0"/>
        <v>22.5</v>
      </c>
    </row>
    <row r="8" s="2" customFormat="1" ht="21.75" customHeight="1" spans="1:11">
      <c r="A8" s="44"/>
      <c r="B8" s="39"/>
      <c r="C8" s="38" t="s">
        <v>213</v>
      </c>
      <c r="D8" s="11">
        <v>11.5</v>
      </c>
      <c r="E8" s="11">
        <v>11</v>
      </c>
      <c r="F8" s="11"/>
      <c r="G8" s="11"/>
      <c r="H8" s="12"/>
      <c r="I8" s="27"/>
      <c r="J8" s="27"/>
      <c r="K8" s="27">
        <f t="shared" si="0"/>
        <v>22.5</v>
      </c>
    </row>
    <row r="9" s="2" customFormat="1" ht="21.75" customHeight="1" spans="1:11">
      <c r="A9" s="44"/>
      <c r="B9" s="39"/>
      <c r="C9" s="27" t="s">
        <v>214</v>
      </c>
      <c r="D9" s="11">
        <v>11.5</v>
      </c>
      <c r="E9" s="11">
        <v>11</v>
      </c>
      <c r="F9" s="11"/>
      <c r="G9" s="11"/>
      <c r="H9" s="12"/>
      <c r="I9" s="27"/>
      <c r="J9" s="27"/>
      <c r="K9" s="27">
        <f t="shared" si="0"/>
        <v>22.5</v>
      </c>
    </row>
    <row r="10" s="2" customFormat="1" ht="21.75" customHeight="1" spans="1:11">
      <c r="A10" s="44"/>
      <c r="B10" s="39"/>
      <c r="C10" s="38" t="s">
        <v>216</v>
      </c>
      <c r="D10" s="11">
        <v>11.5</v>
      </c>
      <c r="E10" s="11">
        <v>11</v>
      </c>
      <c r="F10" s="11"/>
      <c r="G10" s="11"/>
      <c r="H10" s="12"/>
      <c r="I10" s="12"/>
      <c r="J10" s="27"/>
      <c r="K10" s="27">
        <f t="shared" si="0"/>
        <v>22.5</v>
      </c>
    </row>
    <row r="11" s="2" customFormat="1" ht="21.75" customHeight="1" spans="1:11">
      <c r="A11" s="45"/>
      <c r="B11" s="46"/>
      <c r="C11" s="38" t="s">
        <v>215</v>
      </c>
      <c r="D11" s="11">
        <v>11.5</v>
      </c>
      <c r="E11" s="11">
        <v>11</v>
      </c>
      <c r="F11" s="11"/>
      <c r="G11" s="11"/>
      <c r="H11" s="12"/>
      <c r="I11" s="12"/>
      <c r="J11" s="27"/>
      <c r="K11" s="27">
        <f t="shared" si="0"/>
        <v>22.5</v>
      </c>
    </row>
    <row r="12" s="2" customFormat="1" ht="21.75" customHeight="1" spans="1:11">
      <c r="A12" s="27" t="s">
        <v>217</v>
      </c>
      <c r="B12" s="27">
        <v>10.5</v>
      </c>
      <c r="C12" s="27" t="s">
        <v>218</v>
      </c>
      <c r="D12" s="11">
        <v>9</v>
      </c>
      <c r="E12" s="11">
        <v>5</v>
      </c>
      <c r="F12" s="11"/>
      <c r="G12" s="11"/>
      <c r="H12" s="12"/>
      <c r="I12" s="27"/>
      <c r="J12" s="27"/>
      <c r="K12" s="27">
        <f t="shared" si="0"/>
        <v>14</v>
      </c>
    </row>
    <row r="13" s="2" customFormat="1" ht="21.75" customHeight="1" spans="1:11">
      <c r="A13" s="27"/>
      <c r="B13" s="27"/>
      <c r="C13" s="27" t="s">
        <v>219</v>
      </c>
      <c r="D13" s="11">
        <v>40</v>
      </c>
      <c r="E13" s="11">
        <v>0</v>
      </c>
      <c r="F13" s="11"/>
      <c r="G13" s="11"/>
      <c r="H13" s="12"/>
      <c r="I13" s="27"/>
      <c r="J13" s="27"/>
      <c r="K13" s="27">
        <f t="shared" si="0"/>
        <v>40</v>
      </c>
    </row>
    <row r="14" s="2" customFormat="1" ht="21.75" customHeight="1" spans="1:11">
      <c r="A14" s="27" t="s">
        <v>220</v>
      </c>
      <c r="B14" s="27">
        <v>11.5</v>
      </c>
      <c r="C14" s="38" t="s">
        <v>221</v>
      </c>
      <c r="D14" s="11">
        <v>19.5</v>
      </c>
      <c r="E14" s="11">
        <v>5</v>
      </c>
      <c r="F14" s="11"/>
      <c r="G14" s="11"/>
      <c r="H14" s="12"/>
      <c r="I14" s="27"/>
      <c r="J14" s="27"/>
      <c r="K14" s="27">
        <f t="shared" si="0"/>
        <v>24.5</v>
      </c>
    </row>
    <row r="15" s="2" customFormat="1" ht="21.75" customHeight="1" spans="1:11">
      <c r="A15" s="27"/>
      <c r="B15" s="27"/>
      <c r="C15" s="38" t="s">
        <v>222</v>
      </c>
      <c r="D15" s="11">
        <v>9</v>
      </c>
      <c r="E15" s="11">
        <v>5</v>
      </c>
      <c r="F15" s="11"/>
      <c r="G15" s="11"/>
      <c r="H15" s="12"/>
      <c r="I15" s="27"/>
      <c r="J15" s="27"/>
      <c r="K15" s="27">
        <f t="shared" si="0"/>
        <v>14</v>
      </c>
    </row>
    <row r="16" s="2" customFormat="1" ht="21.75" customHeight="1" spans="1:11">
      <c r="A16" s="27"/>
      <c r="B16" s="27"/>
      <c r="C16" s="38" t="s">
        <v>223</v>
      </c>
      <c r="D16" s="11">
        <v>40</v>
      </c>
      <c r="E16" s="23">
        <v>0</v>
      </c>
      <c r="F16" s="23"/>
      <c r="G16" s="23"/>
      <c r="H16" s="12"/>
      <c r="I16" s="27"/>
      <c r="J16" s="27"/>
      <c r="K16" s="27">
        <f t="shared" si="0"/>
        <v>40</v>
      </c>
    </row>
    <row r="17" s="2" customFormat="1" ht="21.75" customHeight="1" spans="1:11">
      <c r="A17" s="27"/>
      <c r="B17" s="27"/>
      <c r="C17" s="38" t="s">
        <v>224</v>
      </c>
      <c r="D17" s="24">
        <v>76.5</v>
      </c>
      <c r="E17" s="24">
        <v>5</v>
      </c>
      <c r="F17" s="24"/>
      <c r="G17" s="24"/>
      <c r="H17" s="12"/>
      <c r="I17" s="27"/>
      <c r="J17" s="27"/>
      <c r="K17" s="27">
        <f t="shared" si="0"/>
        <v>81.5</v>
      </c>
    </row>
    <row r="18" s="2" customFormat="1" ht="21.75" customHeight="1" spans="1:11">
      <c r="A18" s="39" t="s">
        <v>225</v>
      </c>
      <c r="B18" s="39">
        <v>10.5</v>
      </c>
      <c r="C18" s="27" t="s">
        <v>226</v>
      </c>
      <c r="D18" s="11">
        <v>23</v>
      </c>
      <c r="E18" s="11">
        <v>10</v>
      </c>
      <c r="F18" s="11"/>
      <c r="G18" s="11"/>
      <c r="H18" s="12"/>
      <c r="I18" s="27"/>
      <c r="J18" s="27"/>
      <c r="K18" s="27">
        <f t="shared" si="0"/>
        <v>33</v>
      </c>
    </row>
    <row r="19" s="2" customFormat="1" ht="21.75" customHeight="1" spans="1:11">
      <c r="A19" s="39"/>
      <c r="B19" s="39"/>
      <c r="C19" s="27" t="s">
        <v>228</v>
      </c>
      <c r="D19" s="11">
        <v>40</v>
      </c>
      <c r="E19" s="11">
        <v>0</v>
      </c>
      <c r="F19" s="11"/>
      <c r="G19" s="11"/>
      <c r="H19" s="12"/>
      <c r="I19" s="27"/>
      <c r="J19" s="27"/>
      <c r="K19" s="27">
        <f t="shared" si="0"/>
        <v>40</v>
      </c>
    </row>
    <row r="20" s="2" customFormat="1" ht="21.75" customHeight="1" spans="1:11">
      <c r="A20" s="39"/>
      <c r="B20" s="39"/>
      <c r="C20" s="27" t="s">
        <v>227</v>
      </c>
      <c r="D20" s="11">
        <v>40</v>
      </c>
      <c r="E20" s="11">
        <v>0</v>
      </c>
      <c r="F20" s="11"/>
      <c r="G20" s="11"/>
      <c r="H20" s="12"/>
      <c r="I20" s="27"/>
      <c r="J20" s="27"/>
      <c r="K20" s="27">
        <f t="shared" si="0"/>
        <v>40</v>
      </c>
    </row>
    <row r="21" s="2" customFormat="1" ht="21.75" customHeight="1" spans="1:11">
      <c r="A21" s="39"/>
      <c r="B21" s="39"/>
      <c r="C21" s="27" t="s">
        <v>229</v>
      </c>
      <c r="D21" s="11">
        <v>11.5</v>
      </c>
      <c r="E21" s="11">
        <v>5</v>
      </c>
      <c r="F21" s="11"/>
      <c r="G21" s="11"/>
      <c r="H21" s="12"/>
      <c r="I21" s="27"/>
      <c r="J21" s="40"/>
      <c r="K21" s="27">
        <f t="shared" si="0"/>
        <v>16.5</v>
      </c>
    </row>
    <row r="22" s="2" customFormat="1" ht="21.75" customHeight="1" spans="1:11">
      <c r="A22" s="39"/>
      <c r="B22" s="39"/>
      <c r="C22" s="27" t="s">
        <v>240</v>
      </c>
      <c r="D22" s="11">
        <v>11.5</v>
      </c>
      <c r="E22" s="11">
        <v>5</v>
      </c>
      <c r="F22" s="11"/>
      <c r="G22" s="11"/>
      <c r="H22" s="12"/>
      <c r="I22" s="27"/>
      <c r="J22" s="40"/>
      <c r="K22" s="27">
        <f t="shared" si="0"/>
        <v>16.5</v>
      </c>
    </row>
    <row r="23" s="2" customFormat="1" ht="21.75" customHeight="1" spans="1:11">
      <c r="A23" s="12" t="s">
        <v>230</v>
      </c>
      <c r="B23" s="12">
        <v>10.5</v>
      </c>
      <c r="C23" s="27" t="s">
        <v>231</v>
      </c>
      <c r="D23" s="11">
        <v>10.5</v>
      </c>
      <c r="E23" s="11">
        <v>10.5</v>
      </c>
      <c r="F23" s="11"/>
      <c r="G23" s="11"/>
      <c r="H23" s="27"/>
      <c r="I23" s="27"/>
      <c r="J23" s="40"/>
      <c r="K23" s="27">
        <f t="shared" si="0"/>
        <v>21</v>
      </c>
    </row>
    <row r="24" s="2" customFormat="1" ht="21.75" customHeight="1" spans="1:11">
      <c r="A24" s="27" t="s">
        <v>232</v>
      </c>
      <c r="B24" s="27">
        <v>12</v>
      </c>
      <c r="C24" s="27" t="s">
        <v>233</v>
      </c>
      <c r="D24" s="22">
        <v>12</v>
      </c>
      <c r="E24" s="22">
        <v>12</v>
      </c>
      <c r="F24" s="22"/>
      <c r="G24" s="22"/>
      <c r="H24" s="27"/>
      <c r="I24" s="27"/>
      <c r="J24" s="40"/>
      <c r="K24" s="27">
        <f t="shared" si="0"/>
        <v>24</v>
      </c>
    </row>
    <row r="25" s="2" customFormat="1" ht="21.75" customHeight="1" spans="1:11">
      <c r="A25" s="38"/>
      <c r="B25" s="41"/>
      <c r="C25" s="41"/>
      <c r="D25" s="41"/>
      <c r="E25" s="41"/>
      <c r="F25" s="41"/>
      <c r="G25" s="41"/>
      <c r="H25" s="41"/>
      <c r="I25" s="41"/>
      <c r="J25" s="40"/>
      <c r="K25" s="47">
        <f>SUM(K4:K24)</f>
        <v>604.5</v>
      </c>
    </row>
    <row r="28" s="1" customFormat="1" ht="21" customHeight="1" spans="1:11">
      <c r="A28" s="4" t="s">
        <v>431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="1" customFormat="1" ht="21" customHeight="1" spans="1:11">
      <c r="A29" s="5" t="s">
        <v>235</v>
      </c>
      <c r="B29" s="5"/>
      <c r="C29" s="5"/>
      <c r="D29" s="5" t="s">
        <v>433</v>
      </c>
      <c r="E29" s="5"/>
      <c r="F29" s="5"/>
      <c r="G29" s="5"/>
      <c r="H29" s="5"/>
      <c r="I29" s="5"/>
      <c r="J29" s="5"/>
      <c r="K29" s="5"/>
    </row>
    <row r="30" s="1" customFormat="1" ht="21" customHeight="1" spans="1:11">
      <c r="A30" s="6" t="s">
        <v>200</v>
      </c>
      <c r="B30" s="6" t="s">
        <v>201</v>
      </c>
      <c r="C30" s="7" t="s">
        <v>202</v>
      </c>
      <c r="D30" s="8" t="s">
        <v>6</v>
      </c>
      <c r="E30" s="8" t="s">
        <v>6</v>
      </c>
      <c r="F30" s="6" t="s">
        <v>6</v>
      </c>
      <c r="G30" s="6" t="s">
        <v>6</v>
      </c>
      <c r="H30" s="6" t="s">
        <v>6</v>
      </c>
      <c r="I30" s="6" t="s">
        <v>6</v>
      </c>
      <c r="J30" s="6" t="s">
        <v>203</v>
      </c>
      <c r="K30" s="6" t="s">
        <v>204</v>
      </c>
    </row>
    <row r="31" s="1" customFormat="1" ht="21" customHeight="1" spans="1:11">
      <c r="A31" s="9" t="s">
        <v>205</v>
      </c>
      <c r="B31" s="9">
        <v>12</v>
      </c>
      <c r="C31" s="10" t="s">
        <v>206</v>
      </c>
      <c r="D31" s="11">
        <v>12</v>
      </c>
      <c r="E31" s="11">
        <v>12</v>
      </c>
      <c r="F31" s="11">
        <v>12</v>
      </c>
      <c r="G31" s="11"/>
      <c r="H31" s="26"/>
      <c r="I31" s="9"/>
      <c r="J31" s="9"/>
      <c r="K31" s="13">
        <f t="shared" ref="K31:K51" si="1">SUM(D31:J31)</f>
        <v>36</v>
      </c>
    </row>
    <row r="32" s="1" customFormat="1" ht="21" customHeight="1" spans="1:11">
      <c r="A32" s="14" t="s">
        <v>207</v>
      </c>
      <c r="B32" s="9">
        <v>11.5</v>
      </c>
      <c r="C32" s="15" t="s">
        <v>208</v>
      </c>
      <c r="D32" s="11">
        <v>30</v>
      </c>
      <c r="E32" s="11">
        <v>30</v>
      </c>
      <c r="F32" s="11">
        <v>30</v>
      </c>
      <c r="G32" s="11"/>
      <c r="H32" s="26"/>
      <c r="I32" s="9"/>
      <c r="J32" s="9"/>
      <c r="K32" s="13">
        <f t="shared" si="1"/>
        <v>90</v>
      </c>
    </row>
    <row r="33" s="1" customFormat="1" ht="21" customHeight="1" spans="1:11">
      <c r="A33" s="14"/>
      <c r="B33" s="9"/>
      <c r="C33" s="15" t="s">
        <v>210</v>
      </c>
      <c r="D33" s="11">
        <v>26.5</v>
      </c>
      <c r="E33" s="11">
        <v>26.5</v>
      </c>
      <c r="F33" s="11">
        <v>26.5</v>
      </c>
      <c r="G33" s="11"/>
      <c r="H33" s="26"/>
      <c r="I33" s="9"/>
      <c r="J33" s="9"/>
      <c r="K33" s="13">
        <f t="shared" si="1"/>
        <v>79.5</v>
      </c>
    </row>
    <row r="34" s="1" customFormat="1" ht="21" customHeight="1" spans="1:11">
      <c r="A34" s="16" t="s">
        <v>237</v>
      </c>
      <c r="B34" s="13">
        <v>11.5</v>
      </c>
      <c r="C34" s="17" t="s">
        <v>212</v>
      </c>
      <c r="D34" s="11">
        <v>23</v>
      </c>
      <c r="E34" s="11">
        <v>11.5</v>
      </c>
      <c r="F34" s="11">
        <v>11.5</v>
      </c>
      <c r="G34" s="11"/>
      <c r="H34" s="26"/>
      <c r="I34" s="9"/>
      <c r="J34" s="9"/>
      <c r="K34" s="13">
        <f t="shared" si="1"/>
        <v>46</v>
      </c>
    </row>
    <row r="35" s="1" customFormat="1" ht="21" customHeight="1" spans="1:11">
      <c r="A35" s="18"/>
      <c r="B35" s="13"/>
      <c r="C35" s="1" t="s">
        <v>215</v>
      </c>
      <c r="D35" s="11">
        <v>23</v>
      </c>
      <c r="E35" s="11">
        <v>23</v>
      </c>
      <c r="F35" s="11">
        <v>23</v>
      </c>
      <c r="G35" s="11"/>
      <c r="H35" s="26"/>
      <c r="I35" s="9"/>
      <c r="J35" s="9"/>
      <c r="K35" s="13">
        <f t="shared" si="1"/>
        <v>69</v>
      </c>
    </row>
    <row r="36" s="1" customFormat="1" ht="21" customHeight="1" spans="1:11">
      <c r="A36" s="19" t="s">
        <v>238</v>
      </c>
      <c r="B36" s="13"/>
      <c r="C36" s="17" t="s">
        <v>213</v>
      </c>
      <c r="D36" s="11">
        <v>23</v>
      </c>
      <c r="E36" s="11">
        <v>23</v>
      </c>
      <c r="F36" s="11">
        <v>23</v>
      </c>
      <c r="G36" s="11"/>
      <c r="H36" s="26"/>
      <c r="I36" s="9"/>
      <c r="J36" s="9"/>
      <c r="K36" s="13">
        <f t="shared" si="1"/>
        <v>69</v>
      </c>
    </row>
    <row r="37" s="1" customFormat="1" ht="21" customHeight="1" spans="1:11">
      <c r="A37" s="20"/>
      <c r="B37" s="13"/>
      <c r="C37" s="17" t="s">
        <v>216</v>
      </c>
      <c r="D37" s="11">
        <v>23</v>
      </c>
      <c r="E37" s="11">
        <v>23</v>
      </c>
      <c r="F37" s="11">
        <v>23</v>
      </c>
      <c r="G37" s="11"/>
      <c r="H37" s="26"/>
      <c r="I37" s="26"/>
      <c r="J37" s="9"/>
      <c r="K37" s="13">
        <f t="shared" si="1"/>
        <v>69</v>
      </c>
    </row>
    <row r="38" s="1" customFormat="1" ht="21" customHeight="1" spans="1:11">
      <c r="A38" s="21" t="s">
        <v>239</v>
      </c>
      <c r="B38" s="13"/>
      <c r="C38" s="13" t="s">
        <v>214</v>
      </c>
      <c r="D38" s="11">
        <v>21.5</v>
      </c>
      <c r="E38" s="11">
        <v>11.5</v>
      </c>
      <c r="F38" s="11">
        <v>11.5</v>
      </c>
      <c r="G38" s="11"/>
      <c r="H38" s="26"/>
      <c r="I38" s="26"/>
      <c r="J38" s="9"/>
      <c r="K38" s="13">
        <f t="shared" si="1"/>
        <v>44.5</v>
      </c>
    </row>
    <row r="39" s="1" customFormat="1" ht="21" customHeight="1" spans="1:11">
      <c r="A39" s="9" t="s">
        <v>217</v>
      </c>
      <c r="B39" s="9">
        <v>10.5</v>
      </c>
      <c r="C39" s="9" t="s">
        <v>218</v>
      </c>
      <c r="D39" s="22">
        <v>21</v>
      </c>
      <c r="E39" s="22">
        <v>20</v>
      </c>
      <c r="F39" s="22">
        <v>20</v>
      </c>
      <c r="G39" s="22"/>
      <c r="H39" s="26"/>
      <c r="I39" s="9"/>
      <c r="J39" s="9"/>
      <c r="K39" s="13">
        <f t="shared" si="1"/>
        <v>61</v>
      </c>
    </row>
    <row r="40" s="1" customFormat="1" ht="21" customHeight="1" spans="1:11">
      <c r="A40" s="9"/>
      <c r="B40" s="9"/>
      <c r="C40" s="9" t="s">
        <v>219</v>
      </c>
      <c r="D40" s="11">
        <v>21</v>
      </c>
      <c r="E40" s="11">
        <v>20</v>
      </c>
      <c r="F40" s="11">
        <v>20</v>
      </c>
      <c r="G40" s="11"/>
      <c r="H40" s="26"/>
      <c r="I40" s="9"/>
      <c r="J40" s="9"/>
      <c r="K40" s="13">
        <f t="shared" si="1"/>
        <v>61</v>
      </c>
    </row>
    <row r="41" s="1" customFormat="1" ht="21" customHeight="1" spans="1:11">
      <c r="A41" s="9" t="s">
        <v>220</v>
      </c>
      <c r="B41" s="9">
        <v>11.5</v>
      </c>
      <c r="C41" s="15" t="s">
        <v>221</v>
      </c>
      <c r="D41" s="11">
        <v>28</v>
      </c>
      <c r="E41" s="11">
        <v>28</v>
      </c>
      <c r="F41" s="11">
        <v>28</v>
      </c>
      <c r="G41" s="11"/>
      <c r="H41" s="26"/>
      <c r="I41" s="9"/>
      <c r="J41" s="9"/>
      <c r="K41" s="13">
        <f t="shared" si="1"/>
        <v>84</v>
      </c>
    </row>
    <row r="42" s="1" customFormat="1" ht="21" customHeight="1" spans="1:11">
      <c r="A42" s="9"/>
      <c r="B42" s="9"/>
      <c r="C42" s="15" t="s">
        <v>222</v>
      </c>
      <c r="D42" s="11">
        <v>18</v>
      </c>
      <c r="E42" s="11">
        <v>18</v>
      </c>
      <c r="F42" s="11">
        <v>18</v>
      </c>
      <c r="G42" s="11"/>
      <c r="H42" s="26"/>
      <c r="I42" s="9"/>
      <c r="J42" s="9"/>
      <c r="K42" s="13">
        <f t="shared" si="1"/>
        <v>54</v>
      </c>
    </row>
    <row r="43" s="1" customFormat="1" ht="21" customHeight="1" spans="1:11">
      <c r="A43" s="9"/>
      <c r="B43" s="9"/>
      <c r="C43" s="15" t="s">
        <v>223</v>
      </c>
      <c r="D43" s="23">
        <v>41</v>
      </c>
      <c r="E43" s="23">
        <v>41</v>
      </c>
      <c r="F43" s="23">
        <v>41</v>
      </c>
      <c r="G43" s="23"/>
      <c r="H43" s="26"/>
      <c r="I43" s="9"/>
      <c r="J43" s="9"/>
      <c r="K43" s="13">
        <f t="shared" si="1"/>
        <v>123</v>
      </c>
    </row>
    <row r="44" s="1" customFormat="1" ht="21" customHeight="1" spans="1:11">
      <c r="A44" s="9"/>
      <c r="B44" s="9"/>
      <c r="C44" s="15" t="s">
        <v>224</v>
      </c>
      <c r="D44" s="24">
        <v>155.7</v>
      </c>
      <c r="E44" s="24">
        <v>159</v>
      </c>
      <c r="F44" s="24">
        <v>155</v>
      </c>
      <c r="G44" s="24"/>
      <c r="H44" s="26"/>
      <c r="I44" s="9"/>
      <c r="J44" s="9"/>
      <c r="K44" s="13">
        <f t="shared" si="1"/>
        <v>469.7</v>
      </c>
    </row>
    <row r="45" s="1" customFormat="1" ht="21" customHeight="1" spans="1:11">
      <c r="A45" s="25" t="s">
        <v>225</v>
      </c>
      <c r="B45" s="25">
        <v>10.5</v>
      </c>
      <c r="C45" s="9" t="s">
        <v>226</v>
      </c>
      <c r="D45" s="11">
        <v>25</v>
      </c>
      <c r="E45" s="11">
        <v>25</v>
      </c>
      <c r="F45" s="11">
        <v>25</v>
      </c>
      <c r="G45" s="11"/>
      <c r="H45" s="26"/>
      <c r="I45" s="9"/>
      <c r="J45" s="9"/>
      <c r="K45" s="13">
        <f t="shared" si="1"/>
        <v>75</v>
      </c>
    </row>
    <row r="46" s="1" customFormat="1" ht="21" customHeight="1" spans="1:11">
      <c r="A46" s="25"/>
      <c r="B46" s="25"/>
      <c r="C46" s="9" t="s">
        <v>228</v>
      </c>
      <c r="D46" s="11">
        <v>50</v>
      </c>
      <c r="E46" s="11">
        <v>50</v>
      </c>
      <c r="F46" s="11">
        <v>50</v>
      </c>
      <c r="G46" s="11"/>
      <c r="H46" s="26"/>
      <c r="I46" s="9"/>
      <c r="J46" s="9"/>
      <c r="K46" s="13">
        <f t="shared" si="1"/>
        <v>150</v>
      </c>
    </row>
    <row r="47" s="1" customFormat="1" ht="21" customHeight="1" spans="1:11">
      <c r="A47" s="25"/>
      <c r="B47" s="25"/>
      <c r="C47" s="9" t="s">
        <v>227</v>
      </c>
      <c r="D47" s="11">
        <v>24.6</v>
      </c>
      <c r="E47" s="11">
        <v>24.5</v>
      </c>
      <c r="F47" s="11">
        <v>24.5</v>
      </c>
      <c r="G47" s="11"/>
      <c r="H47" s="26"/>
      <c r="I47" s="9"/>
      <c r="J47" s="9"/>
      <c r="K47" s="13">
        <f t="shared" si="1"/>
        <v>73.6</v>
      </c>
    </row>
    <row r="48" s="1" customFormat="1" ht="21" customHeight="1" spans="1:11">
      <c r="A48" s="25"/>
      <c r="B48" s="25"/>
      <c r="C48" s="9" t="s">
        <v>229</v>
      </c>
      <c r="D48" s="11">
        <v>24.6</v>
      </c>
      <c r="E48" s="11">
        <v>24.5</v>
      </c>
      <c r="F48" s="11">
        <v>24.5</v>
      </c>
      <c r="G48" s="11"/>
      <c r="H48" s="26"/>
      <c r="I48" s="9"/>
      <c r="J48" s="106"/>
      <c r="K48" s="13">
        <f t="shared" si="1"/>
        <v>73.6</v>
      </c>
    </row>
    <row r="49" s="1" customFormat="1" ht="21" customHeight="1" spans="1:11">
      <c r="A49" s="25"/>
      <c r="B49" s="25"/>
      <c r="C49" s="9" t="s">
        <v>240</v>
      </c>
      <c r="D49" s="11">
        <v>24.6</v>
      </c>
      <c r="E49" s="11">
        <v>24.5</v>
      </c>
      <c r="F49" s="11">
        <v>24.5</v>
      </c>
      <c r="G49" s="11"/>
      <c r="H49" s="26"/>
      <c r="I49" s="9"/>
      <c r="J49" s="106"/>
      <c r="K49" s="13">
        <f t="shared" si="1"/>
        <v>73.6</v>
      </c>
    </row>
    <row r="50" s="1" customFormat="1" ht="21" customHeight="1" spans="1:11">
      <c r="A50" s="26" t="s">
        <v>230</v>
      </c>
      <c r="B50" s="26">
        <v>10.5</v>
      </c>
      <c r="C50" s="9" t="s">
        <v>231</v>
      </c>
      <c r="D50" s="11">
        <v>10.5</v>
      </c>
      <c r="E50" s="11">
        <v>10.5</v>
      </c>
      <c r="F50" s="11">
        <v>10.5</v>
      </c>
      <c r="G50" s="11"/>
      <c r="H50" s="9"/>
      <c r="I50" s="9"/>
      <c r="J50" s="106"/>
      <c r="K50" s="13">
        <f t="shared" si="1"/>
        <v>31.5</v>
      </c>
    </row>
    <row r="51" s="1" customFormat="1" ht="21" customHeight="1" spans="1:11">
      <c r="A51" s="26" t="s">
        <v>232</v>
      </c>
      <c r="B51" s="26">
        <v>12</v>
      </c>
      <c r="C51" s="26" t="s">
        <v>233</v>
      </c>
      <c r="D51" s="22">
        <v>12</v>
      </c>
      <c r="E51" s="22">
        <v>12</v>
      </c>
      <c r="F51" s="22">
        <v>12</v>
      </c>
      <c r="G51" s="146"/>
      <c r="H51" s="26"/>
      <c r="I51" s="26"/>
      <c r="J51" s="107"/>
      <c r="K51" s="28">
        <f t="shared" si="1"/>
        <v>36</v>
      </c>
    </row>
    <row r="52" s="1" customFormat="1" ht="21" customHeight="1" spans="1:11">
      <c r="A52" s="17"/>
      <c r="B52" s="29"/>
      <c r="C52" s="29"/>
      <c r="D52" s="30"/>
      <c r="E52" s="30"/>
      <c r="F52" s="30"/>
      <c r="G52" s="29"/>
      <c r="H52" s="29"/>
      <c r="I52" s="29"/>
      <c r="J52" s="29"/>
      <c r="K52" s="31">
        <f>SUM(K31:K51)</f>
        <v>1869</v>
      </c>
    </row>
    <row r="56" ht="26" customHeight="1" spans="1:11">
      <c r="A56" s="42" t="s">
        <v>431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ht="26" customHeight="1" spans="1:11">
      <c r="A57" s="70" t="s">
        <v>257</v>
      </c>
      <c r="B57" s="27"/>
      <c r="C57" s="27"/>
      <c r="D57" s="37" t="s">
        <v>434</v>
      </c>
      <c r="E57" s="36"/>
      <c r="F57" s="36"/>
      <c r="G57" s="36"/>
      <c r="H57" s="36"/>
      <c r="I57" s="36"/>
      <c r="J57" s="36"/>
      <c r="K57" s="36"/>
    </row>
    <row r="58" ht="26" customHeight="1" spans="1:11">
      <c r="A58" s="27" t="s">
        <v>200</v>
      </c>
      <c r="B58" s="27" t="s">
        <v>201</v>
      </c>
      <c r="C58" s="38" t="s">
        <v>202</v>
      </c>
      <c r="D58" s="12" t="s">
        <v>6</v>
      </c>
      <c r="E58" s="12" t="s">
        <v>6</v>
      </c>
      <c r="F58" s="27" t="s">
        <v>6</v>
      </c>
      <c r="G58" s="27" t="s">
        <v>6</v>
      </c>
      <c r="H58" s="27" t="s">
        <v>6</v>
      </c>
      <c r="I58" s="27" t="s">
        <v>6</v>
      </c>
      <c r="J58" s="27" t="s">
        <v>203</v>
      </c>
      <c r="K58" s="27" t="s">
        <v>204</v>
      </c>
    </row>
    <row r="59" ht="26" customHeight="1" spans="1:11">
      <c r="A59" s="27" t="s">
        <v>205</v>
      </c>
      <c r="B59" s="27">
        <v>12</v>
      </c>
      <c r="C59" s="38" t="s">
        <v>206</v>
      </c>
      <c r="D59" s="12">
        <v>12</v>
      </c>
      <c r="E59" s="12">
        <v>12</v>
      </c>
      <c r="F59" s="12">
        <v>12</v>
      </c>
      <c r="G59" s="12">
        <v>20</v>
      </c>
      <c r="H59" s="12">
        <v>20</v>
      </c>
      <c r="I59" s="12"/>
      <c r="J59" s="12"/>
      <c r="K59" s="27">
        <f t="shared" ref="K59:K79" si="2">SUM(D59:J59)</f>
        <v>76</v>
      </c>
    </row>
    <row r="60" ht="26" customHeight="1" spans="1:11">
      <c r="A60" s="21" t="s">
        <v>207</v>
      </c>
      <c r="B60" s="27">
        <v>11.5</v>
      </c>
      <c r="C60" s="38" t="s">
        <v>208</v>
      </c>
      <c r="D60" s="12">
        <v>17.5</v>
      </c>
      <c r="E60" s="12">
        <v>17.5</v>
      </c>
      <c r="F60" s="12">
        <v>17.5</v>
      </c>
      <c r="G60" s="12">
        <v>20</v>
      </c>
      <c r="H60" s="12">
        <v>20</v>
      </c>
      <c r="I60" s="12"/>
      <c r="J60" s="12"/>
      <c r="K60" s="27">
        <f t="shared" si="2"/>
        <v>92.5</v>
      </c>
    </row>
    <row r="61" ht="26" customHeight="1" spans="1:11">
      <c r="A61" s="21"/>
      <c r="B61" s="27"/>
      <c r="C61" s="38" t="s">
        <v>210</v>
      </c>
      <c r="D61" s="12">
        <v>17.5</v>
      </c>
      <c r="E61" s="12">
        <v>17.5</v>
      </c>
      <c r="F61" s="12">
        <v>17.5</v>
      </c>
      <c r="G61" s="12">
        <v>20</v>
      </c>
      <c r="H61" s="12">
        <v>20</v>
      </c>
      <c r="I61" s="12"/>
      <c r="J61" s="12"/>
      <c r="K61" s="27">
        <f t="shared" si="2"/>
        <v>92.5</v>
      </c>
    </row>
    <row r="62" ht="26" customHeight="1" spans="1:11">
      <c r="A62" s="16" t="s">
        <v>237</v>
      </c>
      <c r="B62" s="13">
        <v>11.5</v>
      </c>
      <c r="C62" s="17" t="s">
        <v>212</v>
      </c>
      <c r="D62" s="27">
        <v>10</v>
      </c>
      <c r="E62" s="27">
        <v>10</v>
      </c>
      <c r="F62" s="27">
        <v>10</v>
      </c>
      <c r="G62" s="12">
        <v>20</v>
      </c>
      <c r="H62" s="12">
        <v>10</v>
      </c>
      <c r="I62" s="27"/>
      <c r="J62" s="12"/>
      <c r="K62" s="27">
        <f t="shared" si="2"/>
        <v>60</v>
      </c>
    </row>
    <row r="63" ht="26" customHeight="1" spans="1:11">
      <c r="A63" s="18"/>
      <c r="B63" s="13"/>
      <c r="C63" s="1" t="s">
        <v>215</v>
      </c>
      <c r="D63" s="27">
        <v>11.5</v>
      </c>
      <c r="E63" s="27">
        <v>11.5</v>
      </c>
      <c r="F63" s="27">
        <v>11.5</v>
      </c>
      <c r="G63" s="12">
        <v>0</v>
      </c>
      <c r="H63" s="12">
        <v>0</v>
      </c>
      <c r="I63" s="12"/>
      <c r="J63" s="12"/>
      <c r="K63" s="27">
        <f t="shared" si="2"/>
        <v>34.5</v>
      </c>
    </row>
    <row r="64" ht="26" customHeight="1" spans="1:11">
      <c r="A64" s="19" t="s">
        <v>238</v>
      </c>
      <c r="B64" s="13"/>
      <c r="C64" s="17" t="s">
        <v>213</v>
      </c>
      <c r="D64" s="27">
        <v>10</v>
      </c>
      <c r="E64" s="27">
        <v>10</v>
      </c>
      <c r="F64" s="27">
        <v>10</v>
      </c>
      <c r="G64" s="12">
        <v>20</v>
      </c>
      <c r="H64" s="12">
        <v>10</v>
      </c>
      <c r="I64" s="27"/>
      <c r="J64" s="12"/>
      <c r="K64" s="27">
        <f t="shared" si="2"/>
        <v>60</v>
      </c>
    </row>
    <row r="65" ht="26" customHeight="1" spans="1:11">
      <c r="A65" s="20"/>
      <c r="B65" s="13"/>
      <c r="C65" s="17" t="s">
        <v>216</v>
      </c>
      <c r="D65" s="27">
        <v>10</v>
      </c>
      <c r="E65" s="27">
        <v>10</v>
      </c>
      <c r="F65" s="27">
        <v>10</v>
      </c>
      <c r="G65" s="12">
        <v>0</v>
      </c>
      <c r="H65" s="12">
        <v>0</v>
      </c>
      <c r="I65" s="27"/>
      <c r="J65" s="12"/>
      <c r="K65" s="27">
        <f t="shared" si="2"/>
        <v>30</v>
      </c>
    </row>
    <row r="66" ht="26" customHeight="1" spans="1:11">
      <c r="A66" s="21" t="s">
        <v>239</v>
      </c>
      <c r="B66" s="13"/>
      <c r="C66" s="13" t="s">
        <v>214</v>
      </c>
      <c r="D66" s="27">
        <v>11.5</v>
      </c>
      <c r="E66" s="27">
        <v>11.5</v>
      </c>
      <c r="F66" s="27">
        <v>11.5</v>
      </c>
      <c r="G66" s="12">
        <v>0</v>
      </c>
      <c r="H66" s="12">
        <v>10</v>
      </c>
      <c r="I66" s="12"/>
      <c r="J66" s="12"/>
      <c r="K66" s="27">
        <f t="shared" si="2"/>
        <v>44.5</v>
      </c>
    </row>
    <row r="67" ht="26" customHeight="1" spans="1:11">
      <c r="A67" s="27" t="s">
        <v>217</v>
      </c>
      <c r="B67" s="27">
        <v>10.5</v>
      </c>
      <c r="C67" s="27" t="s">
        <v>218</v>
      </c>
      <c r="D67" s="27">
        <v>10</v>
      </c>
      <c r="E67" s="27">
        <v>10</v>
      </c>
      <c r="F67" s="27">
        <v>10</v>
      </c>
      <c r="G67" s="12">
        <v>0</v>
      </c>
      <c r="H67" s="12">
        <v>10</v>
      </c>
      <c r="I67" s="27"/>
      <c r="J67" s="12"/>
      <c r="K67" s="27">
        <f t="shared" si="2"/>
        <v>40</v>
      </c>
    </row>
    <row r="68" ht="26" customHeight="1" spans="1:11">
      <c r="A68" s="27"/>
      <c r="B68" s="27"/>
      <c r="C68" s="27" t="s">
        <v>219</v>
      </c>
      <c r="D68" s="27">
        <v>10</v>
      </c>
      <c r="E68" s="27">
        <v>10</v>
      </c>
      <c r="F68" s="27">
        <v>10</v>
      </c>
      <c r="G68" s="12">
        <v>0</v>
      </c>
      <c r="H68" s="12">
        <v>0</v>
      </c>
      <c r="I68" s="27"/>
      <c r="J68" s="12"/>
      <c r="K68" s="27">
        <f t="shared" si="2"/>
        <v>30</v>
      </c>
    </row>
    <row r="69" ht="26" customHeight="1" spans="1:11">
      <c r="A69" s="27" t="s">
        <v>220</v>
      </c>
      <c r="B69" s="27">
        <v>11.5</v>
      </c>
      <c r="C69" s="38" t="s">
        <v>221</v>
      </c>
      <c r="D69" s="12">
        <v>29</v>
      </c>
      <c r="E69" s="12">
        <v>28</v>
      </c>
      <c r="F69" s="12">
        <v>15</v>
      </c>
      <c r="G69" s="12">
        <v>10</v>
      </c>
      <c r="H69" s="12">
        <v>10</v>
      </c>
      <c r="I69" s="12"/>
      <c r="J69" s="12"/>
      <c r="K69" s="27">
        <f t="shared" si="2"/>
        <v>92</v>
      </c>
    </row>
    <row r="70" ht="26" customHeight="1" spans="1:11">
      <c r="A70" s="27"/>
      <c r="B70" s="27"/>
      <c r="C70" s="38" t="s">
        <v>222</v>
      </c>
      <c r="D70" s="12">
        <v>9</v>
      </c>
      <c r="E70" s="12">
        <v>10</v>
      </c>
      <c r="F70" s="12">
        <v>10</v>
      </c>
      <c r="G70" s="12">
        <v>10</v>
      </c>
      <c r="H70" s="12">
        <v>10</v>
      </c>
      <c r="I70" s="12"/>
      <c r="J70" s="12"/>
      <c r="K70" s="27">
        <f t="shared" si="2"/>
        <v>49</v>
      </c>
    </row>
    <row r="71" ht="26" customHeight="1" spans="1:11">
      <c r="A71" s="27"/>
      <c r="B71" s="27"/>
      <c r="C71" s="38" t="s">
        <v>223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/>
      <c r="J71" s="12"/>
      <c r="K71" s="27">
        <f t="shared" si="2"/>
        <v>0</v>
      </c>
    </row>
    <row r="72" ht="26" customHeight="1" spans="1:11">
      <c r="A72" s="27"/>
      <c r="B72" s="27"/>
      <c r="C72" s="38" t="s">
        <v>224</v>
      </c>
      <c r="D72" s="12">
        <v>10</v>
      </c>
      <c r="E72" s="12">
        <v>10</v>
      </c>
      <c r="F72" s="12">
        <v>10</v>
      </c>
      <c r="G72" s="12">
        <v>0</v>
      </c>
      <c r="H72" s="12">
        <v>0</v>
      </c>
      <c r="I72" s="12"/>
      <c r="J72" s="12"/>
      <c r="K72" s="27">
        <f t="shared" si="2"/>
        <v>30</v>
      </c>
    </row>
    <row r="73" ht="26" customHeight="1" spans="1:11">
      <c r="A73" s="39" t="s">
        <v>225</v>
      </c>
      <c r="B73" s="39">
        <v>10.5</v>
      </c>
      <c r="C73" s="27" t="s">
        <v>226</v>
      </c>
      <c r="D73" s="12">
        <v>12</v>
      </c>
      <c r="E73" s="12">
        <v>12</v>
      </c>
      <c r="F73" s="12">
        <v>12</v>
      </c>
      <c r="G73" s="12">
        <v>20</v>
      </c>
      <c r="H73" s="12">
        <v>0</v>
      </c>
      <c r="I73" s="12"/>
      <c r="J73" s="12"/>
      <c r="K73" s="27">
        <f t="shared" si="2"/>
        <v>56</v>
      </c>
    </row>
    <row r="74" ht="26" customHeight="1" spans="1:11">
      <c r="A74" s="39"/>
      <c r="B74" s="39"/>
      <c r="C74" s="27" t="s">
        <v>228</v>
      </c>
      <c r="D74" s="12">
        <v>10</v>
      </c>
      <c r="E74" s="12">
        <v>10</v>
      </c>
      <c r="F74" s="12">
        <v>10</v>
      </c>
      <c r="G74" s="12">
        <v>0</v>
      </c>
      <c r="H74" s="12">
        <v>10</v>
      </c>
      <c r="I74" s="12"/>
      <c r="J74" s="12"/>
      <c r="K74" s="27">
        <f t="shared" si="2"/>
        <v>40</v>
      </c>
    </row>
    <row r="75" ht="26" customHeight="1" spans="1:11">
      <c r="A75" s="39"/>
      <c r="B75" s="39"/>
      <c r="C75" s="27" t="s">
        <v>289</v>
      </c>
      <c r="D75" s="12">
        <v>5</v>
      </c>
      <c r="E75" s="12">
        <v>5</v>
      </c>
      <c r="F75" s="12">
        <v>5</v>
      </c>
      <c r="G75" s="12">
        <v>0</v>
      </c>
      <c r="H75" s="12">
        <v>10</v>
      </c>
      <c r="I75" s="12"/>
      <c r="J75" s="12"/>
      <c r="K75" s="27">
        <f t="shared" si="2"/>
        <v>25</v>
      </c>
    </row>
    <row r="76" ht="26" customHeight="1" spans="1:11">
      <c r="A76" s="39"/>
      <c r="B76" s="39"/>
      <c r="C76" s="27" t="s">
        <v>229</v>
      </c>
      <c r="D76" s="12">
        <v>8</v>
      </c>
      <c r="E76" s="12">
        <v>8</v>
      </c>
      <c r="F76" s="12">
        <v>8</v>
      </c>
      <c r="G76" s="12">
        <v>10</v>
      </c>
      <c r="H76" s="12">
        <v>10</v>
      </c>
      <c r="I76" s="12"/>
      <c r="J76" s="12"/>
      <c r="K76" s="27">
        <f t="shared" si="2"/>
        <v>44</v>
      </c>
    </row>
    <row r="77" ht="26" customHeight="1" spans="1:11">
      <c r="A77" s="39"/>
      <c r="B77" s="39"/>
      <c r="C77" s="27" t="s">
        <v>240</v>
      </c>
      <c r="D77" s="12">
        <v>8</v>
      </c>
      <c r="E77" s="12">
        <v>8</v>
      </c>
      <c r="F77" s="12">
        <v>8</v>
      </c>
      <c r="G77" s="12">
        <v>10</v>
      </c>
      <c r="H77" s="12">
        <v>10</v>
      </c>
      <c r="I77" s="12"/>
      <c r="J77" s="12"/>
      <c r="K77" s="27">
        <f t="shared" si="2"/>
        <v>44</v>
      </c>
    </row>
    <row r="78" ht="26" customHeight="1" spans="1:11">
      <c r="A78" s="12" t="s">
        <v>230</v>
      </c>
      <c r="B78" s="12">
        <v>10.5</v>
      </c>
      <c r="C78" s="27" t="s">
        <v>231</v>
      </c>
      <c r="D78" s="27">
        <v>10.5</v>
      </c>
      <c r="E78" s="27">
        <v>10.5</v>
      </c>
      <c r="F78" s="27">
        <v>10.5</v>
      </c>
      <c r="G78" s="27">
        <v>10.5</v>
      </c>
      <c r="H78" s="27">
        <v>10.5</v>
      </c>
      <c r="I78" s="12"/>
      <c r="J78" s="27"/>
      <c r="K78" s="27">
        <f t="shared" si="2"/>
        <v>52.5</v>
      </c>
    </row>
    <row r="79" ht="26" customHeight="1" spans="1:11">
      <c r="A79" s="27" t="s">
        <v>232</v>
      </c>
      <c r="B79" s="27">
        <v>12</v>
      </c>
      <c r="C79" s="27" t="s">
        <v>233</v>
      </c>
      <c r="D79" s="27">
        <v>12</v>
      </c>
      <c r="E79" s="27">
        <v>12</v>
      </c>
      <c r="F79" s="27">
        <v>12</v>
      </c>
      <c r="G79" s="27">
        <v>12</v>
      </c>
      <c r="H79" s="27">
        <v>12</v>
      </c>
      <c r="I79" s="27"/>
      <c r="J79" s="27"/>
      <c r="K79" s="27">
        <f t="shared" si="2"/>
        <v>60</v>
      </c>
    </row>
    <row r="80" ht="26" customHeight="1" spans="1:11">
      <c r="A80" s="38"/>
      <c r="B80" s="41"/>
      <c r="C80" s="41"/>
      <c r="D80" s="41"/>
      <c r="E80" s="41"/>
      <c r="F80" s="41"/>
      <c r="G80" s="41"/>
      <c r="H80" s="41">
        <f>SUM(H59:H79)</f>
        <v>182.5</v>
      </c>
      <c r="I80" s="41"/>
      <c r="J80" s="40"/>
      <c r="K80" s="27">
        <f>SUM(K59:K79)</f>
        <v>1052.5</v>
      </c>
    </row>
    <row r="84" s="3" customFormat="1" ht="21" customHeight="1" spans="1:11">
      <c r="A84" s="71" t="s">
        <v>435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s="3" customFormat="1" ht="21" customHeight="1" spans="1:11">
      <c r="A85" s="72" t="s">
        <v>247</v>
      </c>
      <c r="B85" s="72"/>
      <c r="C85" s="72"/>
      <c r="D85" s="73" t="s">
        <v>436</v>
      </c>
      <c r="E85" s="72"/>
      <c r="F85" s="72"/>
      <c r="G85" s="72"/>
      <c r="H85" s="72"/>
      <c r="I85" s="72"/>
      <c r="J85" s="72"/>
      <c r="K85" s="72"/>
    </row>
    <row r="86" s="3" customFormat="1" ht="21" customHeight="1" spans="1:11">
      <c r="A86" s="74" t="s">
        <v>200</v>
      </c>
      <c r="B86" s="74" t="s">
        <v>201</v>
      </c>
      <c r="C86" s="75" t="s">
        <v>202</v>
      </c>
      <c r="D86" s="76" t="s">
        <v>6</v>
      </c>
      <c r="E86" s="76" t="s">
        <v>6</v>
      </c>
      <c r="F86" s="74" t="s">
        <v>6</v>
      </c>
      <c r="G86" s="74" t="s">
        <v>6</v>
      </c>
      <c r="H86" s="74" t="s">
        <v>6</v>
      </c>
      <c r="I86" s="74" t="s">
        <v>6</v>
      </c>
      <c r="J86" s="74" t="s">
        <v>203</v>
      </c>
      <c r="K86" s="74" t="s">
        <v>204</v>
      </c>
    </row>
    <row r="87" s="3" customFormat="1" ht="21" customHeight="1" spans="1:11">
      <c r="A87" s="56" t="s">
        <v>205</v>
      </c>
      <c r="B87" s="56">
        <v>12</v>
      </c>
      <c r="C87" s="54" t="s">
        <v>206</v>
      </c>
      <c r="D87" s="55">
        <v>12</v>
      </c>
      <c r="E87" s="55">
        <v>12</v>
      </c>
      <c r="F87" s="55">
        <v>20</v>
      </c>
      <c r="G87" s="77"/>
      <c r="H87" s="77"/>
      <c r="I87" s="58"/>
      <c r="J87" s="47"/>
      <c r="K87" s="56">
        <f t="shared" ref="K87:K107" si="3">SUM(D87:J87)</f>
        <v>44</v>
      </c>
    </row>
    <row r="88" s="3" customFormat="1" ht="21" customHeight="1" spans="1:11">
      <c r="A88" s="78" t="s">
        <v>207</v>
      </c>
      <c r="B88" s="56">
        <v>11.5</v>
      </c>
      <c r="C88" s="61" t="s">
        <v>208</v>
      </c>
      <c r="D88" s="55">
        <v>17.5</v>
      </c>
      <c r="E88" s="55">
        <v>17.5</v>
      </c>
      <c r="F88" s="55">
        <v>25</v>
      </c>
      <c r="G88" s="77"/>
      <c r="H88" s="77"/>
      <c r="I88" s="58"/>
      <c r="J88" s="47"/>
      <c r="K88" s="56">
        <f t="shared" si="3"/>
        <v>60</v>
      </c>
    </row>
    <row r="89" s="3" customFormat="1" ht="21" customHeight="1" spans="1:11">
      <c r="A89" s="78"/>
      <c r="B89" s="56"/>
      <c r="C89" s="61" t="s">
        <v>210</v>
      </c>
      <c r="D89" s="55">
        <v>17.5</v>
      </c>
      <c r="E89" s="55">
        <v>17.5</v>
      </c>
      <c r="F89" s="55">
        <v>15</v>
      </c>
      <c r="G89" s="77"/>
      <c r="H89" s="77"/>
      <c r="I89" s="58"/>
      <c r="J89" s="47"/>
      <c r="K89" s="56">
        <f t="shared" si="3"/>
        <v>50</v>
      </c>
    </row>
    <row r="90" s="3" customFormat="1" ht="21" customHeight="1" spans="1:11">
      <c r="A90" s="79" t="s">
        <v>237</v>
      </c>
      <c r="B90" s="56">
        <v>11.5</v>
      </c>
      <c r="C90" s="61" t="s">
        <v>212</v>
      </c>
      <c r="D90" s="55">
        <v>20</v>
      </c>
      <c r="E90" s="55">
        <v>20</v>
      </c>
      <c r="F90" s="55">
        <v>15</v>
      </c>
      <c r="G90" s="77"/>
      <c r="H90" s="77"/>
      <c r="I90" s="58"/>
      <c r="J90" s="47"/>
      <c r="K90" s="56">
        <f t="shared" si="3"/>
        <v>55</v>
      </c>
    </row>
    <row r="91" s="3" customFormat="1" ht="21" customHeight="1" spans="1:11">
      <c r="A91" s="80"/>
      <c r="B91" s="56"/>
      <c r="C91" s="3" t="s">
        <v>215</v>
      </c>
      <c r="D91" s="55">
        <v>15</v>
      </c>
      <c r="E91" s="55">
        <v>15</v>
      </c>
      <c r="F91" s="55">
        <v>10</v>
      </c>
      <c r="G91" s="77"/>
      <c r="H91" s="77"/>
      <c r="I91" s="58"/>
      <c r="J91" s="47"/>
      <c r="K91" s="56">
        <f t="shared" si="3"/>
        <v>40</v>
      </c>
    </row>
    <row r="92" s="3" customFormat="1" ht="21" customHeight="1" spans="1:11">
      <c r="A92" s="81" t="s">
        <v>238</v>
      </c>
      <c r="B92" s="56"/>
      <c r="C92" s="61" t="s">
        <v>213</v>
      </c>
      <c r="D92" s="55">
        <v>15</v>
      </c>
      <c r="E92" s="55">
        <v>15</v>
      </c>
      <c r="F92" s="55">
        <v>10</v>
      </c>
      <c r="G92" s="77"/>
      <c r="H92" s="77"/>
      <c r="I92" s="58"/>
      <c r="J92" s="47"/>
      <c r="K92" s="56">
        <f t="shared" si="3"/>
        <v>40</v>
      </c>
    </row>
    <row r="93" s="3" customFormat="1" ht="21" customHeight="1" spans="1:11">
      <c r="A93" s="82"/>
      <c r="B93" s="56"/>
      <c r="C93" s="61" t="s">
        <v>216</v>
      </c>
      <c r="D93" s="55">
        <v>15</v>
      </c>
      <c r="E93" s="55">
        <v>15</v>
      </c>
      <c r="F93" s="55">
        <v>10</v>
      </c>
      <c r="G93" s="77"/>
      <c r="H93" s="77"/>
      <c r="I93" s="83"/>
      <c r="J93" s="47"/>
      <c r="K93" s="56">
        <f t="shared" si="3"/>
        <v>40</v>
      </c>
    </row>
    <row r="94" s="3" customFormat="1" ht="21" customHeight="1" spans="1:11">
      <c r="A94" s="84" t="s">
        <v>239</v>
      </c>
      <c r="B94" s="56"/>
      <c r="C94" s="56" t="s">
        <v>214</v>
      </c>
      <c r="D94" s="55">
        <v>20</v>
      </c>
      <c r="E94" s="55">
        <v>20</v>
      </c>
      <c r="F94" s="55">
        <v>10</v>
      </c>
      <c r="G94" s="77"/>
      <c r="H94" s="77"/>
      <c r="I94" s="83"/>
      <c r="J94" s="47"/>
      <c r="K94" s="56">
        <f t="shared" si="3"/>
        <v>50</v>
      </c>
    </row>
    <row r="95" s="3" customFormat="1" ht="21" customHeight="1" spans="1:11">
      <c r="A95" s="56" t="s">
        <v>217</v>
      </c>
      <c r="B95" s="56">
        <v>10.5</v>
      </c>
      <c r="C95" s="56" t="s">
        <v>218</v>
      </c>
      <c r="D95" s="55">
        <v>15</v>
      </c>
      <c r="E95" s="55">
        <v>15</v>
      </c>
      <c r="F95" s="55">
        <v>10</v>
      </c>
      <c r="G95" s="77"/>
      <c r="H95" s="77"/>
      <c r="I95" s="58"/>
      <c r="J95" s="47"/>
      <c r="K95" s="56">
        <f t="shared" si="3"/>
        <v>40</v>
      </c>
    </row>
    <row r="96" s="3" customFormat="1" ht="21" customHeight="1" spans="1:11">
      <c r="A96" s="56"/>
      <c r="B96" s="56"/>
      <c r="C96" s="56" t="s">
        <v>219</v>
      </c>
      <c r="D96" s="55">
        <v>15</v>
      </c>
      <c r="E96" s="55">
        <v>15</v>
      </c>
      <c r="F96" s="55">
        <v>10</v>
      </c>
      <c r="G96" s="77"/>
      <c r="H96" s="77"/>
      <c r="I96" s="58"/>
      <c r="J96" s="47"/>
      <c r="K96" s="56">
        <f t="shared" si="3"/>
        <v>40</v>
      </c>
    </row>
    <row r="97" s="3" customFormat="1" ht="21" customHeight="1" spans="1:11">
      <c r="A97" s="56" t="s">
        <v>220</v>
      </c>
      <c r="B97" s="56">
        <v>11.5</v>
      </c>
      <c r="C97" s="61" t="s">
        <v>221</v>
      </c>
      <c r="D97" s="55">
        <v>48</v>
      </c>
      <c r="E97" s="55">
        <v>48</v>
      </c>
      <c r="F97" s="55">
        <v>10</v>
      </c>
      <c r="G97" s="77"/>
      <c r="H97" s="77"/>
      <c r="I97" s="58"/>
      <c r="J97" s="47"/>
      <c r="K97" s="56">
        <f t="shared" si="3"/>
        <v>106</v>
      </c>
    </row>
    <row r="98" s="3" customFormat="1" ht="21" customHeight="1" spans="1:11">
      <c r="A98" s="56"/>
      <c r="B98" s="56"/>
      <c r="C98" s="61" t="s">
        <v>222</v>
      </c>
      <c r="D98" s="47">
        <v>28</v>
      </c>
      <c r="E98" s="47">
        <v>26</v>
      </c>
      <c r="F98" s="55">
        <v>10</v>
      </c>
      <c r="G98" s="77"/>
      <c r="H98" s="77"/>
      <c r="I98" s="58"/>
      <c r="J98" s="47"/>
      <c r="K98" s="56">
        <f t="shared" si="3"/>
        <v>64</v>
      </c>
    </row>
    <row r="99" s="3" customFormat="1" ht="21" customHeight="1" spans="1:11">
      <c r="A99" s="56"/>
      <c r="B99" s="56"/>
      <c r="C99" s="61" t="s">
        <v>223</v>
      </c>
      <c r="D99" s="47">
        <v>26</v>
      </c>
      <c r="E99" s="47">
        <v>26</v>
      </c>
      <c r="F99" s="55">
        <v>10</v>
      </c>
      <c r="G99" s="77"/>
      <c r="H99" s="77"/>
      <c r="I99" s="58"/>
      <c r="J99" s="47"/>
      <c r="K99" s="56">
        <f t="shared" si="3"/>
        <v>62</v>
      </c>
    </row>
    <row r="100" s="3" customFormat="1" ht="21" customHeight="1" spans="1:11">
      <c r="A100" s="56"/>
      <c r="B100" s="56"/>
      <c r="C100" s="61" t="s">
        <v>224</v>
      </c>
      <c r="D100" s="47">
        <v>34</v>
      </c>
      <c r="E100" s="47">
        <v>34</v>
      </c>
      <c r="F100" s="55">
        <v>10</v>
      </c>
      <c r="G100" s="77"/>
      <c r="H100" s="77"/>
      <c r="I100" s="58"/>
      <c r="J100" s="47"/>
      <c r="K100" s="56">
        <f t="shared" si="3"/>
        <v>78</v>
      </c>
    </row>
    <row r="101" s="3" customFormat="1" ht="21" customHeight="1" spans="1:11">
      <c r="A101" s="85" t="s">
        <v>225</v>
      </c>
      <c r="B101" s="85">
        <v>10.5</v>
      </c>
      <c r="C101" s="56" t="s">
        <v>226</v>
      </c>
      <c r="D101" s="55">
        <v>50</v>
      </c>
      <c r="E101" s="55">
        <v>50</v>
      </c>
      <c r="F101" s="55">
        <v>10</v>
      </c>
      <c r="G101" s="77"/>
      <c r="H101" s="77"/>
      <c r="I101" s="58"/>
      <c r="J101" s="47"/>
      <c r="K101" s="56">
        <f t="shared" si="3"/>
        <v>110</v>
      </c>
    </row>
    <row r="102" s="3" customFormat="1" ht="21" customHeight="1" spans="1:11">
      <c r="A102" s="85"/>
      <c r="B102" s="85"/>
      <c r="C102" s="56" t="s">
        <v>228</v>
      </c>
      <c r="D102" s="55">
        <v>51</v>
      </c>
      <c r="E102" s="55">
        <v>51</v>
      </c>
      <c r="F102" s="55">
        <v>10</v>
      </c>
      <c r="G102" s="77"/>
      <c r="H102" s="77"/>
      <c r="I102" s="58"/>
      <c r="J102" s="47"/>
      <c r="K102" s="56">
        <f t="shared" si="3"/>
        <v>112</v>
      </c>
    </row>
    <row r="103" s="3" customFormat="1" ht="21" customHeight="1" spans="1:11">
      <c r="A103" s="85"/>
      <c r="B103" s="85"/>
      <c r="C103" s="56" t="s">
        <v>227</v>
      </c>
      <c r="D103" s="55">
        <v>34</v>
      </c>
      <c r="E103" s="55">
        <v>34</v>
      </c>
      <c r="F103" s="55">
        <v>10</v>
      </c>
      <c r="G103" s="77"/>
      <c r="H103" s="77"/>
      <c r="I103" s="58"/>
      <c r="J103" s="47"/>
      <c r="K103" s="56">
        <f t="shared" si="3"/>
        <v>78</v>
      </c>
    </row>
    <row r="104" s="3" customFormat="1" ht="21" customHeight="1" spans="1:11">
      <c r="A104" s="85"/>
      <c r="B104" s="85"/>
      <c r="C104" s="56" t="s">
        <v>229</v>
      </c>
      <c r="D104" s="55">
        <v>34</v>
      </c>
      <c r="E104" s="55">
        <v>34</v>
      </c>
      <c r="F104" s="55">
        <v>10</v>
      </c>
      <c r="G104" s="77"/>
      <c r="H104" s="77"/>
      <c r="I104" s="58"/>
      <c r="J104" s="58"/>
      <c r="K104" s="56">
        <f t="shared" si="3"/>
        <v>78</v>
      </c>
    </row>
    <row r="105" s="3" customFormat="1" ht="21" customHeight="1" spans="1:11">
      <c r="A105" s="85"/>
      <c r="B105" s="85"/>
      <c r="C105" s="56" t="s">
        <v>240</v>
      </c>
      <c r="D105" s="55">
        <v>34</v>
      </c>
      <c r="E105" s="55">
        <v>34</v>
      </c>
      <c r="F105" s="55">
        <v>10</v>
      </c>
      <c r="G105" s="77"/>
      <c r="H105" s="77"/>
      <c r="I105" s="58"/>
      <c r="J105" s="58"/>
      <c r="K105" s="56">
        <f t="shared" si="3"/>
        <v>78</v>
      </c>
    </row>
    <row r="106" s="3" customFormat="1" ht="21" customHeight="1" spans="1:11">
      <c r="A106" s="86" t="s">
        <v>230</v>
      </c>
      <c r="B106" s="86">
        <v>10.5</v>
      </c>
      <c r="C106" s="56" t="s">
        <v>231</v>
      </c>
      <c r="D106" s="55">
        <v>10.5</v>
      </c>
      <c r="E106" s="55">
        <v>10.5</v>
      </c>
      <c r="F106" s="55">
        <v>10.5</v>
      </c>
      <c r="G106" s="77"/>
      <c r="H106" s="77"/>
      <c r="I106" s="58"/>
      <c r="J106" s="58"/>
      <c r="K106" s="56">
        <f t="shared" si="3"/>
        <v>31.5</v>
      </c>
    </row>
    <row r="107" s="3" customFormat="1" ht="21" customHeight="1" spans="1:11">
      <c r="A107" s="56" t="s">
        <v>232</v>
      </c>
      <c r="B107" s="56">
        <v>12</v>
      </c>
      <c r="C107" s="56" t="s">
        <v>233</v>
      </c>
      <c r="D107" s="47">
        <v>12</v>
      </c>
      <c r="E107" s="47">
        <v>12</v>
      </c>
      <c r="F107" s="47">
        <v>10</v>
      </c>
      <c r="G107" s="77"/>
      <c r="H107" s="77"/>
      <c r="I107" s="58"/>
      <c r="J107" s="58"/>
      <c r="K107" s="56">
        <f t="shared" si="3"/>
        <v>34</v>
      </c>
    </row>
    <row r="108" s="3" customFormat="1" ht="21" customHeight="1" spans="1:11">
      <c r="A108" s="61"/>
      <c r="B108" s="87"/>
      <c r="C108" s="87"/>
      <c r="D108" s="65">
        <f t="shared" ref="D108:F108" si="4">SUM(D87:D107)</f>
        <v>523.5</v>
      </c>
      <c r="E108" s="65">
        <f t="shared" si="4"/>
        <v>521.5</v>
      </c>
      <c r="F108" s="65">
        <f t="shared" si="4"/>
        <v>245.5</v>
      </c>
      <c r="G108" s="65"/>
      <c r="H108" s="65"/>
      <c r="I108" s="65"/>
      <c r="J108" s="65"/>
      <c r="K108" s="47">
        <f>SUM(K87:K107)</f>
        <v>1290.5</v>
      </c>
    </row>
    <row r="111" s="3" customFormat="1" ht="21" customHeight="1" spans="1:11">
      <c r="A111" s="71" t="s">
        <v>435</v>
      </c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s="3" customFormat="1" ht="21" customHeight="1" spans="1:11">
      <c r="A112" s="72" t="s">
        <v>247</v>
      </c>
      <c r="B112" s="72"/>
      <c r="C112" s="72"/>
      <c r="D112" s="73" t="s">
        <v>437</v>
      </c>
      <c r="E112" s="72"/>
      <c r="F112" s="72"/>
      <c r="G112" s="72"/>
      <c r="H112" s="72"/>
      <c r="I112" s="72"/>
      <c r="J112" s="72"/>
      <c r="K112" s="72"/>
    </row>
    <row r="113" s="3" customFormat="1" ht="21" customHeight="1" spans="1:11">
      <c r="A113" s="74" t="s">
        <v>200</v>
      </c>
      <c r="B113" s="74" t="s">
        <v>201</v>
      </c>
      <c r="C113" s="75" t="s">
        <v>202</v>
      </c>
      <c r="D113" s="76" t="s">
        <v>6</v>
      </c>
      <c r="E113" s="76" t="s">
        <v>6</v>
      </c>
      <c r="F113" s="74" t="s">
        <v>6</v>
      </c>
      <c r="G113" s="74" t="s">
        <v>6</v>
      </c>
      <c r="H113" s="74" t="s">
        <v>6</v>
      </c>
      <c r="I113" s="74" t="s">
        <v>6</v>
      </c>
      <c r="J113" s="74" t="s">
        <v>203</v>
      </c>
      <c r="K113" s="74" t="s">
        <v>204</v>
      </c>
    </row>
    <row r="114" s="3" customFormat="1" ht="21" customHeight="1" spans="1:11">
      <c r="A114" s="56" t="s">
        <v>205</v>
      </c>
      <c r="B114" s="56">
        <v>12</v>
      </c>
      <c r="C114" s="54" t="s">
        <v>206</v>
      </c>
      <c r="D114" s="154">
        <v>12</v>
      </c>
      <c r="E114" s="154">
        <v>5</v>
      </c>
      <c r="F114" s="100"/>
      <c r="G114" s="77"/>
      <c r="H114" s="77"/>
      <c r="I114" s="58"/>
      <c r="J114" s="47"/>
      <c r="K114" s="56">
        <f t="shared" ref="K114:K135" si="5">SUM(D114:J114)</f>
        <v>17</v>
      </c>
    </row>
    <row r="115" s="3" customFormat="1" ht="21" customHeight="1" spans="1:11">
      <c r="A115" s="78" t="s">
        <v>207</v>
      </c>
      <c r="B115" s="56">
        <v>11.5</v>
      </c>
      <c r="C115" s="61" t="s">
        <v>208</v>
      </c>
      <c r="D115" s="154">
        <v>11.5</v>
      </c>
      <c r="E115" s="154">
        <v>5</v>
      </c>
      <c r="F115" s="100"/>
      <c r="G115" s="77"/>
      <c r="H115" s="77"/>
      <c r="I115" s="58"/>
      <c r="J115" s="47"/>
      <c r="K115" s="56">
        <f t="shared" si="5"/>
        <v>16.5</v>
      </c>
    </row>
    <row r="116" s="3" customFormat="1" ht="21" customHeight="1" spans="1:11">
      <c r="A116" s="78"/>
      <c r="B116" s="56"/>
      <c r="C116" s="56" t="s">
        <v>209</v>
      </c>
      <c r="D116" s="154">
        <v>11.5</v>
      </c>
      <c r="E116" s="154">
        <v>0</v>
      </c>
      <c r="F116" s="100"/>
      <c r="G116" s="77"/>
      <c r="H116" s="77"/>
      <c r="I116" s="58"/>
      <c r="J116" s="47"/>
      <c r="K116" s="56">
        <f t="shared" si="5"/>
        <v>11.5</v>
      </c>
    </row>
    <row r="117" s="3" customFormat="1" ht="21" customHeight="1" spans="1:11">
      <c r="A117" s="78"/>
      <c r="B117" s="56"/>
      <c r="C117" s="61" t="s">
        <v>210</v>
      </c>
      <c r="D117" s="154">
        <v>11.5</v>
      </c>
      <c r="E117" s="154">
        <v>0</v>
      </c>
      <c r="F117" s="100"/>
      <c r="G117" s="77"/>
      <c r="H117" s="77"/>
      <c r="I117" s="58"/>
      <c r="J117" s="47"/>
      <c r="K117" s="56">
        <f t="shared" si="5"/>
        <v>11.5</v>
      </c>
    </row>
    <row r="118" s="3" customFormat="1" ht="21" customHeight="1" spans="1:11">
      <c r="A118" s="79" t="s">
        <v>237</v>
      </c>
      <c r="B118" s="56">
        <v>11.5</v>
      </c>
      <c r="C118" s="61" t="s">
        <v>212</v>
      </c>
      <c r="D118" s="156">
        <v>11.5</v>
      </c>
      <c r="E118" s="154">
        <v>0</v>
      </c>
      <c r="F118" s="100"/>
      <c r="G118" s="77"/>
      <c r="H118" s="77"/>
      <c r="I118" s="58"/>
      <c r="J118" s="47"/>
      <c r="K118" s="56">
        <f t="shared" si="5"/>
        <v>11.5</v>
      </c>
    </row>
    <row r="119" s="3" customFormat="1" ht="21" customHeight="1" spans="1:11">
      <c r="A119" s="80"/>
      <c r="B119" s="56"/>
      <c r="C119" s="3" t="s">
        <v>215</v>
      </c>
      <c r="D119" s="156">
        <v>10</v>
      </c>
      <c r="E119" s="154">
        <v>10</v>
      </c>
      <c r="F119" s="100"/>
      <c r="G119" s="77"/>
      <c r="H119" s="77"/>
      <c r="I119" s="58"/>
      <c r="J119" s="47"/>
      <c r="K119" s="56">
        <f t="shared" si="5"/>
        <v>20</v>
      </c>
    </row>
    <row r="120" s="3" customFormat="1" ht="21" customHeight="1" spans="1:11">
      <c r="A120" s="81" t="s">
        <v>238</v>
      </c>
      <c r="B120" s="56"/>
      <c r="C120" s="61" t="s">
        <v>213</v>
      </c>
      <c r="D120" s="156">
        <v>10</v>
      </c>
      <c r="E120" s="154">
        <v>0</v>
      </c>
      <c r="F120" s="100"/>
      <c r="G120" s="77"/>
      <c r="H120" s="77"/>
      <c r="I120" s="58"/>
      <c r="J120" s="47"/>
      <c r="K120" s="56">
        <f t="shared" si="5"/>
        <v>10</v>
      </c>
    </row>
    <row r="121" s="3" customFormat="1" ht="21" customHeight="1" spans="1:11">
      <c r="A121" s="82"/>
      <c r="B121" s="56"/>
      <c r="C121" s="61" t="s">
        <v>216</v>
      </c>
      <c r="D121" s="156">
        <v>10</v>
      </c>
      <c r="E121" s="154">
        <v>0</v>
      </c>
      <c r="F121" s="100"/>
      <c r="G121" s="77"/>
      <c r="H121" s="77"/>
      <c r="I121" s="83"/>
      <c r="J121" s="47"/>
      <c r="K121" s="56">
        <f t="shared" si="5"/>
        <v>10</v>
      </c>
    </row>
    <row r="122" s="3" customFormat="1" ht="21" customHeight="1" spans="1:11">
      <c r="A122" s="84" t="s">
        <v>239</v>
      </c>
      <c r="B122" s="56"/>
      <c r="C122" s="56" t="s">
        <v>214</v>
      </c>
      <c r="D122" s="156">
        <v>10</v>
      </c>
      <c r="E122" s="154">
        <v>0</v>
      </c>
      <c r="F122" s="100"/>
      <c r="G122" s="77"/>
      <c r="H122" s="77"/>
      <c r="I122" s="83"/>
      <c r="J122" s="47"/>
      <c r="K122" s="56">
        <f t="shared" si="5"/>
        <v>10</v>
      </c>
    </row>
    <row r="123" s="3" customFormat="1" ht="21" customHeight="1" spans="1:11">
      <c r="A123" s="56" t="s">
        <v>217</v>
      </c>
      <c r="B123" s="56">
        <v>10.5</v>
      </c>
      <c r="C123" s="56" t="s">
        <v>218</v>
      </c>
      <c r="D123" s="156">
        <v>10</v>
      </c>
      <c r="E123" s="154">
        <v>0</v>
      </c>
      <c r="F123" s="100"/>
      <c r="G123" s="77"/>
      <c r="H123" s="77"/>
      <c r="I123" s="58"/>
      <c r="J123" s="47"/>
      <c r="K123" s="56">
        <f t="shared" si="5"/>
        <v>10</v>
      </c>
    </row>
    <row r="124" s="3" customFormat="1" ht="21" customHeight="1" spans="1:11">
      <c r="A124" s="56"/>
      <c r="B124" s="56"/>
      <c r="C124" s="56" t="s">
        <v>219</v>
      </c>
      <c r="D124" s="156">
        <v>10.5</v>
      </c>
      <c r="E124" s="154">
        <v>0</v>
      </c>
      <c r="F124" s="100"/>
      <c r="G124" s="77"/>
      <c r="H124" s="77"/>
      <c r="I124" s="58"/>
      <c r="J124" s="47"/>
      <c r="K124" s="56">
        <f t="shared" si="5"/>
        <v>10.5</v>
      </c>
    </row>
    <row r="125" s="3" customFormat="1" ht="21" customHeight="1" spans="1:11">
      <c r="A125" s="56" t="s">
        <v>220</v>
      </c>
      <c r="B125" s="56">
        <v>11.5</v>
      </c>
      <c r="C125" s="61" t="s">
        <v>221</v>
      </c>
      <c r="D125" s="154">
        <v>21.5</v>
      </c>
      <c r="E125" s="154">
        <v>10</v>
      </c>
      <c r="F125" s="100"/>
      <c r="G125" s="77"/>
      <c r="H125" s="77"/>
      <c r="I125" s="58"/>
      <c r="J125" s="47"/>
      <c r="K125" s="56">
        <f t="shared" si="5"/>
        <v>31.5</v>
      </c>
    </row>
    <row r="126" s="3" customFormat="1" ht="21" customHeight="1" spans="1:11">
      <c r="A126" s="56"/>
      <c r="B126" s="56"/>
      <c r="C126" s="61" t="s">
        <v>222</v>
      </c>
      <c r="D126" s="154">
        <v>20</v>
      </c>
      <c r="E126" s="154">
        <v>5</v>
      </c>
      <c r="F126" s="100"/>
      <c r="G126" s="77"/>
      <c r="H126" s="77"/>
      <c r="I126" s="58"/>
      <c r="J126" s="47"/>
      <c r="K126" s="56">
        <f t="shared" si="5"/>
        <v>25</v>
      </c>
    </row>
    <row r="127" s="3" customFormat="1" ht="21" customHeight="1" spans="1:11">
      <c r="A127" s="56"/>
      <c r="B127" s="56"/>
      <c r="C127" s="61" t="s">
        <v>223</v>
      </c>
      <c r="D127" s="154">
        <v>15</v>
      </c>
      <c r="E127" s="154">
        <v>5</v>
      </c>
      <c r="F127" s="100"/>
      <c r="G127" s="77"/>
      <c r="H127" s="77"/>
      <c r="I127" s="58"/>
      <c r="J127" s="47"/>
      <c r="K127" s="56">
        <f t="shared" si="5"/>
        <v>20</v>
      </c>
    </row>
    <row r="128" s="3" customFormat="1" ht="21" customHeight="1" spans="1:11">
      <c r="A128" s="56"/>
      <c r="B128" s="56"/>
      <c r="C128" s="61" t="s">
        <v>224</v>
      </c>
      <c r="D128" s="154">
        <v>15</v>
      </c>
      <c r="E128" s="154">
        <v>0</v>
      </c>
      <c r="F128" s="100"/>
      <c r="G128" s="77"/>
      <c r="H128" s="77"/>
      <c r="I128" s="58"/>
      <c r="J128" s="47"/>
      <c r="K128" s="56">
        <f t="shared" si="5"/>
        <v>15</v>
      </c>
    </row>
    <row r="129" s="3" customFormat="1" ht="21" customHeight="1" spans="1:11">
      <c r="A129" s="85" t="s">
        <v>225</v>
      </c>
      <c r="B129" s="85">
        <v>10.5</v>
      </c>
      <c r="C129" s="56" t="s">
        <v>226</v>
      </c>
      <c r="D129" s="154">
        <v>15</v>
      </c>
      <c r="E129" s="154">
        <v>0</v>
      </c>
      <c r="F129" s="100"/>
      <c r="G129" s="77"/>
      <c r="H129" s="77"/>
      <c r="I129" s="58"/>
      <c r="J129" s="47"/>
      <c r="K129" s="56">
        <f t="shared" si="5"/>
        <v>15</v>
      </c>
    </row>
    <row r="130" s="3" customFormat="1" ht="21" customHeight="1" spans="1:11">
      <c r="A130" s="85"/>
      <c r="B130" s="85"/>
      <c r="C130" s="56" t="s">
        <v>228</v>
      </c>
      <c r="D130" s="156">
        <v>15</v>
      </c>
      <c r="E130" s="154">
        <v>0</v>
      </c>
      <c r="F130" s="100"/>
      <c r="G130" s="77"/>
      <c r="H130" s="77"/>
      <c r="I130" s="58"/>
      <c r="J130" s="47"/>
      <c r="K130" s="56">
        <f t="shared" si="5"/>
        <v>15</v>
      </c>
    </row>
    <row r="131" s="3" customFormat="1" ht="21" customHeight="1" spans="1:11">
      <c r="A131" s="85"/>
      <c r="B131" s="85"/>
      <c r="C131" s="56" t="s">
        <v>227</v>
      </c>
      <c r="D131" s="154">
        <v>15</v>
      </c>
      <c r="E131" s="154">
        <v>0</v>
      </c>
      <c r="F131" s="100"/>
      <c r="G131" s="77"/>
      <c r="H131" s="77"/>
      <c r="I131" s="58"/>
      <c r="J131" s="47"/>
      <c r="K131" s="56">
        <f t="shared" si="5"/>
        <v>15</v>
      </c>
    </row>
    <row r="132" s="3" customFormat="1" ht="21" customHeight="1" spans="1:11">
      <c r="A132" s="85"/>
      <c r="B132" s="85"/>
      <c r="C132" s="56" t="s">
        <v>229</v>
      </c>
      <c r="D132" s="154">
        <v>15</v>
      </c>
      <c r="E132" s="154">
        <v>5</v>
      </c>
      <c r="F132" s="100"/>
      <c r="G132" s="77"/>
      <c r="H132" s="77"/>
      <c r="I132" s="58"/>
      <c r="J132" s="58"/>
      <c r="K132" s="56">
        <f t="shared" si="5"/>
        <v>20</v>
      </c>
    </row>
    <row r="133" s="3" customFormat="1" ht="21" customHeight="1" spans="1:11">
      <c r="A133" s="85"/>
      <c r="B133" s="85"/>
      <c r="C133" s="56" t="s">
        <v>240</v>
      </c>
      <c r="D133" s="154">
        <v>15</v>
      </c>
      <c r="E133" s="154">
        <v>0</v>
      </c>
      <c r="F133" s="100"/>
      <c r="G133" s="77"/>
      <c r="H133" s="77"/>
      <c r="I133" s="58"/>
      <c r="J133" s="58"/>
      <c r="K133" s="56">
        <f t="shared" si="5"/>
        <v>15</v>
      </c>
    </row>
    <row r="134" s="3" customFormat="1" ht="21" customHeight="1" spans="1:11">
      <c r="A134" s="86" t="s">
        <v>230</v>
      </c>
      <c r="B134" s="86">
        <v>10.5</v>
      </c>
      <c r="C134" s="56" t="s">
        <v>231</v>
      </c>
      <c r="D134" s="156">
        <v>10.5</v>
      </c>
      <c r="E134" s="156">
        <v>0</v>
      </c>
      <c r="F134" s="100"/>
      <c r="G134" s="77"/>
      <c r="H134" s="77"/>
      <c r="I134" s="58"/>
      <c r="J134" s="58"/>
      <c r="K134" s="56">
        <f t="shared" si="5"/>
        <v>10.5</v>
      </c>
    </row>
    <row r="135" s="3" customFormat="1" ht="21" customHeight="1" spans="1:11">
      <c r="A135" s="56" t="s">
        <v>232</v>
      </c>
      <c r="B135" s="56">
        <v>12</v>
      </c>
      <c r="C135" s="56" t="s">
        <v>233</v>
      </c>
      <c r="D135" s="156">
        <v>12</v>
      </c>
      <c r="E135" s="156">
        <v>0</v>
      </c>
      <c r="F135" s="54"/>
      <c r="G135" s="77"/>
      <c r="H135" s="77"/>
      <c r="I135" s="58"/>
      <c r="J135" s="58"/>
      <c r="K135" s="56">
        <f t="shared" si="5"/>
        <v>12</v>
      </c>
    </row>
    <row r="136" s="3" customFormat="1" ht="21" customHeight="1" spans="1:11">
      <c r="A136" s="61"/>
      <c r="B136" s="87"/>
      <c r="C136" s="87"/>
      <c r="D136" s="65"/>
      <c r="E136" s="65"/>
      <c r="F136" s="65"/>
      <c r="G136" s="65"/>
      <c r="H136" s="65"/>
      <c r="I136" s="65"/>
      <c r="J136" s="65"/>
      <c r="K136" s="47">
        <f>SUM(K114:K135)</f>
        <v>332.5</v>
      </c>
    </row>
    <row r="140" s="3" customFormat="1" ht="21" customHeight="1" spans="1:11">
      <c r="A140" s="71" t="s">
        <v>438</v>
      </c>
      <c r="B140" s="71"/>
      <c r="C140" s="71"/>
      <c r="D140" s="71"/>
      <c r="E140" s="71"/>
      <c r="F140" s="71"/>
      <c r="G140" s="71"/>
      <c r="H140" s="71"/>
      <c r="I140" s="71"/>
      <c r="J140" s="71"/>
      <c r="K140" s="71"/>
    </row>
    <row r="141" s="3" customFormat="1" ht="21" customHeight="1" spans="1:11">
      <c r="A141" s="72" t="s">
        <v>247</v>
      </c>
      <c r="B141" s="72"/>
      <c r="C141" s="72"/>
      <c r="D141" s="73" t="s">
        <v>439</v>
      </c>
      <c r="E141" s="72"/>
      <c r="F141" s="72"/>
      <c r="G141" s="72"/>
      <c r="H141" s="72"/>
      <c r="I141" s="72"/>
      <c r="J141" s="72"/>
      <c r="K141" s="72"/>
    </row>
    <row r="142" s="3" customFormat="1" ht="21" customHeight="1" spans="1:11">
      <c r="A142" s="74" t="s">
        <v>200</v>
      </c>
      <c r="B142" s="74" t="s">
        <v>201</v>
      </c>
      <c r="C142" s="75" t="s">
        <v>202</v>
      </c>
      <c r="D142" s="76" t="s">
        <v>6</v>
      </c>
      <c r="E142" s="76" t="s">
        <v>6</v>
      </c>
      <c r="F142" s="74" t="s">
        <v>6</v>
      </c>
      <c r="G142" s="74" t="s">
        <v>6</v>
      </c>
      <c r="H142" s="74" t="s">
        <v>6</v>
      </c>
      <c r="I142" s="74" t="s">
        <v>6</v>
      </c>
      <c r="J142" s="74" t="s">
        <v>203</v>
      </c>
      <c r="K142" s="74" t="s">
        <v>204</v>
      </c>
    </row>
    <row r="143" s="3" customFormat="1" ht="21" customHeight="1" spans="1:11">
      <c r="A143" s="56" t="s">
        <v>205</v>
      </c>
      <c r="B143" s="56">
        <v>12</v>
      </c>
      <c r="C143" s="54" t="s">
        <v>206</v>
      </c>
      <c r="D143" s="55">
        <v>0</v>
      </c>
      <c r="E143" s="55">
        <v>10</v>
      </c>
      <c r="F143" s="100"/>
      <c r="G143" s="77"/>
      <c r="H143" s="77"/>
      <c r="I143" s="58"/>
      <c r="J143" s="47"/>
      <c r="K143" s="56">
        <f t="shared" ref="K143:K164" si="6">SUM(D143:J143)</f>
        <v>10</v>
      </c>
    </row>
    <row r="144" s="3" customFormat="1" ht="21" customHeight="1" spans="1:11">
      <c r="A144" s="78" t="s">
        <v>207</v>
      </c>
      <c r="B144" s="56">
        <v>11.5</v>
      </c>
      <c r="C144" s="61" t="s">
        <v>208</v>
      </c>
      <c r="D144" s="55">
        <v>0</v>
      </c>
      <c r="E144" s="55">
        <v>0</v>
      </c>
      <c r="F144" s="100"/>
      <c r="G144" s="77"/>
      <c r="H144" s="77"/>
      <c r="I144" s="58"/>
      <c r="J144" s="47"/>
      <c r="K144" s="56">
        <f t="shared" si="6"/>
        <v>0</v>
      </c>
    </row>
    <row r="145" s="3" customFormat="1" ht="21" customHeight="1" spans="1:11">
      <c r="A145" s="78"/>
      <c r="B145" s="56"/>
      <c r="C145" s="61" t="s">
        <v>210</v>
      </c>
      <c r="D145" s="55">
        <v>0</v>
      </c>
      <c r="E145" s="55">
        <v>10</v>
      </c>
      <c r="F145" s="100"/>
      <c r="G145" s="77"/>
      <c r="H145" s="77"/>
      <c r="I145" s="58"/>
      <c r="J145" s="47"/>
      <c r="K145" s="56">
        <f t="shared" si="6"/>
        <v>10</v>
      </c>
    </row>
    <row r="146" s="3" customFormat="1" ht="21" customHeight="1" spans="1:11">
      <c r="A146" s="79" t="s">
        <v>237</v>
      </c>
      <c r="B146" s="56">
        <v>11.5</v>
      </c>
      <c r="C146" s="61" t="s">
        <v>212</v>
      </c>
      <c r="D146" s="55">
        <v>0</v>
      </c>
      <c r="E146" s="55">
        <v>10</v>
      </c>
      <c r="F146" s="100"/>
      <c r="G146" s="77"/>
      <c r="H146" s="77"/>
      <c r="I146" s="58"/>
      <c r="J146" s="47"/>
      <c r="K146" s="56">
        <f t="shared" si="6"/>
        <v>10</v>
      </c>
    </row>
    <row r="147" s="3" customFormat="1" ht="21" customHeight="1" spans="1:11">
      <c r="A147" s="80"/>
      <c r="B147" s="56"/>
      <c r="C147" s="3" t="s">
        <v>215</v>
      </c>
      <c r="D147" s="55">
        <v>10</v>
      </c>
      <c r="E147" s="55">
        <v>0</v>
      </c>
      <c r="F147" s="100"/>
      <c r="G147" s="77"/>
      <c r="H147" s="77"/>
      <c r="I147" s="58"/>
      <c r="J147" s="47"/>
      <c r="K147" s="56">
        <f t="shared" si="6"/>
        <v>10</v>
      </c>
    </row>
    <row r="148" s="3" customFormat="1" ht="21" customHeight="1" spans="1:11">
      <c r="A148" s="81" t="s">
        <v>238</v>
      </c>
      <c r="B148" s="56"/>
      <c r="C148" s="61" t="s">
        <v>213</v>
      </c>
      <c r="D148" s="55">
        <v>0</v>
      </c>
      <c r="E148" s="55">
        <v>0</v>
      </c>
      <c r="F148" s="100"/>
      <c r="G148" s="77"/>
      <c r="H148" s="77"/>
      <c r="I148" s="58"/>
      <c r="J148" s="47"/>
      <c r="K148" s="56">
        <f t="shared" si="6"/>
        <v>0</v>
      </c>
    </row>
    <row r="149" s="3" customFormat="1" ht="21" customHeight="1" spans="1:11">
      <c r="A149" s="82"/>
      <c r="B149" s="56"/>
      <c r="C149" s="61" t="s">
        <v>216</v>
      </c>
      <c r="D149" s="55">
        <v>0</v>
      </c>
      <c r="E149" s="55">
        <v>0</v>
      </c>
      <c r="F149" s="100"/>
      <c r="G149" s="77"/>
      <c r="H149" s="77"/>
      <c r="I149" s="83"/>
      <c r="J149" s="47"/>
      <c r="K149" s="56">
        <f t="shared" si="6"/>
        <v>0</v>
      </c>
    </row>
    <row r="150" s="3" customFormat="1" ht="21" customHeight="1" spans="1:11">
      <c r="A150" s="84" t="s">
        <v>239</v>
      </c>
      <c r="B150" s="56"/>
      <c r="C150" s="56" t="s">
        <v>214</v>
      </c>
      <c r="D150" s="55">
        <v>10</v>
      </c>
      <c r="E150" s="55">
        <v>5</v>
      </c>
      <c r="F150" s="100"/>
      <c r="G150" s="77"/>
      <c r="H150" s="77"/>
      <c r="I150" s="83"/>
      <c r="J150" s="47"/>
      <c r="K150" s="56">
        <f t="shared" si="6"/>
        <v>15</v>
      </c>
    </row>
    <row r="151" s="3" customFormat="1" ht="21" customHeight="1" spans="1:11">
      <c r="A151" s="56" t="s">
        <v>217</v>
      </c>
      <c r="B151" s="56">
        <v>10.5</v>
      </c>
      <c r="C151" s="56" t="s">
        <v>218</v>
      </c>
      <c r="D151" s="55">
        <v>0</v>
      </c>
      <c r="E151" s="55">
        <v>0</v>
      </c>
      <c r="F151" s="100"/>
      <c r="G151" s="77"/>
      <c r="H151" s="77"/>
      <c r="I151" s="58"/>
      <c r="J151" s="47"/>
      <c r="K151" s="56">
        <f t="shared" si="6"/>
        <v>0</v>
      </c>
    </row>
    <row r="152" s="3" customFormat="1" ht="21" customHeight="1" spans="1:11">
      <c r="A152" s="56"/>
      <c r="B152" s="56"/>
      <c r="C152" s="56" t="s">
        <v>219</v>
      </c>
      <c r="D152" s="55">
        <v>0</v>
      </c>
      <c r="E152" s="55">
        <v>0</v>
      </c>
      <c r="F152" s="100"/>
      <c r="G152" s="77"/>
      <c r="H152" s="77"/>
      <c r="I152" s="58"/>
      <c r="J152" s="47"/>
      <c r="K152" s="56">
        <f t="shared" si="6"/>
        <v>0</v>
      </c>
    </row>
    <row r="153" s="3" customFormat="1" ht="21" customHeight="1" spans="1:11">
      <c r="A153" s="56" t="s">
        <v>220</v>
      </c>
      <c r="B153" s="56">
        <v>11.5</v>
      </c>
      <c r="C153" s="159" t="s">
        <v>221</v>
      </c>
      <c r="D153" s="160">
        <v>48</v>
      </c>
      <c r="E153" s="161">
        <v>0</v>
      </c>
      <c r="F153" s="100"/>
      <c r="G153" s="77"/>
      <c r="H153" s="77"/>
      <c r="I153" s="58"/>
      <c r="J153" s="47"/>
      <c r="K153" s="56">
        <f t="shared" si="6"/>
        <v>48</v>
      </c>
    </row>
    <row r="154" s="3" customFormat="1" ht="21" customHeight="1" spans="1:11">
      <c r="A154" s="56"/>
      <c r="B154" s="56"/>
      <c r="C154" s="159" t="s">
        <v>222</v>
      </c>
      <c r="D154" s="162">
        <v>34</v>
      </c>
      <c r="E154" s="161">
        <v>5</v>
      </c>
      <c r="F154" s="100"/>
      <c r="G154" s="77"/>
      <c r="H154" s="77"/>
      <c r="I154" s="58"/>
      <c r="J154" s="47"/>
      <c r="K154" s="56">
        <f t="shared" si="6"/>
        <v>39</v>
      </c>
    </row>
    <row r="155" s="3" customFormat="1" ht="21" customHeight="1" spans="1:11">
      <c r="A155" s="56"/>
      <c r="B155" s="56"/>
      <c r="C155" s="159" t="s">
        <v>223</v>
      </c>
      <c r="D155" s="162">
        <v>79</v>
      </c>
      <c r="E155" s="161">
        <v>5</v>
      </c>
      <c r="F155" s="100"/>
      <c r="G155" s="77"/>
      <c r="H155" s="77"/>
      <c r="I155" s="58"/>
      <c r="J155" s="47"/>
      <c r="K155" s="56">
        <f t="shared" si="6"/>
        <v>84</v>
      </c>
    </row>
    <row r="156" s="3" customFormat="1" ht="21" customHeight="1" spans="1:11">
      <c r="A156" s="56"/>
      <c r="B156" s="56"/>
      <c r="C156" s="61" t="s">
        <v>224</v>
      </c>
      <c r="D156" s="47">
        <v>163</v>
      </c>
      <c r="E156" s="100">
        <v>0</v>
      </c>
      <c r="F156" s="100"/>
      <c r="G156" s="77"/>
      <c r="H156" s="77"/>
      <c r="I156" s="58"/>
      <c r="J156" s="47"/>
      <c r="K156" s="56">
        <f t="shared" si="6"/>
        <v>163</v>
      </c>
    </row>
    <row r="157" s="3" customFormat="1" ht="21" customHeight="1" spans="1:11">
      <c r="A157" s="85" t="s">
        <v>225</v>
      </c>
      <c r="B157" s="85">
        <v>10.5</v>
      </c>
      <c r="C157" s="56" t="s">
        <v>226</v>
      </c>
      <c r="D157" s="55">
        <v>10.5</v>
      </c>
      <c r="E157" s="100">
        <v>5</v>
      </c>
      <c r="F157" s="100"/>
      <c r="G157" s="77"/>
      <c r="H157" s="77"/>
      <c r="I157" s="58"/>
      <c r="J157" s="47"/>
      <c r="K157" s="56">
        <f t="shared" si="6"/>
        <v>15.5</v>
      </c>
    </row>
    <row r="158" s="3" customFormat="1" ht="21" customHeight="1" spans="1:11">
      <c r="A158" s="85"/>
      <c r="B158" s="85"/>
      <c r="C158" s="56" t="s">
        <v>250</v>
      </c>
      <c r="D158" s="55">
        <v>10.5</v>
      </c>
      <c r="E158" s="100">
        <v>5</v>
      </c>
      <c r="F158" s="100"/>
      <c r="G158" s="77"/>
      <c r="H158" s="77"/>
      <c r="I158" s="58"/>
      <c r="J158" s="47"/>
      <c r="K158" s="56">
        <f t="shared" si="6"/>
        <v>15.5</v>
      </c>
    </row>
    <row r="159" s="3" customFormat="1" ht="21" customHeight="1" spans="1:11">
      <c r="A159" s="85"/>
      <c r="B159" s="85"/>
      <c r="C159" s="56" t="s">
        <v>228</v>
      </c>
      <c r="D159" s="55">
        <v>10.5</v>
      </c>
      <c r="E159" s="100">
        <v>0</v>
      </c>
      <c r="F159" s="100"/>
      <c r="G159" s="77"/>
      <c r="H159" s="77"/>
      <c r="I159" s="58"/>
      <c r="J159" s="47"/>
      <c r="K159" s="56">
        <f t="shared" si="6"/>
        <v>10.5</v>
      </c>
    </row>
    <row r="160" s="3" customFormat="1" ht="21" customHeight="1" spans="1:11">
      <c r="A160" s="85"/>
      <c r="B160" s="85"/>
      <c r="C160" s="56" t="s">
        <v>227</v>
      </c>
      <c r="D160" s="55">
        <v>10.5</v>
      </c>
      <c r="E160" s="100">
        <v>0</v>
      </c>
      <c r="F160" s="100"/>
      <c r="G160" s="77"/>
      <c r="H160" s="77"/>
      <c r="I160" s="58"/>
      <c r="J160" s="47"/>
      <c r="K160" s="56">
        <f t="shared" si="6"/>
        <v>10.5</v>
      </c>
    </row>
    <row r="161" s="3" customFormat="1" ht="21" customHeight="1" spans="1:11">
      <c r="A161" s="85"/>
      <c r="B161" s="85"/>
      <c r="C161" s="56" t="s">
        <v>229</v>
      </c>
      <c r="D161" s="55">
        <v>10.5</v>
      </c>
      <c r="E161" s="100">
        <v>5</v>
      </c>
      <c r="F161" s="100"/>
      <c r="G161" s="77"/>
      <c r="H161" s="77"/>
      <c r="I161" s="58"/>
      <c r="J161" s="58"/>
      <c r="K161" s="56">
        <f t="shared" si="6"/>
        <v>15.5</v>
      </c>
    </row>
    <row r="162" s="3" customFormat="1" ht="21" customHeight="1" spans="1:11">
      <c r="A162" s="85"/>
      <c r="B162" s="85"/>
      <c r="C162" s="56" t="s">
        <v>240</v>
      </c>
      <c r="D162" s="55">
        <v>10.5</v>
      </c>
      <c r="E162" s="100">
        <v>5</v>
      </c>
      <c r="F162" s="100"/>
      <c r="G162" s="77"/>
      <c r="H162" s="77"/>
      <c r="I162" s="58"/>
      <c r="J162" s="58"/>
      <c r="K162" s="56">
        <f t="shared" si="6"/>
        <v>15.5</v>
      </c>
    </row>
    <row r="163" s="3" customFormat="1" ht="21" customHeight="1" spans="1:11">
      <c r="A163" s="86" t="s">
        <v>230</v>
      </c>
      <c r="B163" s="86">
        <v>10.5</v>
      </c>
      <c r="C163" s="56" t="s">
        <v>231</v>
      </c>
      <c r="D163" s="55">
        <v>10.5</v>
      </c>
      <c r="E163" s="100">
        <v>10.5</v>
      </c>
      <c r="F163" s="100"/>
      <c r="G163" s="77"/>
      <c r="H163" s="77"/>
      <c r="I163" s="58"/>
      <c r="J163" s="58"/>
      <c r="K163" s="56">
        <f t="shared" si="6"/>
        <v>21</v>
      </c>
    </row>
    <row r="164" s="3" customFormat="1" ht="21" customHeight="1" spans="1:11">
      <c r="A164" s="56" t="s">
        <v>232</v>
      </c>
      <c r="B164" s="56">
        <v>12</v>
      </c>
      <c r="C164" s="56" t="s">
        <v>233</v>
      </c>
      <c r="D164" s="47">
        <v>12</v>
      </c>
      <c r="E164" s="54">
        <v>12</v>
      </c>
      <c r="F164" s="54"/>
      <c r="G164" s="77"/>
      <c r="H164" s="77"/>
      <c r="I164" s="58"/>
      <c r="J164" s="58"/>
      <c r="K164" s="56">
        <f t="shared" si="6"/>
        <v>24</v>
      </c>
    </row>
    <row r="165" s="3" customFormat="1" ht="21" customHeight="1" spans="1:11">
      <c r="A165" s="61"/>
      <c r="B165" s="87"/>
      <c r="C165" s="87"/>
      <c r="D165" s="65"/>
      <c r="E165" s="65"/>
      <c r="F165" s="65"/>
      <c r="G165" s="65"/>
      <c r="H165" s="65"/>
      <c r="I165" s="65"/>
      <c r="J165" s="65"/>
      <c r="K165" s="47">
        <f>SUM(K143:K164)</f>
        <v>517</v>
      </c>
    </row>
    <row r="168" s="158" customFormat="1" ht="25.5" customHeight="1" spans="1:11">
      <c r="A168" s="163" t="s">
        <v>440</v>
      </c>
      <c r="B168" s="164"/>
      <c r="C168" s="164"/>
      <c r="D168" s="164"/>
      <c r="E168" s="164"/>
      <c r="F168" s="164"/>
      <c r="G168" s="164"/>
      <c r="H168" s="164"/>
      <c r="I168" s="164"/>
      <c r="J168" s="164"/>
      <c r="K168" s="165"/>
    </row>
    <row r="169" s="158" customFormat="1" ht="25.5" customHeight="1" spans="1:11">
      <c r="A169" s="56" t="s">
        <v>245</v>
      </c>
      <c r="B169" s="56"/>
      <c r="C169" s="56"/>
      <c r="D169" s="52" t="s">
        <v>441</v>
      </c>
      <c r="E169" s="52"/>
      <c r="F169" s="52"/>
      <c r="G169" s="52"/>
      <c r="H169" s="52"/>
      <c r="I169" s="52"/>
      <c r="J169" s="52"/>
      <c r="K169" s="166"/>
    </row>
    <row r="170" s="158" customFormat="1" ht="25.5" customHeight="1" spans="1:11">
      <c r="A170" s="56" t="s">
        <v>200</v>
      </c>
      <c r="B170" s="56" t="s">
        <v>201</v>
      </c>
      <c r="C170" s="61" t="s">
        <v>202</v>
      </c>
      <c r="D170" s="86" t="s">
        <v>6</v>
      </c>
      <c r="E170" s="86" t="s">
        <v>6</v>
      </c>
      <c r="F170" s="56" t="s">
        <v>6</v>
      </c>
      <c r="G170" s="56" t="s">
        <v>6</v>
      </c>
      <c r="H170" s="56" t="s">
        <v>6</v>
      </c>
      <c r="I170" s="56" t="s">
        <v>6</v>
      </c>
      <c r="J170" s="56" t="s">
        <v>203</v>
      </c>
      <c r="K170" s="56" t="s">
        <v>204</v>
      </c>
    </row>
    <row r="171" s="158" customFormat="1" ht="25.5" customHeight="1" spans="1:11">
      <c r="A171" s="56" t="s">
        <v>205</v>
      </c>
      <c r="B171" s="56">
        <v>12</v>
      </c>
      <c r="C171" s="54" t="s">
        <v>206</v>
      </c>
      <c r="D171" s="55">
        <v>12</v>
      </c>
      <c r="E171" s="55">
        <v>10</v>
      </c>
      <c r="F171" s="100"/>
      <c r="G171" s="77"/>
      <c r="H171" s="77"/>
      <c r="I171" s="58"/>
      <c r="J171" s="47"/>
      <c r="K171" s="56">
        <f t="shared" ref="K171:K192" si="7">SUM(D171:J171)</f>
        <v>22</v>
      </c>
    </row>
    <row r="172" s="158" customFormat="1" ht="25.5" customHeight="1" spans="1:11">
      <c r="A172" s="78" t="s">
        <v>207</v>
      </c>
      <c r="B172" s="56">
        <v>11.5</v>
      </c>
      <c r="C172" s="61" t="s">
        <v>208</v>
      </c>
      <c r="D172" s="55">
        <v>11.5</v>
      </c>
      <c r="E172" s="55">
        <v>10</v>
      </c>
      <c r="F172" s="100"/>
      <c r="G172" s="77"/>
      <c r="H172" s="77"/>
      <c r="I172" s="58"/>
      <c r="J172" s="47"/>
      <c r="K172" s="56">
        <f t="shared" si="7"/>
        <v>21.5</v>
      </c>
    </row>
    <row r="173" s="158" customFormat="1" ht="25.5" customHeight="1" spans="1:11">
      <c r="A173" s="78"/>
      <c r="B173" s="56"/>
      <c r="C173" s="56" t="s">
        <v>209</v>
      </c>
      <c r="D173" s="55">
        <v>11.5</v>
      </c>
      <c r="E173" s="55">
        <v>10</v>
      </c>
      <c r="F173" s="100"/>
      <c r="G173" s="77"/>
      <c r="H173" s="77"/>
      <c r="I173" s="58"/>
      <c r="J173" s="47"/>
      <c r="K173" s="56">
        <f t="shared" si="7"/>
        <v>21.5</v>
      </c>
    </row>
    <row r="174" s="158" customFormat="1" ht="25.5" customHeight="1" spans="1:11">
      <c r="A174" s="78"/>
      <c r="B174" s="56"/>
      <c r="C174" s="61" t="s">
        <v>210</v>
      </c>
      <c r="D174" s="55">
        <v>11.5</v>
      </c>
      <c r="E174" s="55">
        <v>10</v>
      </c>
      <c r="F174" s="100"/>
      <c r="G174" s="77"/>
      <c r="H174" s="77"/>
      <c r="I174" s="58"/>
      <c r="J174" s="47"/>
      <c r="K174" s="56">
        <f t="shared" si="7"/>
        <v>21.5</v>
      </c>
    </row>
    <row r="175" s="158" customFormat="1" ht="25.5" customHeight="1" spans="1:11">
      <c r="A175" s="79" t="s">
        <v>237</v>
      </c>
      <c r="B175" s="56">
        <v>11.5</v>
      </c>
      <c r="C175" s="61" t="s">
        <v>212</v>
      </c>
      <c r="D175" s="55">
        <v>20</v>
      </c>
      <c r="E175" s="55">
        <v>10</v>
      </c>
      <c r="F175" s="100"/>
      <c r="G175" s="77"/>
      <c r="H175" s="77"/>
      <c r="I175" s="58"/>
      <c r="J175" s="47"/>
      <c r="K175" s="56">
        <f t="shared" si="7"/>
        <v>30</v>
      </c>
    </row>
    <row r="176" s="158" customFormat="1" ht="25.5" customHeight="1" spans="1:11">
      <c r="A176" s="80"/>
      <c r="B176" s="56"/>
      <c r="C176" s="3" t="s">
        <v>215</v>
      </c>
      <c r="D176" s="55">
        <v>10</v>
      </c>
      <c r="E176" s="55">
        <v>10</v>
      </c>
      <c r="F176" s="100"/>
      <c r="G176" s="77"/>
      <c r="H176" s="77"/>
      <c r="I176" s="83"/>
      <c r="J176" s="47"/>
      <c r="K176" s="56">
        <f t="shared" si="7"/>
        <v>20</v>
      </c>
    </row>
    <row r="177" s="158" customFormat="1" ht="25.5" customHeight="1" spans="1:11">
      <c r="A177" s="81" t="s">
        <v>238</v>
      </c>
      <c r="B177" s="56"/>
      <c r="C177" s="61" t="s">
        <v>213</v>
      </c>
      <c r="D177" s="55">
        <v>10</v>
      </c>
      <c r="E177" s="55">
        <v>10</v>
      </c>
      <c r="F177" s="100"/>
      <c r="G177" s="77"/>
      <c r="H177" s="77"/>
      <c r="I177" s="83"/>
      <c r="J177" s="47"/>
      <c r="K177" s="56">
        <f t="shared" si="7"/>
        <v>20</v>
      </c>
    </row>
    <row r="178" s="158" customFormat="1" ht="25.5" customHeight="1" spans="1:11">
      <c r="A178" s="82"/>
      <c r="B178" s="56"/>
      <c r="C178" s="61" t="s">
        <v>216</v>
      </c>
      <c r="D178" s="55">
        <v>19.7</v>
      </c>
      <c r="E178" s="55">
        <v>10</v>
      </c>
      <c r="F178" s="100"/>
      <c r="G178" s="77"/>
      <c r="H178" s="77"/>
      <c r="I178" s="58"/>
      <c r="J178" s="47"/>
      <c r="K178" s="56">
        <f t="shared" si="7"/>
        <v>29.7</v>
      </c>
    </row>
    <row r="179" s="158" customFormat="1" ht="25.5" customHeight="1" spans="1:11">
      <c r="A179" s="84" t="s">
        <v>239</v>
      </c>
      <c r="B179" s="56"/>
      <c r="C179" s="56" t="s">
        <v>214</v>
      </c>
      <c r="D179" s="55">
        <v>20</v>
      </c>
      <c r="E179" s="55">
        <v>25</v>
      </c>
      <c r="F179" s="100"/>
      <c r="G179" s="77"/>
      <c r="H179" s="77"/>
      <c r="I179" s="58"/>
      <c r="J179" s="47"/>
      <c r="K179" s="56">
        <f t="shared" si="7"/>
        <v>45</v>
      </c>
    </row>
    <row r="180" s="158" customFormat="1" ht="25.5" customHeight="1" spans="1:11">
      <c r="A180" s="56" t="s">
        <v>217</v>
      </c>
      <c r="B180" s="56">
        <v>10.5</v>
      </c>
      <c r="C180" s="56" t="s">
        <v>218</v>
      </c>
      <c r="D180" s="55">
        <v>10</v>
      </c>
      <c r="E180" s="55">
        <v>5</v>
      </c>
      <c r="F180" s="100"/>
      <c r="G180" s="77"/>
      <c r="H180" s="77"/>
      <c r="I180" s="58"/>
      <c r="J180" s="47"/>
      <c r="K180" s="56">
        <f t="shared" si="7"/>
        <v>15</v>
      </c>
    </row>
    <row r="181" s="158" customFormat="1" ht="25.5" customHeight="1" spans="1:11">
      <c r="A181" s="56"/>
      <c r="B181" s="56"/>
      <c r="C181" s="56" t="s">
        <v>219</v>
      </c>
      <c r="D181" s="47">
        <v>15</v>
      </c>
      <c r="E181" s="55">
        <v>10</v>
      </c>
      <c r="F181" s="100"/>
      <c r="G181" s="77"/>
      <c r="H181" s="77"/>
      <c r="I181" s="58"/>
      <c r="J181" s="47"/>
      <c r="K181" s="56">
        <f t="shared" si="7"/>
        <v>25</v>
      </c>
    </row>
    <row r="182" s="158" customFormat="1" ht="25.5" customHeight="1" spans="1:11">
      <c r="A182" s="56" t="s">
        <v>220</v>
      </c>
      <c r="B182" s="56">
        <v>11.5</v>
      </c>
      <c r="C182" s="61" t="s">
        <v>221</v>
      </c>
      <c r="D182" s="47">
        <v>55</v>
      </c>
      <c r="E182" s="55">
        <v>10</v>
      </c>
      <c r="F182" s="100"/>
      <c r="G182" s="77"/>
      <c r="H182" s="77"/>
      <c r="I182" s="58"/>
      <c r="J182" s="47"/>
      <c r="K182" s="56">
        <f t="shared" si="7"/>
        <v>65</v>
      </c>
    </row>
    <row r="183" s="158" customFormat="1" ht="25.5" customHeight="1" spans="1:11">
      <c r="A183" s="56"/>
      <c r="B183" s="56"/>
      <c r="C183" s="61" t="s">
        <v>222</v>
      </c>
      <c r="D183" s="47">
        <v>15</v>
      </c>
      <c r="E183" s="55">
        <v>5</v>
      </c>
      <c r="F183" s="100"/>
      <c r="G183" s="77"/>
      <c r="H183" s="77"/>
      <c r="I183" s="58"/>
      <c r="J183" s="47"/>
      <c r="K183" s="56">
        <f t="shared" si="7"/>
        <v>20</v>
      </c>
    </row>
    <row r="184" s="158" customFormat="1" ht="25.5" customHeight="1" spans="1:11">
      <c r="A184" s="56"/>
      <c r="B184" s="56"/>
      <c r="C184" s="61" t="s">
        <v>223</v>
      </c>
      <c r="D184" s="55">
        <v>32</v>
      </c>
      <c r="E184" s="55">
        <v>5</v>
      </c>
      <c r="F184" s="100"/>
      <c r="G184" s="77"/>
      <c r="H184" s="77"/>
      <c r="I184" s="58"/>
      <c r="J184" s="47"/>
      <c r="K184" s="56">
        <f t="shared" si="7"/>
        <v>37</v>
      </c>
    </row>
    <row r="185" s="158" customFormat="1" ht="25.5" customHeight="1" spans="1:11">
      <c r="A185" s="56"/>
      <c r="B185" s="56"/>
      <c r="C185" s="61" t="s">
        <v>224</v>
      </c>
      <c r="D185" s="55">
        <v>32</v>
      </c>
      <c r="E185" s="55">
        <v>5</v>
      </c>
      <c r="F185" s="100"/>
      <c r="G185" s="77"/>
      <c r="H185" s="77"/>
      <c r="I185" s="58"/>
      <c r="J185" s="47"/>
      <c r="K185" s="56">
        <f t="shared" si="7"/>
        <v>37</v>
      </c>
    </row>
    <row r="186" s="158" customFormat="1" ht="25.5" customHeight="1" spans="1:11">
      <c r="A186" s="85" t="s">
        <v>225</v>
      </c>
      <c r="B186" s="85">
        <v>10.5</v>
      </c>
      <c r="C186" s="56" t="s">
        <v>226</v>
      </c>
      <c r="D186" s="55">
        <v>32</v>
      </c>
      <c r="E186" s="55">
        <v>5</v>
      </c>
      <c r="F186" s="100"/>
      <c r="G186" s="77"/>
      <c r="H186" s="77"/>
      <c r="I186" s="58"/>
      <c r="J186" s="47"/>
      <c r="K186" s="56">
        <f t="shared" si="7"/>
        <v>37</v>
      </c>
    </row>
    <row r="187" s="158" customFormat="1" ht="25.5" customHeight="1" spans="1:11">
      <c r="A187" s="85"/>
      <c r="B187" s="85"/>
      <c r="C187" s="56" t="s">
        <v>228</v>
      </c>
      <c r="D187" s="55">
        <v>14</v>
      </c>
      <c r="E187" s="55">
        <v>10</v>
      </c>
      <c r="F187" s="100"/>
      <c r="G187" s="77"/>
      <c r="H187" s="77"/>
      <c r="I187" s="58"/>
      <c r="J187" s="58"/>
      <c r="K187" s="56">
        <f t="shared" si="7"/>
        <v>24</v>
      </c>
    </row>
    <row r="188" s="158" customFormat="1" ht="25.5" customHeight="1" spans="1:11">
      <c r="A188" s="85"/>
      <c r="B188" s="85"/>
      <c r="C188" s="56" t="s">
        <v>227</v>
      </c>
      <c r="D188" s="55">
        <v>14</v>
      </c>
      <c r="E188" s="55">
        <v>10</v>
      </c>
      <c r="F188" s="100"/>
      <c r="G188" s="77"/>
      <c r="H188" s="77"/>
      <c r="I188" s="58"/>
      <c r="J188" s="58"/>
      <c r="K188" s="56">
        <f t="shared" si="7"/>
        <v>24</v>
      </c>
    </row>
    <row r="189" s="158" customFormat="1" ht="25.5" customHeight="1" spans="1:11">
      <c r="A189" s="85"/>
      <c r="B189" s="85"/>
      <c r="C189" s="56" t="s">
        <v>229</v>
      </c>
      <c r="D189" s="55">
        <v>14</v>
      </c>
      <c r="E189" s="55">
        <v>10</v>
      </c>
      <c r="F189" s="100"/>
      <c r="G189" s="77"/>
      <c r="H189" s="77"/>
      <c r="I189" s="58"/>
      <c r="J189" s="58"/>
      <c r="K189" s="56">
        <f t="shared" si="7"/>
        <v>24</v>
      </c>
    </row>
    <row r="190" s="158" customFormat="1" ht="25.5" customHeight="1" spans="1:11">
      <c r="A190" s="85"/>
      <c r="B190" s="85"/>
      <c r="C190" s="56" t="s">
        <v>240</v>
      </c>
      <c r="D190" s="76">
        <v>14</v>
      </c>
      <c r="E190" s="76">
        <v>10</v>
      </c>
      <c r="F190" s="74"/>
      <c r="G190" s="74"/>
      <c r="H190" s="74"/>
      <c r="I190" s="74"/>
      <c r="J190" s="74"/>
      <c r="K190" s="74">
        <f t="shared" si="7"/>
        <v>24</v>
      </c>
    </row>
    <row r="191" s="158" customFormat="1" ht="25.5" customHeight="1" spans="1:11">
      <c r="A191" s="86" t="s">
        <v>230</v>
      </c>
      <c r="B191" s="86">
        <v>10.5</v>
      </c>
      <c r="C191" s="56" t="s">
        <v>231</v>
      </c>
      <c r="D191" s="55">
        <v>10.5</v>
      </c>
      <c r="E191" s="55">
        <v>10</v>
      </c>
      <c r="F191" s="100"/>
      <c r="G191" s="77"/>
      <c r="H191" s="77"/>
      <c r="I191" s="58"/>
      <c r="J191" s="47"/>
      <c r="K191" s="56">
        <f t="shared" si="7"/>
        <v>20.5</v>
      </c>
    </row>
    <row r="192" s="158" customFormat="1" ht="25.5" customHeight="1" spans="1:11">
      <c r="A192" s="86" t="s">
        <v>232</v>
      </c>
      <c r="B192" s="86">
        <v>12</v>
      </c>
      <c r="C192" s="86" t="s">
        <v>233</v>
      </c>
      <c r="D192" s="55">
        <v>12</v>
      </c>
      <c r="E192" s="55">
        <v>10</v>
      </c>
      <c r="F192" s="100"/>
      <c r="G192" s="167"/>
      <c r="H192" s="167"/>
      <c r="I192" s="83"/>
      <c r="J192" s="55"/>
      <c r="K192" s="56">
        <f t="shared" si="7"/>
        <v>22</v>
      </c>
    </row>
    <row r="193" s="158" customFormat="1" ht="25.5" customHeight="1" spans="1:1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56">
        <f>SUM(K171:K192)</f>
        <v>605.7</v>
      </c>
    </row>
    <row r="196" s="1" customFormat="1" ht="21" customHeight="1" spans="1:11">
      <c r="A196" s="32" t="s">
        <v>431</v>
      </c>
      <c r="B196" s="33"/>
      <c r="C196" s="33"/>
      <c r="D196" s="33"/>
      <c r="E196" s="33"/>
      <c r="F196" s="33"/>
      <c r="G196" s="33"/>
      <c r="H196" s="33"/>
      <c r="I196" s="33"/>
      <c r="J196" s="33"/>
      <c r="K196" s="34"/>
    </row>
    <row r="197" s="1" customFormat="1" ht="21" customHeight="1" spans="1:11">
      <c r="A197" s="35" t="s">
        <v>253</v>
      </c>
      <c r="B197" s="36"/>
      <c r="C197" s="36"/>
      <c r="D197" s="37" t="s">
        <v>442</v>
      </c>
      <c r="E197" s="36"/>
      <c r="F197" s="36"/>
      <c r="G197" s="36"/>
      <c r="H197" s="36"/>
      <c r="I197" s="36"/>
      <c r="J197" s="36"/>
      <c r="K197" s="36"/>
    </row>
    <row r="198" s="1" customFormat="1" ht="21" customHeight="1" spans="1:11">
      <c r="A198" s="27" t="s">
        <v>200</v>
      </c>
      <c r="B198" s="27" t="s">
        <v>201</v>
      </c>
      <c r="C198" s="38" t="s">
        <v>202</v>
      </c>
      <c r="D198" s="12" t="s">
        <v>6</v>
      </c>
      <c r="E198" s="12" t="s">
        <v>6</v>
      </c>
      <c r="F198" s="27" t="s">
        <v>6</v>
      </c>
      <c r="G198" s="27" t="s">
        <v>6</v>
      </c>
      <c r="H198" s="27" t="s">
        <v>6</v>
      </c>
      <c r="I198" s="27" t="s">
        <v>6</v>
      </c>
      <c r="J198" s="27" t="s">
        <v>203</v>
      </c>
      <c r="K198" s="27" t="s">
        <v>204</v>
      </c>
    </row>
    <row r="199" s="1" customFormat="1" ht="21" customHeight="1" spans="1:11">
      <c r="A199" s="27" t="s">
        <v>205</v>
      </c>
      <c r="B199" s="27">
        <v>12</v>
      </c>
      <c r="C199" s="38" t="s">
        <v>206</v>
      </c>
      <c r="D199" s="12">
        <v>15</v>
      </c>
      <c r="E199" s="12">
        <v>15</v>
      </c>
      <c r="F199" s="12">
        <v>10</v>
      </c>
      <c r="G199" s="12"/>
      <c r="H199" s="12"/>
      <c r="I199" s="27"/>
      <c r="J199" s="27"/>
      <c r="K199" s="13">
        <f t="shared" ref="K199:K221" si="8">SUM(D199:J199)</f>
        <v>40</v>
      </c>
    </row>
    <row r="200" s="1" customFormat="1" ht="21" customHeight="1" spans="1:11">
      <c r="A200" s="21" t="s">
        <v>207</v>
      </c>
      <c r="B200" s="27">
        <v>11.5</v>
      </c>
      <c r="C200" s="38" t="s">
        <v>208</v>
      </c>
      <c r="D200" s="12">
        <v>14.3</v>
      </c>
      <c r="E200" s="12">
        <v>14.3</v>
      </c>
      <c r="F200" s="12">
        <v>10</v>
      </c>
      <c r="G200" s="12"/>
      <c r="H200" s="12"/>
      <c r="I200" s="27"/>
      <c r="J200" s="27"/>
      <c r="K200" s="13">
        <f t="shared" si="8"/>
        <v>38.6</v>
      </c>
    </row>
    <row r="201" s="1" customFormat="1" ht="21" customHeight="1" spans="1:11">
      <c r="A201" s="21"/>
      <c r="B201" s="27"/>
      <c r="C201" s="27" t="s">
        <v>209</v>
      </c>
      <c r="D201" s="12">
        <v>14.3</v>
      </c>
      <c r="E201" s="12">
        <v>14.3</v>
      </c>
      <c r="F201" s="12">
        <v>10</v>
      </c>
      <c r="G201" s="12"/>
      <c r="H201" s="12"/>
      <c r="I201" s="27"/>
      <c r="J201" s="27"/>
      <c r="K201" s="13">
        <f t="shared" si="8"/>
        <v>38.6</v>
      </c>
    </row>
    <row r="202" s="1" customFormat="1" ht="21" customHeight="1" spans="1:11">
      <c r="A202" s="21"/>
      <c r="B202" s="27"/>
      <c r="C202" s="38" t="s">
        <v>210</v>
      </c>
      <c r="D202" s="12">
        <v>14.3</v>
      </c>
      <c r="E202" s="12">
        <v>14.3</v>
      </c>
      <c r="F202" s="12">
        <v>10</v>
      </c>
      <c r="G202" s="12"/>
      <c r="H202" s="12"/>
      <c r="I202" s="27"/>
      <c r="J202" s="27"/>
      <c r="K202" s="13">
        <f t="shared" si="8"/>
        <v>38.6</v>
      </c>
    </row>
    <row r="203" s="1" customFormat="1" ht="21" customHeight="1" spans="1:11">
      <c r="A203" s="16" t="s">
        <v>237</v>
      </c>
      <c r="B203" s="13">
        <v>11.5</v>
      </c>
      <c r="C203" s="17" t="s">
        <v>212</v>
      </c>
      <c r="D203" s="12">
        <v>14.3</v>
      </c>
      <c r="E203" s="12">
        <v>14.3</v>
      </c>
      <c r="F203" s="12">
        <v>11</v>
      </c>
      <c r="G203" s="12"/>
      <c r="H203" s="12"/>
      <c r="I203" s="27"/>
      <c r="J203" s="27"/>
      <c r="K203" s="13">
        <f t="shared" si="8"/>
        <v>39.6</v>
      </c>
    </row>
    <row r="204" s="1" customFormat="1" ht="21" customHeight="1" spans="1:11">
      <c r="A204" s="18"/>
      <c r="B204" s="13"/>
      <c r="C204" s="1" t="s">
        <v>215</v>
      </c>
      <c r="D204" s="12">
        <v>14.3</v>
      </c>
      <c r="E204" s="12">
        <v>14.3</v>
      </c>
      <c r="F204" s="12">
        <v>11</v>
      </c>
      <c r="G204" s="12"/>
      <c r="H204" s="12"/>
      <c r="I204" s="27"/>
      <c r="J204" s="27"/>
      <c r="K204" s="13">
        <f t="shared" si="8"/>
        <v>39.6</v>
      </c>
    </row>
    <row r="205" s="1" customFormat="1" ht="21" customHeight="1" spans="1:11">
      <c r="A205" s="19" t="s">
        <v>238</v>
      </c>
      <c r="B205" s="13"/>
      <c r="C205" s="17" t="s">
        <v>213</v>
      </c>
      <c r="D205" s="12">
        <v>14.3</v>
      </c>
      <c r="E205" s="12">
        <v>14.3</v>
      </c>
      <c r="F205" s="12">
        <v>11</v>
      </c>
      <c r="G205" s="12"/>
      <c r="H205" s="12"/>
      <c r="I205" s="27"/>
      <c r="J205" s="27"/>
      <c r="K205" s="13">
        <f t="shared" si="8"/>
        <v>39.6</v>
      </c>
    </row>
    <row r="206" s="1" customFormat="1" ht="21" customHeight="1" spans="1:11">
      <c r="A206" s="20"/>
      <c r="B206" s="13"/>
      <c r="C206" s="17" t="s">
        <v>216</v>
      </c>
      <c r="D206" s="12">
        <v>14.3</v>
      </c>
      <c r="E206" s="12">
        <v>14.3</v>
      </c>
      <c r="F206" s="12">
        <v>11</v>
      </c>
      <c r="G206" s="12"/>
      <c r="H206" s="12"/>
      <c r="I206" s="12"/>
      <c r="J206" s="27"/>
      <c r="K206" s="13">
        <f t="shared" si="8"/>
        <v>39.6</v>
      </c>
    </row>
    <row r="207" s="1" customFormat="1" ht="21" customHeight="1" spans="1:11">
      <c r="A207" s="21" t="s">
        <v>239</v>
      </c>
      <c r="B207" s="13"/>
      <c r="C207" s="13" t="s">
        <v>214</v>
      </c>
      <c r="D207" s="12">
        <v>14.3</v>
      </c>
      <c r="E207" s="12">
        <v>14.3</v>
      </c>
      <c r="F207" s="12">
        <v>11</v>
      </c>
      <c r="G207" s="12"/>
      <c r="H207" s="12"/>
      <c r="I207" s="12"/>
      <c r="J207" s="27"/>
      <c r="K207" s="13">
        <f t="shared" si="8"/>
        <v>39.6</v>
      </c>
    </row>
    <row r="208" s="1" customFormat="1" ht="21" customHeight="1" spans="1:11">
      <c r="A208" s="27" t="s">
        <v>217</v>
      </c>
      <c r="B208" s="27">
        <v>10.5</v>
      </c>
      <c r="C208" s="27" t="s">
        <v>218</v>
      </c>
      <c r="D208" s="12">
        <v>17</v>
      </c>
      <c r="E208" s="12">
        <v>17</v>
      </c>
      <c r="F208" s="12">
        <v>10</v>
      </c>
      <c r="G208" s="12"/>
      <c r="H208" s="12"/>
      <c r="I208" s="27"/>
      <c r="J208" s="27"/>
      <c r="K208" s="13">
        <f t="shared" si="8"/>
        <v>44</v>
      </c>
    </row>
    <row r="209" s="1" customFormat="1" ht="21" customHeight="1" spans="1:11">
      <c r="A209" s="27"/>
      <c r="B209" s="27"/>
      <c r="C209" s="27" t="s">
        <v>219</v>
      </c>
      <c r="D209" s="12">
        <v>16.7</v>
      </c>
      <c r="E209" s="12">
        <v>16.7</v>
      </c>
      <c r="F209" s="12">
        <v>10</v>
      </c>
      <c r="G209" s="12"/>
      <c r="H209" s="12"/>
      <c r="I209" s="27"/>
      <c r="J209" s="27"/>
      <c r="K209" s="13">
        <f t="shared" si="8"/>
        <v>43.4</v>
      </c>
    </row>
    <row r="210" s="1" customFormat="1" ht="21" customHeight="1" spans="1:11">
      <c r="A210" s="27" t="s">
        <v>220</v>
      </c>
      <c r="B210" s="27">
        <v>11.5</v>
      </c>
      <c r="C210" s="38" t="s">
        <v>221</v>
      </c>
      <c r="D210" s="12">
        <v>16.7</v>
      </c>
      <c r="E210" s="12">
        <v>16.7</v>
      </c>
      <c r="F210" s="12">
        <v>10</v>
      </c>
      <c r="G210" s="12"/>
      <c r="H210" s="12"/>
      <c r="I210" s="27"/>
      <c r="J210" s="27"/>
      <c r="K210" s="13">
        <f t="shared" si="8"/>
        <v>43.4</v>
      </c>
    </row>
    <row r="211" s="1" customFormat="1" ht="21" customHeight="1" spans="1:11">
      <c r="A211" s="27"/>
      <c r="B211" s="27"/>
      <c r="C211" s="38" t="s">
        <v>222</v>
      </c>
      <c r="D211" s="12">
        <v>16.7</v>
      </c>
      <c r="E211" s="12">
        <v>16.7</v>
      </c>
      <c r="F211" s="12">
        <v>10</v>
      </c>
      <c r="G211" s="12"/>
      <c r="H211" s="12"/>
      <c r="I211" s="27"/>
      <c r="J211" s="27"/>
      <c r="K211" s="13">
        <f t="shared" si="8"/>
        <v>43.4</v>
      </c>
    </row>
    <row r="212" s="1" customFormat="1" ht="21" customHeight="1" spans="1:11">
      <c r="A212" s="27"/>
      <c r="B212" s="27"/>
      <c r="C212" s="38" t="s">
        <v>223</v>
      </c>
      <c r="D212" s="12">
        <v>16.7</v>
      </c>
      <c r="E212" s="12">
        <v>16.7</v>
      </c>
      <c r="F212" s="12">
        <v>5</v>
      </c>
      <c r="G212" s="12"/>
      <c r="H212" s="12"/>
      <c r="I212" s="27"/>
      <c r="J212" s="27"/>
      <c r="K212" s="13">
        <f t="shared" si="8"/>
        <v>38.4</v>
      </c>
    </row>
    <row r="213" s="1" customFormat="1" ht="21" customHeight="1" spans="1:11">
      <c r="A213" s="27"/>
      <c r="B213" s="27"/>
      <c r="C213" s="38" t="s">
        <v>224</v>
      </c>
      <c r="D213" s="12">
        <v>0</v>
      </c>
      <c r="E213" s="12">
        <v>0</v>
      </c>
      <c r="F213" s="12">
        <v>0</v>
      </c>
      <c r="G213" s="12"/>
      <c r="H213" s="12"/>
      <c r="I213" s="27"/>
      <c r="J213" s="27"/>
      <c r="K213" s="13">
        <f t="shared" si="8"/>
        <v>0</v>
      </c>
    </row>
    <row r="214" s="1" customFormat="1" ht="21" customHeight="1" spans="1:11">
      <c r="A214" s="39" t="s">
        <v>225</v>
      </c>
      <c r="B214" s="39">
        <v>10.5</v>
      </c>
      <c r="C214" s="27" t="s">
        <v>226</v>
      </c>
      <c r="D214" s="12">
        <v>16.7</v>
      </c>
      <c r="E214" s="12">
        <v>16.7</v>
      </c>
      <c r="F214" s="12">
        <v>5</v>
      </c>
      <c r="G214" s="12"/>
      <c r="H214" s="12"/>
      <c r="I214" s="27"/>
      <c r="J214" s="27"/>
      <c r="K214" s="13">
        <f t="shared" si="8"/>
        <v>38.4</v>
      </c>
    </row>
    <row r="215" s="1" customFormat="1" ht="21" customHeight="1" spans="1:11">
      <c r="A215" s="39"/>
      <c r="B215" s="39"/>
      <c r="C215" s="27" t="s">
        <v>250</v>
      </c>
      <c r="D215" s="12">
        <v>16.7</v>
      </c>
      <c r="E215" s="12">
        <v>16.7</v>
      </c>
      <c r="F215" s="12">
        <v>5</v>
      </c>
      <c r="G215" s="12"/>
      <c r="H215" s="12"/>
      <c r="I215" s="27"/>
      <c r="J215" s="27"/>
      <c r="K215" s="13">
        <f t="shared" si="8"/>
        <v>38.4</v>
      </c>
    </row>
    <row r="216" s="1" customFormat="1" ht="21" customHeight="1" spans="1:11">
      <c r="A216" s="39"/>
      <c r="B216" s="39"/>
      <c r="C216" s="27" t="s">
        <v>228</v>
      </c>
      <c r="D216" s="12">
        <v>16.7</v>
      </c>
      <c r="E216" s="12">
        <v>16.7</v>
      </c>
      <c r="F216" s="12">
        <v>5</v>
      </c>
      <c r="G216" s="12"/>
      <c r="H216" s="12"/>
      <c r="I216" s="27"/>
      <c r="J216" s="27"/>
      <c r="K216" s="13">
        <f t="shared" si="8"/>
        <v>38.4</v>
      </c>
    </row>
    <row r="217" s="1" customFormat="1" ht="21" customHeight="1" spans="1:11">
      <c r="A217" s="39"/>
      <c r="B217" s="39"/>
      <c r="C217" s="27" t="s">
        <v>227</v>
      </c>
      <c r="D217" s="12">
        <v>0</v>
      </c>
      <c r="E217" s="12">
        <v>0</v>
      </c>
      <c r="F217" s="12">
        <v>0</v>
      </c>
      <c r="G217" s="12"/>
      <c r="H217" s="12"/>
      <c r="I217" s="27"/>
      <c r="J217" s="27"/>
      <c r="K217" s="13">
        <f t="shared" si="8"/>
        <v>0</v>
      </c>
    </row>
    <row r="218" s="1" customFormat="1" ht="21" customHeight="1" spans="1:11">
      <c r="A218" s="39"/>
      <c r="B218" s="39"/>
      <c r="C218" s="27" t="s">
        <v>229</v>
      </c>
      <c r="D218" s="12">
        <v>0</v>
      </c>
      <c r="E218" s="12">
        <v>0</v>
      </c>
      <c r="F218" s="12">
        <v>0</v>
      </c>
      <c r="G218" s="12"/>
      <c r="H218" s="12"/>
      <c r="I218" s="27"/>
      <c r="J218" s="40"/>
      <c r="K218" s="13">
        <f t="shared" si="8"/>
        <v>0</v>
      </c>
    </row>
    <row r="219" s="1" customFormat="1" ht="21" customHeight="1" spans="1:11">
      <c r="A219" s="39"/>
      <c r="B219" s="39"/>
      <c r="C219" s="27" t="s">
        <v>240</v>
      </c>
      <c r="D219" s="12">
        <v>16.7</v>
      </c>
      <c r="E219" s="12">
        <v>16.7</v>
      </c>
      <c r="F219" s="12">
        <v>5</v>
      </c>
      <c r="G219" s="12"/>
      <c r="H219" s="12"/>
      <c r="I219" s="27"/>
      <c r="J219" s="40"/>
      <c r="K219" s="13">
        <f t="shared" si="8"/>
        <v>38.4</v>
      </c>
    </row>
    <row r="220" s="1" customFormat="1" ht="21" customHeight="1" spans="1:11">
      <c r="A220" s="12" t="s">
        <v>230</v>
      </c>
      <c r="B220" s="12">
        <v>10.5</v>
      </c>
      <c r="C220" s="27" t="s">
        <v>231</v>
      </c>
      <c r="D220" s="27">
        <v>10</v>
      </c>
      <c r="E220" s="27">
        <v>10</v>
      </c>
      <c r="F220" s="27">
        <v>10</v>
      </c>
      <c r="G220" s="27"/>
      <c r="H220" s="27"/>
      <c r="I220" s="27"/>
      <c r="J220" s="40"/>
      <c r="K220" s="13">
        <f t="shared" si="8"/>
        <v>30</v>
      </c>
    </row>
    <row r="221" s="1" customFormat="1" ht="21" customHeight="1" spans="1:11">
      <c r="A221" s="27" t="s">
        <v>232</v>
      </c>
      <c r="B221" s="27">
        <v>12</v>
      </c>
      <c r="C221" s="27" t="s">
        <v>233</v>
      </c>
      <c r="D221" s="27">
        <v>12</v>
      </c>
      <c r="E221" s="27">
        <v>12</v>
      </c>
      <c r="F221" s="27">
        <v>12</v>
      </c>
      <c r="G221" s="27"/>
      <c r="H221" s="27"/>
      <c r="I221" s="27"/>
      <c r="J221" s="40"/>
      <c r="K221" s="13">
        <f t="shared" si="8"/>
        <v>36</v>
      </c>
    </row>
    <row r="222" s="1" customFormat="1" ht="21" customHeight="1" spans="1:11">
      <c r="A222" s="38"/>
      <c r="B222" s="41"/>
      <c r="C222" s="41"/>
      <c r="D222" s="41"/>
      <c r="E222" s="41"/>
      <c r="F222" s="30"/>
      <c r="G222" s="41"/>
      <c r="H222" s="41"/>
      <c r="I222" s="41"/>
      <c r="J222" s="41"/>
      <c r="K222" s="31">
        <f>SUM(K199:K221)</f>
        <v>786</v>
      </c>
    </row>
  </sheetData>
  <mergeCells count="113">
    <mergeCell ref="A1:K1"/>
    <mergeCell ref="A2:C2"/>
    <mergeCell ref="D2:K2"/>
    <mergeCell ref="A25:J25"/>
    <mergeCell ref="A28:K28"/>
    <mergeCell ref="A29:C29"/>
    <mergeCell ref="D29:K29"/>
    <mergeCell ref="A56:K56"/>
    <mergeCell ref="A57:C57"/>
    <mergeCell ref="D57:K57"/>
    <mergeCell ref="A84:K84"/>
    <mergeCell ref="A85:C85"/>
    <mergeCell ref="D85:K85"/>
    <mergeCell ref="A111:K111"/>
    <mergeCell ref="A112:C112"/>
    <mergeCell ref="D112:K112"/>
    <mergeCell ref="A140:K140"/>
    <mergeCell ref="A141:C141"/>
    <mergeCell ref="D141:K141"/>
    <mergeCell ref="A168:K168"/>
    <mergeCell ref="A169:C169"/>
    <mergeCell ref="D169:K169"/>
    <mergeCell ref="A193:J193"/>
    <mergeCell ref="A196:K196"/>
    <mergeCell ref="A197:C197"/>
    <mergeCell ref="D197:K197"/>
    <mergeCell ref="A5:A6"/>
    <mergeCell ref="A7:A11"/>
    <mergeCell ref="A12:A13"/>
    <mergeCell ref="A14:A17"/>
    <mergeCell ref="A18:A22"/>
    <mergeCell ref="A32:A33"/>
    <mergeCell ref="A34:A35"/>
    <mergeCell ref="A36:A37"/>
    <mergeCell ref="A39:A40"/>
    <mergeCell ref="A41:A44"/>
    <mergeCell ref="A45:A47"/>
    <mergeCell ref="A60:A61"/>
    <mergeCell ref="A62:A63"/>
    <mergeCell ref="A64:A65"/>
    <mergeCell ref="A67:A68"/>
    <mergeCell ref="A69:A72"/>
    <mergeCell ref="A73:A77"/>
    <mergeCell ref="A88:A89"/>
    <mergeCell ref="A90:A91"/>
    <mergeCell ref="A92:A93"/>
    <mergeCell ref="A95:A96"/>
    <mergeCell ref="A97:A100"/>
    <mergeCell ref="A101:A105"/>
    <mergeCell ref="A115:A117"/>
    <mergeCell ref="A118:A119"/>
    <mergeCell ref="A120:A121"/>
    <mergeCell ref="A123:A124"/>
    <mergeCell ref="A125:A128"/>
    <mergeCell ref="A129:A133"/>
    <mergeCell ref="A144:A145"/>
    <mergeCell ref="A146:A147"/>
    <mergeCell ref="A148:A149"/>
    <mergeCell ref="A151:A152"/>
    <mergeCell ref="A153:A156"/>
    <mergeCell ref="A157:A162"/>
    <mergeCell ref="A172:A174"/>
    <mergeCell ref="A175:A176"/>
    <mergeCell ref="A177:A178"/>
    <mergeCell ref="A180:A181"/>
    <mergeCell ref="A182:A185"/>
    <mergeCell ref="A186:A190"/>
    <mergeCell ref="A200:A202"/>
    <mergeCell ref="A203:A204"/>
    <mergeCell ref="A205:A206"/>
    <mergeCell ref="A208:A209"/>
    <mergeCell ref="A210:A213"/>
    <mergeCell ref="A214:A219"/>
    <mergeCell ref="B5:B6"/>
    <mergeCell ref="B7:B11"/>
    <mergeCell ref="B12:B13"/>
    <mergeCell ref="B14:B17"/>
    <mergeCell ref="B18:B22"/>
    <mergeCell ref="B32:B33"/>
    <mergeCell ref="B34:B38"/>
    <mergeCell ref="B39:B40"/>
    <mergeCell ref="B41:B44"/>
    <mergeCell ref="B45:B47"/>
    <mergeCell ref="B60:B61"/>
    <mergeCell ref="B62:B66"/>
    <mergeCell ref="B67:B68"/>
    <mergeCell ref="B69:B72"/>
    <mergeCell ref="B73:B77"/>
    <mergeCell ref="B88:B89"/>
    <mergeCell ref="B90:B94"/>
    <mergeCell ref="B95:B96"/>
    <mergeCell ref="B97:B100"/>
    <mergeCell ref="B101:B105"/>
    <mergeCell ref="B115:B117"/>
    <mergeCell ref="B118:B122"/>
    <mergeCell ref="B123:B124"/>
    <mergeCell ref="B125:B128"/>
    <mergeCell ref="B129:B133"/>
    <mergeCell ref="B144:B145"/>
    <mergeCell ref="B146:B150"/>
    <mergeCell ref="B151:B152"/>
    <mergeCell ref="B153:B156"/>
    <mergeCell ref="B157:B162"/>
    <mergeCell ref="B172:B174"/>
    <mergeCell ref="B175:B179"/>
    <mergeCell ref="B180:B181"/>
    <mergeCell ref="B182:B185"/>
    <mergeCell ref="B186:B190"/>
    <mergeCell ref="B200:B202"/>
    <mergeCell ref="B203:B207"/>
    <mergeCell ref="B208:B209"/>
    <mergeCell ref="B210:B213"/>
    <mergeCell ref="B214:B21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2"/>
  <sheetViews>
    <sheetView topLeftCell="A244" workbookViewId="0">
      <selection activeCell="A244" sqref="$A244:$XFD268"/>
    </sheetView>
  </sheetViews>
  <sheetFormatPr defaultColWidth="9" defaultRowHeight="13.5"/>
  <sheetData>
    <row r="1" s="1" customFormat="1" ht="28" customHeight="1" spans="1:11">
      <c r="A1" s="42" t="s">
        <v>443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="1" customFormat="1" ht="21" customHeight="1" spans="1:11">
      <c r="A2" s="91" t="s">
        <v>293</v>
      </c>
      <c r="B2" s="91"/>
      <c r="C2" s="91"/>
      <c r="D2" s="92" t="s">
        <v>444</v>
      </c>
      <c r="E2" s="91"/>
      <c r="F2" s="91"/>
      <c r="G2" s="91"/>
      <c r="H2" s="91"/>
      <c r="I2" s="91"/>
      <c r="J2" s="91"/>
      <c r="K2" s="91"/>
    </row>
    <row r="3" s="1" customFormat="1" ht="21" customHeight="1" spans="1:11">
      <c r="A3" s="93" t="s">
        <v>200</v>
      </c>
      <c r="B3" s="93" t="s">
        <v>201</v>
      </c>
      <c r="C3" s="94" t="s">
        <v>202</v>
      </c>
      <c r="D3" s="95" t="s">
        <v>6</v>
      </c>
      <c r="E3" s="95" t="s">
        <v>6</v>
      </c>
      <c r="F3" s="93" t="s">
        <v>6</v>
      </c>
      <c r="G3" s="93" t="s">
        <v>6</v>
      </c>
      <c r="H3" s="93" t="s">
        <v>6</v>
      </c>
      <c r="I3" s="93" t="s">
        <v>6</v>
      </c>
      <c r="J3" s="93" t="s">
        <v>203</v>
      </c>
      <c r="K3" s="93" t="s">
        <v>204</v>
      </c>
    </row>
    <row r="4" s="1" customFormat="1" ht="21" customHeight="1" spans="1:11">
      <c r="A4" s="13" t="s">
        <v>205</v>
      </c>
      <c r="B4" s="13">
        <v>12</v>
      </c>
      <c r="C4" s="38" t="s">
        <v>206</v>
      </c>
      <c r="D4" s="28">
        <v>12</v>
      </c>
      <c r="E4" s="28">
        <v>10</v>
      </c>
      <c r="F4" s="28"/>
      <c r="G4" s="28"/>
      <c r="H4" s="28"/>
      <c r="I4" s="13"/>
      <c r="J4" s="13"/>
      <c r="K4" s="13">
        <f t="shared" ref="K4:K24" si="0">SUM(D4:J4)</f>
        <v>22</v>
      </c>
    </row>
    <row r="5" s="1" customFormat="1" ht="21" customHeight="1" spans="1:11">
      <c r="A5" s="96" t="s">
        <v>207</v>
      </c>
      <c r="B5" s="13">
        <v>11.5</v>
      </c>
      <c r="C5" s="17" t="s">
        <v>208</v>
      </c>
      <c r="D5" s="28">
        <v>17.5</v>
      </c>
      <c r="E5" s="28">
        <v>15</v>
      </c>
      <c r="F5" s="28"/>
      <c r="G5" s="28"/>
      <c r="H5" s="28"/>
      <c r="I5" s="13"/>
      <c r="J5" s="13"/>
      <c r="K5" s="13">
        <f t="shared" si="0"/>
        <v>32.5</v>
      </c>
    </row>
    <row r="6" s="1" customFormat="1" ht="21" customHeight="1" spans="1:11">
      <c r="A6" s="96"/>
      <c r="B6" s="13"/>
      <c r="C6" s="17" t="s">
        <v>210</v>
      </c>
      <c r="D6" s="28">
        <v>17.5</v>
      </c>
      <c r="E6" s="28">
        <v>15</v>
      </c>
      <c r="F6" s="28"/>
      <c r="G6" s="28"/>
      <c r="H6" s="28"/>
      <c r="I6" s="13"/>
      <c r="J6" s="13"/>
      <c r="K6" s="13">
        <f t="shared" si="0"/>
        <v>32.5</v>
      </c>
    </row>
    <row r="7" s="1" customFormat="1" ht="21" customHeight="1" spans="1:11">
      <c r="A7" s="16" t="s">
        <v>237</v>
      </c>
      <c r="B7" s="13">
        <v>11.5</v>
      </c>
      <c r="C7" s="17" t="s">
        <v>212</v>
      </c>
      <c r="D7" s="13">
        <v>10</v>
      </c>
      <c r="E7" s="28">
        <v>10</v>
      </c>
      <c r="F7" s="28"/>
      <c r="G7" s="28"/>
      <c r="H7" s="28"/>
      <c r="I7" s="13"/>
      <c r="J7" s="13"/>
      <c r="K7" s="13">
        <f t="shared" si="0"/>
        <v>20</v>
      </c>
    </row>
    <row r="8" s="1" customFormat="1" ht="21" customHeight="1" spans="1:11">
      <c r="A8" s="18"/>
      <c r="B8" s="13"/>
      <c r="C8" s="1" t="s">
        <v>215</v>
      </c>
      <c r="D8" s="13">
        <v>11.5</v>
      </c>
      <c r="E8" s="28">
        <v>11.5</v>
      </c>
      <c r="F8" s="28"/>
      <c r="G8" s="28"/>
      <c r="H8" s="28"/>
      <c r="I8" s="13"/>
      <c r="J8" s="13"/>
      <c r="K8" s="13">
        <f t="shared" si="0"/>
        <v>23</v>
      </c>
    </row>
    <row r="9" s="1" customFormat="1" ht="21" customHeight="1" spans="1:11">
      <c r="A9" s="19" t="s">
        <v>238</v>
      </c>
      <c r="B9" s="13"/>
      <c r="C9" s="17" t="s">
        <v>213</v>
      </c>
      <c r="D9" s="13">
        <v>15</v>
      </c>
      <c r="E9" s="28">
        <v>15</v>
      </c>
      <c r="F9" s="28"/>
      <c r="G9" s="28"/>
      <c r="H9" s="28"/>
      <c r="I9" s="13"/>
      <c r="J9" s="13"/>
      <c r="K9" s="13">
        <f t="shared" si="0"/>
        <v>30</v>
      </c>
    </row>
    <row r="10" s="1" customFormat="1" ht="21" customHeight="1" spans="1:11">
      <c r="A10" s="20"/>
      <c r="B10" s="13"/>
      <c r="C10" s="17" t="s">
        <v>216</v>
      </c>
      <c r="D10" s="13">
        <v>15</v>
      </c>
      <c r="E10" s="28">
        <v>15</v>
      </c>
      <c r="F10" s="28"/>
      <c r="G10" s="28"/>
      <c r="H10" s="28"/>
      <c r="I10" s="13"/>
      <c r="J10" s="13"/>
      <c r="K10" s="13">
        <f t="shared" si="0"/>
        <v>30</v>
      </c>
    </row>
    <row r="11" s="1" customFormat="1" ht="21" customHeight="1" spans="1:11">
      <c r="A11" s="21" t="s">
        <v>239</v>
      </c>
      <c r="B11" s="13"/>
      <c r="C11" s="13" t="s">
        <v>214</v>
      </c>
      <c r="D11" s="13">
        <v>15</v>
      </c>
      <c r="E11" s="28">
        <v>10</v>
      </c>
      <c r="F11" s="28"/>
      <c r="G11" s="28"/>
      <c r="H11" s="28"/>
      <c r="I11" s="13"/>
      <c r="J11" s="13"/>
      <c r="K11" s="13">
        <f t="shared" si="0"/>
        <v>25</v>
      </c>
    </row>
    <row r="12" s="1" customFormat="1" ht="21" customHeight="1" spans="1:11">
      <c r="A12" s="13" t="s">
        <v>217</v>
      </c>
      <c r="B12" s="13">
        <v>10.5</v>
      </c>
      <c r="C12" s="13" t="s">
        <v>218</v>
      </c>
      <c r="D12" s="13">
        <v>15</v>
      </c>
      <c r="E12" s="28">
        <v>15</v>
      </c>
      <c r="F12" s="28"/>
      <c r="G12" s="28"/>
      <c r="H12" s="28"/>
      <c r="I12" s="13"/>
      <c r="J12" s="13"/>
      <c r="K12" s="13">
        <f t="shared" si="0"/>
        <v>30</v>
      </c>
    </row>
    <row r="13" s="1" customFormat="1" ht="21" customHeight="1" spans="1:11">
      <c r="A13" s="13"/>
      <c r="B13" s="13"/>
      <c r="C13" s="13" t="s">
        <v>219</v>
      </c>
      <c r="D13" s="13">
        <v>15</v>
      </c>
      <c r="E13" s="28">
        <v>10</v>
      </c>
      <c r="F13" s="28"/>
      <c r="G13" s="28"/>
      <c r="H13" s="28"/>
      <c r="I13" s="13"/>
      <c r="J13" s="13"/>
      <c r="K13" s="13">
        <f t="shared" si="0"/>
        <v>25</v>
      </c>
    </row>
    <row r="14" s="1" customFormat="1" ht="21" customHeight="1" spans="1:11">
      <c r="A14" s="13" t="s">
        <v>220</v>
      </c>
      <c r="B14" s="13">
        <v>11.5</v>
      </c>
      <c r="C14" s="17" t="s">
        <v>221</v>
      </c>
      <c r="D14" s="28">
        <v>30</v>
      </c>
      <c r="E14" s="28">
        <v>10</v>
      </c>
      <c r="F14" s="28"/>
      <c r="G14" s="28"/>
      <c r="H14" s="28"/>
      <c r="I14" s="13"/>
      <c r="J14" s="13"/>
      <c r="K14" s="13">
        <f t="shared" si="0"/>
        <v>40</v>
      </c>
    </row>
    <row r="15" s="1" customFormat="1" ht="21" customHeight="1" spans="1:11">
      <c r="A15" s="13"/>
      <c r="B15" s="13"/>
      <c r="C15" s="17" t="s">
        <v>222</v>
      </c>
      <c r="D15" s="28">
        <v>11</v>
      </c>
      <c r="E15" s="28">
        <v>5</v>
      </c>
      <c r="F15" s="28"/>
      <c r="G15" s="28"/>
      <c r="H15" s="28"/>
      <c r="I15" s="13"/>
      <c r="J15" s="13"/>
      <c r="K15" s="13">
        <f t="shared" si="0"/>
        <v>16</v>
      </c>
    </row>
    <row r="16" s="1" customFormat="1" ht="21" customHeight="1" spans="1:11">
      <c r="A16" s="13"/>
      <c r="B16" s="13"/>
      <c r="C16" s="17" t="s">
        <v>223</v>
      </c>
      <c r="D16" s="28">
        <v>16.5</v>
      </c>
      <c r="E16" s="28">
        <v>10</v>
      </c>
      <c r="F16" s="28"/>
      <c r="G16" s="28"/>
      <c r="H16" s="28"/>
      <c r="I16" s="13"/>
      <c r="J16" s="13"/>
      <c r="K16" s="13">
        <f t="shared" si="0"/>
        <v>26.5</v>
      </c>
    </row>
    <row r="17" s="1" customFormat="1" ht="21" customHeight="1" spans="1:11">
      <c r="A17" s="13"/>
      <c r="B17" s="13"/>
      <c r="C17" s="17" t="s">
        <v>224</v>
      </c>
      <c r="D17" s="28">
        <v>16.5</v>
      </c>
      <c r="E17" s="28">
        <v>5</v>
      </c>
      <c r="F17" s="28"/>
      <c r="G17" s="28"/>
      <c r="H17" s="28"/>
      <c r="I17" s="13"/>
      <c r="J17" s="13"/>
      <c r="K17" s="13">
        <f t="shared" si="0"/>
        <v>21.5</v>
      </c>
    </row>
    <row r="18" s="1" customFormat="1" ht="21" customHeight="1" spans="1:11">
      <c r="A18" s="97" t="s">
        <v>225</v>
      </c>
      <c r="B18" s="97">
        <v>10.5</v>
      </c>
      <c r="C18" s="13" t="s">
        <v>226</v>
      </c>
      <c r="D18" s="28">
        <v>16.5</v>
      </c>
      <c r="E18" s="28">
        <v>5</v>
      </c>
      <c r="F18" s="28"/>
      <c r="G18" s="28"/>
      <c r="H18" s="28"/>
      <c r="I18" s="13"/>
      <c r="J18" s="13"/>
      <c r="K18" s="13">
        <f t="shared" si="0"/>
        <v>21.5</v>
      </c>
    </row>
    <row r="19" s="1" customFormat="1" ht="21" customHeight="1" spans="1:11">
      <c r="A19" s="97"/>
      <c r="B19" s="97"/>
      <c r="C19" s="13" t="s">
        <v>228</v>
      </c>
      <c r="D19" s="13">
        <v>16.5</v>
      </c>
      <c r="E19" s="28">
        <v>5</v>
      </c>
      <c r="F19" s="28"/>
      <c r="G19" s="28"/>
      <c r="H19" s="28"/>
      <c r="I19" s="13"/>
      <c r="J19" s="13"/>
      <c r="K19" s="13">
        <f t="shared" si="0"/>
        <v>21.5</v>
      </c>
    </row>
    <row r="20" s="1" customFormat="1" ht="21" customHeight="1" spans="1:11">
      <c r="A20" s="97"/>
      <c r="B20" s="97"/>
      <c r="C20" s="13" t="s">
        <v>227</v>
      </c>
      <c r="D20" s="13">
        <v>16.5</v>
      </c>
      <c r="E20" s="28">
        <v>0</v>
      </c>
      <c r="F20" s="28"/>
      <c r="G20" s="28"/>
      <c r="H20" s="28"/>
      <c r="I20" s="13"/>
      <c r="J20" s="13"/>
      <c r="K20" s="13">
        <f t="shared" si="0"/>
        <v>16.5</v>
      </c>
    </row>
    <row r="21" s="1" customFormat="1" ht="21" customHeight="1" spans="1:11">
      <c r="A21" s="97"/>
      <c r="B21" s="97"/>
      <c r="C21" s="1" t="s">
        <v>295</v>
      </c>
      <c r="D21" s="28">
        <v>16.5</v>
      </c>
      <c r="E21" s="28">
        <v>5</v>
      </c>
      <c r="F21" s="28"/>
      <c r="G21" s="28"/>
      <c r="H21" s="28"/>
      <c r="I21" s="13"/>
      <c r="J21" s="98"/>
      <c r="K21" s="13">
        <f t="shared" si="0"/>
        <v>21.5</v>
      </c>
    </row>
    <row r="22" s="1" customFormat="1" ht="21" customHeight="1" spans="1:11">
      <c r="A22" s="97"/>
      <c r="B22" s="97"/>
      <c r="C22" s="13" t="s">
        <v>229</v>
      </c>
      <c r="D22" s="28">
        <v>16.5</v>
      </c>
      <c r="E22" s="28">
        <v>5</v>
      </c>
      <c r="F22" s="28"/>
      <c r="G22" s="28"/>
      <c r="H22" s="28"/>
      <c r="I22" s="13"/>
      <c r="J22" s="98"/>
      <c r="K22" s="13">
        <f t="shared" si="0"/>
        <v>21.5</v>
      </c>
    </row>
    <row r="23" s="1" customFormat="1" ht="21" customHeight="1" spans="1:11">
      <c r="A23" s="28" t="s">
        <v>230</v>
      </c>
      <c r="B23" s="28">
        <v>10.5</v>
      </c>
      <c r="C23" s="13" t="s">
        <v>231</v>
      </c>
      <c r="D23" s="13">
        <v>10.5</v>
      </c>
      <c r="E23" s="28">
        <v>5</v>
      </c>
      <c r="F23" s="28"/>
      <c r="G23" s="13"/>
      <c r="H23" s="13"/>
      <c r="I23" s="13"/>
      <c r="J23" s="98"/>
      <c r="K23" s="13">
        <f t="shared" si="0"/>
        <v>15.5</v>
      </c>
    </row>
    <row r="24" s="1" customFormat="1" ht="21" customHeight="1" spans="1:11">
      <c r="A24" s="13" t="s">
        <v>232</v>
      </c>
      <c r="B24" s="13">
        <v>12</v>
      </c>
      <c r="C24" s="13" t="s">
        <v>233</v>
      </c>
      <c r="D24" s="13">
        <v>12</v>
      </c>
      <c r="E24" s="13">
        <v>5</v>
      </c>
      <c r="F24" s="13"/>
      <c r="G24" s="13"/>
      <c r="H24" s="13"/>
      <c r="I24" s="13"/>
      <c r="J24" s="98"/>
      <c r="K24" s="13">
        <f t="shared" si="0"/>
        <v>17</v>
      </c>
    </row>
    <row r="25" s="1" customFormat="1" ht="21" customHeight="1" spans="1:11">
      <c r="A25" s="13"/>
      <c r="B25" s="13"/>
      <c r="C25" s="13"/>
      <c r="D25" s="13"/>
      <c r="E25" s="13"/>
      <c r="F25" s="13"/>
      <c r="G25" s="13"/>
      <c r="H25" s="13"/>
      <c r="I25" s="13"/>
      <c r="J25" s="105"/>
      <c r="K25" s="9">
        <f>SUM(K4:K24)</f>
        <v>509</v>
      </c>
    </row>
    <row r="27" ht="26" customHeight="1" spans="1:11">
      <c r="A27" s="42" t="s">
        <v>445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ht="26" customHeight="1" spans="1:11">
      <c r="A28" s="70" t="s">
        <v>257</v>
      </c>
      <c r="B28" s="27"/>
      <c r="C28" s="27"/>
      <c r="D28" s="37" t="s">
        <v>446</v>
      </c>
      <c r="E28" s="36"/>
      <c r="F28" s="36"/>
      <c r="G28" s="36"/>
      <c r="H28" s="36"/>
      <c r="I28" s="36"/>
      <c r="J28" s="36"/>
      <c r="K28" s="36"/>
    </row>
    <row r="29" ht="26" customHeight="1" spans="1:11">
      <c r="A29" s="27" t="s">
        <v>200</v>
      </c>
      <c r="B29" s="27" t="s">
        <v>201</v>
      </c>
      <c r="C29" s="38" t="s">
        <v>202</v>
      </c>
      <c r="D29" s="12" t="s">
        <v>6</v>
      </c>
      <c r="E29" s="12" t="s">
        <v>6</v>
      </c>
      <c r="F29" s="27" t="s">
        <v>6</v>
      </c>
      <c r="G29" s="27" t="s">
        <v>6</v>
      </c>
      <c r="H29" s="27" t="s">
        <v>6</v>
      </c>
      <c r="I29" s="27" t="s">
        <v>6</v>
      </c>
      <c r="J29" s="27" t="s">
        <v>203</v>
      </c>
      <c r="K29" s="27" t="s">
        <v>204</v>
      </c>
    </row>
    <row r="30" ht="26" customHeight="1" spans="1:11">
      <c r="A30" s="27" t="s">
        <v>205</v>
      </c>
      <c r="B30" s="27">
        <v>12</v>
      </c>
      <c r="C30" s="38" t="s">
        <v>206</v>
      </c>
      <c r="D30" s="12">
        <v>24</v>
      </c>
      <c r="E30" s="12">
        <v>24</v>
      </c>
      <c r="F30" s="12">
        <v>20</v>
      </c>
      <c r="G30" s="12"/>
      <c r="H30" s="12"/>
      <c r="I30" s="12"/>
      <c r="J30" s="12"/>
      <c r="K30" s="27">
        <f t="shared" ref="K30:K50" si="1">SUM(D30:J30)</f>
        <v>68</v>
      </c>
    </row>
    <row r="31" ht="26" customHeight="1" spans="1:11">
      <c r="A31" s="21" t="s">
        <v>207</v>
      </c>
      <c r="B31" s="27">
        <v>11.5</v>
      </c>
      <c r="C31" s="38" t="s">
        <v>208</v>
      </c>
      <c r="D31" s="12">
        <v>35</v>
      </c>
      <c r="E31" s="12">
        <v>35</v>
      </c>
      <c r="F31" s="12">
        <v>20</v>
      </c>
      <c r="G31" s="12"/>
      <c r="H31" s="12"/>
      <c r="I31" s="12"/>
      <c r="J31" s="12"/>
      <c r="K31" s="27">
        <f t="shared" si="1"/>
        <v>90</v>
      </c>
    </row>
    <row r="32" ht="26" customHeight="1" spans="1:11">
      <c r="A32" s="21"/>
      <c r="B32" s="27"/>
      <c r="C32" s="38" t="s">
        <v>210</v>
      </c>
      <c r="D32" s="12">
        <v>35</v>
      </c>
      <c r="E32" s="12">
        <v>35</v>
      </c>
      <c r="F32" s="12">
        <v>20</v>
      </c>
      <c r="G32" s="12"/>
      <c r="H32" s="12"/>
      <c r="I32" s="12"/>
      <c r="J32" s="12"/>
      <c r="K32" s="27">
        <f t="shared" si="1"/>
        <v>90</v>
      </c>
    </row>
    <row r="33" ht="26" customHeight="1" spans="1:11">
      <c r="A33" s="16" t="s">
        <v>237</v>
      </c>
      <c r="B33" s="13">
        <v>11.5</v>
      </c>
      <c r="C33" s="17" t="s">
        <v>212</v>
      </c>
      <c r="D33" s="27">
        <v>20</v>
      </c>
      <c r="E33" s="27">
        <v>20</v>
      </c>
      <c r="F33" s="12">
        <v>20</v>
      </c>
      <c r="G33" s="27"/>
      <c r="H33" s="27"/>
      <c r="I33" s="27"/>
      <c r="J33" s="12"/>
      <c r="K33" s="27">
        <f t="shared" si="1"/>
        <v>60</v>
      </c>
    </row>
    <row r="34" ht="26" customHeight="1" spans="1:11">
      <c r="A34" s="18"/>
      <c r="B34" s="13"/>
      <c r="C34" s="1" t="s">
        <v>215</v>
      </c>
      <c r="D34" s="27">
        <v>23</v>
      </c>
      <c r="E34" s="27">
        <v>23</v>
      </c>
      <c r="F34" s="12">
        <v>0</v>
      </c>
      <c r="G34" s="12"/>
      <c r="H34" s="12"/>
      <c r="I34" s="12"/>
      <c r="J34" s="12"/>
      <c r="K34" s="27">
        <f t="shared" si="1"/>
        <v>46</v>
      </c>
    </row>
    <row r="35" ht="26" customHeight="1" spans="1:11">
      <c r="A35" s="19" t="s">
        <v>238</v>
      </c>
      <c r="B35" s="13"/>
      <c r="C35" s="17" t="s">
        <v>213</v>
      </c>
      <c r="D35" s="27">
        <v>20</v>
      </c>
      <c r="E35" s="27">
        <v>20</v>
      </c>
      <c r="F35" s="12">
        <v>20</v>
      </c>
      <c r="G35" s="27"/>
      <c r="H35" s="27"/>
      <c r="I35" s="27"/>
      <c r="J35" s="12"/>
      <c r="K35" s="27">
        <f t="shared" si="1"/>
        <v>60</v>
      </c>
    </row>
    <row r="36" ht="26" customHeight="1" spans="1:11">
      <c r="A36" s="20"/>
      <c r="B36" s="13"/>
      <c r="C36" s="17" t="s">
        <v>216</v>
      </c>
      <c r="D36" s="27">
        <v>20</v>
      </c>
      <c r="E36" s="27">
        <v>20</v>
      </c>
      <c r="F36" s="12">
        <v>0</v>
      </c>
      <c r="G36" s="27"/>
      <c r="H36" s="27"/>
      <c r="I36" s="27"/>
      <c r="J36" s="12"/>
      <c r="K36" s="27">
        <f t="shared" si="1"/>
        <v>40</v>
      </c>
    </row>
    <row r="37" ht="26" customHeight="1" spans="1:11">
      <c r="A37" s="21" t="s">
        <v>239</v>
      </c>
      <c r="B37" s="13"/>
      <c r="C37" s="13" t="s">
        <v>214</v>
      </c>
      <c r="D37" s="27">
        <v>23</v>
      </c>
      <c r="E37" s="27">
        <v>23</v>
      </c>
      <c r="F37" s="12">
        <v>0</v>
      </c>
      <c r="G37" s="12"/>
      <c r="H37" s="12"/>
      <c r="I37" s="12"/>
      <c r="J37" s="12"/>
      <c r="K37" s="27">
        <f t="shared" si="1"/>
        <v>46</v>
      </c>
    </row>
    <row r="38" ht="26" customHeight="1" spans="1:11">
      <c r="A38" s="27" t="s">
        <v>217</v>
      </c>
      <c r="B38" s="27">
        <v>10.5</v>
      </c>
      <c r="C38" s="27" t="s">
        <v>218</v>
      </c>
      <c r="D38" s="27">
        <v>20</v>
      </c>
      <c r="E38" s="27">
        <v>20</v>
      </c>
      <c r="F38" s="12">
        <v>0</v>
      </c>
      <c r="G38" s="27"/>
      <c r="H38" s="27"/>
      <c r="I38" s="27"/>
      <c r="J38" s="12"/>
      <c r="K38" s="27">
        <f t="shared" si="1"/>
        <v>40</v>
      </c>
    </row>
    <row r="39" ht="26" customHeight="1" spans="1:11">
      <c r="A39" s="27"/>
      <c r="B39" s="27"/>
      <c r="C39" s="27" t="s">
        <v>219</v>
      </c>
      <c r="D39" s="27">
        <v>20</v>
      </c>
      <c r="E39" s="27">
        <v>20</v>
      </c>
      <c r="F39" s="12">
        <v>0</v>
      </c>
      <c r="G39" s="27"/>
      <c r="H39" s="27"/>
      <c r="I39" s="27"/>
      <c r="J39" s="12"/>
      <c r="K39" s="27">
        <f t="shared" si="1"/>
        <v>40</v>
      </c>
    </row>
    <row r="40" ht="26" customHeight="1" spans="1:11">
      <c r="A40" s="27" t="s">
        <v>220</v>
      </c>
      <c r="B40" s="27">
        <v>11.5</v>
      </c>
      <c r="C40" s="38" t="s">
        <v>221</v>
      </c>
      <c r="D40" s="12">
        <v>58</v>
      </c>
      <c r="E40" s="12">
        <v>58</v>
      </c>
      <c r="F40" s="12">
        <v>10</v>
      </c>
      <c r="G40" s="12"/>
      <c r="H40" s="12"/>
      <c r="I40" s="12"/>
      <c r="J40" s="12"/>
      <c r="K40" s="27">
        <f t="shared" si="1"/>
        <v>126</v>
      </c>
    </row>
    <row r="41" ht="26" customHeight="1" spans="1:11">
      <c r="A41" s="27"/>
      <c r="B41" s="27"/>
      <c r="C41" s="38" t="s">
        <v>222</v>
      </c>
      <c r="D41" s="12">
        <v>20</v>
      </c>
      <c r="E41" s="12">
        <v>20</v>
      </c>
      <c r="F41" s="12">
        <v>10</v>
      </c>
      <c r="G41" s="12"/>
      <c r="H41" s="12"/>
      <c r="I41" s="12"/>
      <c r="J41" s="12"/>
      <c r="K41" s="27">
        <f t="shared" si="1"/>
        <v>50</v>
      </c>
    </row>
    <row r="42" ht="26" customHeight="1" spans="1:11">
      <c r="A42" s="27"/>
      <c r="B42" s="27"/>
      <c r="C42" s="38" t="s">
        <v>223</v>
      </c>
      <c r="D42" s="12">
        <v>44</v>
      </c>
      <c r="E42" s="12">
        <v>44</v>
      </c>
      <c r="F42" s="12">
        <v>0</v>
      </c>
      <c r="G42" s="12"/>
      <c r="H42" s="12"/>
      <c r="I42" s="12"/>
      <c r="J42" s="12"/>
      <c r="K42" s="27">
        <f t="shared" si="1"/>
        <v>88</v>
      </c>
    </row>
    <row r="43" ht="26" customHeight="1" spans="1:11">
      <c r="A43" s="27"/>
      <c r="B43" s="27"/>
      <c r="C43" s="38" t="s">
        <v>224</v>
      </c>
      <c r="D43" s="12">
        <v>20</v>
      </c>
      <c r="E43" s="12">
        <v>20</v>
      </c>
      <c r="F43" s="12">
        <v>0</v>
      </c>
      <c r="G43" s="12"/>
      <c r="H43" s="12"/>
      <c r="I43" s="12"/>
      <c r="J43" s="12"/>
      <c r="K43" s="27">
        <f t="shared" si="1"/>
        <v>40</v>
      </c>
    </row>
    <row r="44" ht="26" customHeight="1" spans="1:11">
      <c r="A44" s="39" t="s">
        <v>225</v>
      </c>
      <c r="B44" s="39">
        <v>10.5</v>
      </c>
      <c r="C44" s="27" t="s">
        <v>226</v>
      </c>
      <c r="D44" s="12">
        <v>24</v>
      </c>
      <c r="E44" s="12">
        <v>24</v>
      </c>
      <c r="F44" s="12">
        <v>20</v>
      </c>
      <c r="G44" s="12"/>
      <c r="H44" s="12"/>
      <c r="I44" s="12"/>
      <c r="J44" s="12"/>
      <c r="K44" s="27">
        <f t="shared" si="1"/>
        <v>68</v>
      </c>
    </row>
    <row r="45" ht="26" customHeight="1" spans="1:11">
      <c r="A45" s="39"/>
      <c r="B45" s="39"/>
      <c r="C45" s="27" t="s">
        <v>228</v>
      </c>
      <c r="D45" s="12">
        <v>20</v>
      </c>
      <c r="E45" s="12">
        <v>20</v>
      </c>
      <c r="F45" s="12">
        <v>0</v>
      </c>
      <c r="G45" s="12"/>
      <c r="H45" s="12"/>
      <c r="I45" s="12"/>
      <c r="J45" s="12"/>
      <c r="K45" s="27">
        <f t="shared" si="1"/>
        <v>40</v>
      </c>
    </row>
    <row r="46" ht="26" customHeight="1" spans="1:11">
      <c r="A46" s="39"/>
      <c r="B46" s="39"/>
      <c r="C46" s="27" t="s">
        <v>289</v>
      </c>
      <c r="D46" s="12">
        <v>10</v>
      </c>
      <c r="E46" s="12">
        <v>10</v>
      </c>
      <c r="F46" s="12">
        <v>0</v>
      </c>
      <c r="G46" s="12"/>
      <c r="H46" s="12"/>
      <c r="I46" s="12"/>
      <c r="J46" s="12"/>
      <c r="K46" s="27">
        <f t="shared" si="1"/>
        <v>20</v>
      </c>
    </row>
    <row r="47" ht="26" customHeight="1" spans="1:11">
      <c r="A47" s="39"/>
      <c r="B47" s="39"/>
      <c r="C47" s="27" t="s">
        <v>229</v>
      </c>
      <c r="D47" s="12">
        <v>16</v>
      </c>
      <c r="E47" s="12">
        <v>16</v>
      </c>
      <c r="F47" s="12">
        <v>10</v>
      </c>
      <c r="G47" s="12"/>
      <c r="H47" s="12"/>
      <c r="I47" s="12"/>
      <c r="J47" s="12"/>
      <c r="K47" s="27">
        <f t="shared" si="1"/>
        <v>42</v>
      </c>
    </row>
    <row r="48" ht="26" customHeight="1" spans="1:11">
      <c r="A48" s="39"/>
      <c r="B48" s="39"/>
      <c r="C48" s="27" t="s">
        <v>240</v>
      </c>
      <c r="D48" s="12">
        <v>16</v>
      </c>
      <c r="E48" s="12">
        <v>16</v>
      </c>
      <c r="F48" s="12">
        <v>10</v>
      </c>
      <c r="G48" s="12"/>
      <c r="H48" s="12"/>
      <c r="I48" s="12"/>
      <c r="J48" s="12"/>
      <c r="K48" s="27">
        <f t="shared" si="1"/>
        <v>42</v>
      </c>
    </row>
    <row r="49" ht="26" customHeight="1" spans="1:11">
      <c r="A49" s="12" t="s">
        <v>230</v>
      </c>
      <c r="B49" s="12">
        <v>10.5</v>
      </c>
      <c r="C49" s="27" t="s">
        <v>231</v>
      </c>
      <c r="D49" s="27">
        <v>10.5</v>
      </c>
      <c r="E49" s="27">
        <v>10.5</v>
      </c>
      <c r="F49" s="27">
        <v>10.5</v>
      </c>
      <c r="G49" s="12"/>
      <c r="H49" s="12"/>
      <c r="I49" s="12"/>
      <c r="J49" s="27"/>
      <c r="K49" s="27">
        <f t="shared" si="1"/>
        <v>31.5</v>
      </c>
    </row>
    <row r="50" ht="26" customHeight="1" spans="1:11">
      <c r="A50" s="27" t="s">
        <v>232</v>
      </c>
      <c r="B50" s="27">
        <v>12</v>
      </c>
      <c r="C50" s="27" t="s">
        <v>233</v>
      </c>
      <c r="D50" s="27">
        <v>12</v>
      </c>
      <c r="E50" s="27">
        <v>12</v>
      </c>
      <c r="F50" s="27">
        <v>12</v>
      </c>
      <c r="G50" s="27"/>
      <c r="H50" s="27"/>
      <c r="I50" s="27"/>
      <c r="J50" s="27"/>
      <c r="K50" s="27">
        <f t="shared" si="1"/>
        <v>36</v>
      </c>
    </row>
    <row r="51" ht="26" customHeight="1" spans="1:11">
      <c r="A51" s="38"/>
      <c r="B51" s="41"/>
      <c r="C51" s="41"/>
      <c r="D51" s="41"/>
      <c r="E51" s="41"/>
      <c r="F51" s="41"/>
      <c r="G51" s="41"/>
      <c r="H51" s="41"/>
      <c r="I51" s="41"/>
      <c r="J51" s="40"/>
      <c r="K51" s="27">
        <f>SUM(K30:K50)</f>
        <v>1163.5</v>
      </c>
    </row>
    <row r="54" s="1" customFormat="1" ht="21" customHeight="1" spans="1:11">
      <c r="A54" s="4" t="s">
        <v>445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="1" customFormat="1" ht="21" customHeight="1" spans="1:11">
      <c r="A55" s="5" t="s">
        <v>235</v>
      </c>
      <c r="B55" s="5"/>
      <c r="C55" s="5"/>
      <c r="D55" s="5" t="s">
        <v>447</v>
      </c>
      <c r="E55" s="5"/>
      <c r="F55" s="5"/>
      <c r="G55" s="5"/>
      <c r="H55" s="5"/>
      <c r="I55" s="5"/>
      <c r="J55" s="5"/>
      <c r="K55" s="5"/>
    </row>
    <row r="56" s="1" customFormat="1" ht="21" customHeight="1" spans="1:11">
      <c r="A56" s="6" t="s">
        <v>200</v>
      </c>
      <c r="B56" s="6" t="s">
        <v>201</v>
      </c>
      <c r="C56" s="7" t="s">
        <v>202</v>
      </c>
      <c r="D56" s="8" t="s">
        <v>6</v>
      </c>
      <c r="E56" s="8" t="s">
        <v>6</v>
      </c>
      <c r="F56" s="6" t="s">
        <v>6</v>
      </c>
      <c r="G56" s="6" t="s">
        <v>6</v>
      </c>
      <c r="H56" s="6" t="s">
        <v>6</v>
      </c>
      <c r="I56" s="6" t="s">
        <v>6</v>
      </c>
      <c r="J56" s="6" t="s">
        <v>203</v>
      </c>
      <c r="K56" s="6" t="s">
        <v>204</v>
      </c>
    </row>
    <row r="57" s="1" customFormat="1" ht="21" customHeight="1" spans="1:11">
      <c r="A57" s="9" t="s">
        <v>205</v>
      </c>
      <c r="B57" s="9">
        <v>12</v>
      </c>
      <c r="C57" s="10" t="s">
        <v>206</v>
      </c>
      <c r="D57" s="86">
        <v>12</v>
      </c>
      <c r="E57" s="86">
        <v>10</v>
      </c>
      <c r="F57" s="26"/>
      <c r="G57" s="26"/>
      <c r="H57" s="26"/>
      <c r="I57" s="9"/>
      <c r="J57" s="9"/>
      <c r="K57" s="13">
        <f t="shared" ref="K57:K78" si="2">SUM(D57:J57)</f>
        <v>22</v>
      </c>
    </row>
    <row r="58" s="1" customFormat="1" ht="21" customHeight="1" spans="1:11">
      <c r="A58" s="14" t="s">
        <v>207</v>
      </c>
      <c r="B58" s="9">
        <v>11.5</v>
      </c>
      <c r="C58" s="15" t="s">
        <v>208</v>
      </c>
      <c r="D58" s="86">
        <v>11.5</v>
      </c>
      <c r="E58" s="86">
        <v>10</v>
      </c>
      <c r="F58" s="26"/>
      <c r="G58" s="26"/>
      <c r="H58" s="26"/>
      <c r="I58" s="9"/>
      <c r="J58" s="9"/>
      <c r="K58" s="13">
        <f t="shared" si="2"/>
        <v>21.5</v>
      </c>
    </row>
    <row r="59" s="1" customFormat="1" ht="21" customHeight="1" spans="1:11">
      <c r="A59" s="14"/>
      <c r="B59" s="9"/>
      <c r="C59" s="9" t="s">
        <v>209</v>
      </c>
      <c r="D59" s="86">
        <v>11.5</v>
      </c>
      <c r="E59" s="86">
        <v>10</v>
      </c>
      <c r="F59" s="26"/>
      <c r="G59" s="26"/>
      <c r="H59" s="26"/>
      <c r="I59" s="9"/>
      <c r="J59" s="9"/>
      <c r="K59" s="13">
        <f t="shared" si="2"/>
        <v>21.5</v>
      </c>
    </row>
    <row r="60" s="1" customFormat="1" ht="21" customHeight="1" spans="1:11">
      <c r="A60" s="14"/>
      <c r="B60" s="9"/>
      <c r="C60" s="15" t="s">
        <v>210</v>
      </c>
      <c r="D60" s="86">
        <v>11.5</v>
      </c>
      <c r="E60" s="86">
        <v>10</v>
      </c>
      <c r="F60" s="26"/>
      <c r="G60" s="26"/>
      <c r="H60" s="26"/>
      <c r="I60" s="9"/>
      <c r="J60" s="9"/>
      <c r="K60" s="13">
        <f t="shared" si="2"/>
        <v>21.5</v>
      </c>
    </row>
    <row r="61" s="1" customFormat="1" ht="21" customHeight="1" spans="1:11">
      <c r="A61" s="16" t="s">
        <v>237</v>
      </c>
      <c r="B61" s="13">
        <v>11.5</v>
      </c>
      <c r="C61" s="17" t="s">
        <v>212</v>
      </c>
      <c r="D61" s="86">
        <v>11.5</v>
      </c>
      <c r="E61" s="86">
        <v>0</v>
      </c>
      <c r="F61" s="26"/>
      <c r="G61" s="26"/>
      <c r="H61" s="26"/>
      <c r="I61" s="9"/>
      <c r="J61" s="9"/>
      <c r="K61" s="13">
        <f t="shared" si="2"/>
        <v>11.5</v>
      </c>
    </row>
    <row r="62" s="1" customFormat="1" ht="21" customHeight="1" spans="1:11">
      <c r="A62" s="18"/>
      <c r="B62" s="13"/>
      <c r="C62" s="1" t="s">
        <v>215</v>
      </c>
      <c r="D62" s="86">
        <v>23</v>
      </c>
      <c r="E62" s="86">
        <v>0</v>
      </c>
      <c r="F62" s="26"/>
      <c r="G62" s="26"/>
      <c r="H62" s="26"/>
      <c r="I62" s="9"/>
      <c r="J62" s="9"/>
      <c r="K62" s="13">
        <f t="shared" si="2"/>
        <v>23</v>
      </c>
    </row>
    <row r="63" s="1" customFormat="1" ht="21" customHeight="1" spans="1:11">
      <c r="A63" s="19" t="s">
        <v>238</v>
      </c>
      <c r="B63" s="13"/>
      <c r="C63" s="17" t="s">
        <v>213</v>
      </c>
      <c r="D63" s="86">
        <v>23</v>
      </c>
      <c r="E63" s="86">
        <v>10</v>
      </c>
      <c r="F63" s="26"/>
      <c r="G63" s="26"/>
      <c r="H63" s="26"/>
      <c r="I63" s="9"/>
      <c r="J63" s="9"/>
      <c r="K63" s="13">
        <f t="shared" si="2"/>
        <v>33</v>
      </c>
    </row>
    <row r="64" s="1" customFormat="1" ht="21" customHeight="1" spans="1:11">
      <c r="A64" s="20"/>
      <c r="B64" s="13"/>
      <c r="C64" s="17" t="s">
        <v>216</v>
      </c>
      <c r="D64" s="86">
        <v>23</v>
      </c>
      <c r="E64" s="86">
        <v>10</v>
      </c>
      <c r="F64" s="26"/>
      <c r="G64" s="26"/>
      <c r="H64" s="26"/>
      <c r="I64" s="26"/>
      <c r="J64" s="9"/>
      <c r="K64" s="13">
        <f t="shared" si="2"/>
        <v>33</v>
      </c>
    </row>
    <row r="65" s="1" customFormat="1" ht="21" customHeight="1" spans="1:11">
      <c r="A65" s="21" t="s">
        <v>239</v>
      </c>
      <c r="B65" s="13"/>
      <c r="C65" s="13" t="s">
        <v>214</v>
      </c>
      <c r="D65" s="86">
        <v>0</v>
      </c>
      <c r="E65" s="86">
        <v>10</v>
      </c>
      <c r="F65" s="26"/>
      <c r="G65" s="26"/>
      <c r="H65" s="26"/>
      <c r="I65" s="26"/>
      <c r="J65" s="9"/>
      <c r="K65" s="13">
        <f t="shared" si="2"/>
        <v>10</v>
      </c>
    </row>
    <row r="66" s="1" customFormat="1" ht="21" customHeight="1" spans="1:11">
      <c r="A66" s="9" t="s">
        <v>217</v>
      </c>
      <c r="B66" s="9">
        <v>10.5</v>
      </c>
      <c r="C66" s="9" t="s">
        <v>218</v>
      </c>
      <c r="D66" s="86">
        <v>0</v>
      </c>
      <c r="E66" s="86">
        <v>10</v>
      </c>
      <c r="F66" s="26"/>
      <c r="G66" s="26"/>
      <c r="H66" s="26"/>
      <c r="I66" s="9"/>
      <c r="J66" s="9"/>
      <c r="K66" s="13">
        <f t="shared" si="2"/>
        <v>10</v>
      </c>
    </row>
    <row r="67" s="1" customFormat="1" ht="21" customHeight="1" spans="1:11">
      <c r="A67" s="9"/>
      <c r="B67" s="9"/>
      <c r="C67" s="9" t="s">
        <v>219</v>
      </c>
      <c r="D67" s="86">
        <v>0</v>
      </c>
      <c r="E67" s="86">
        <v>0</v>
      </c>
      <c r="F67" s="26"/>
      <c r="G67" s="26"/>
      <c r="H67" s="26"/>
      <c r="I67" s="9"/>
      <c r="J67" s="9"/>
      <c r="K67" s="13">
        <f t="shared" si="2"/>
        <v>0</v>
      </c>
    </row>
    <row r="68" s="1" customFormat="1" ht="21" customHeight="1" spans="1:11">
      <c r="A68" s="9" t="s">
        <v>220</v>
      </c>
      <c r="B68" s="9">
        <v>11.5</v>
      </c>
      <c r="C68" s="15" t="s">
        <v>221</v>
      </c>
      <c r="D68" s="86">
        <v>10</v>
      </c>
      <c r="E68" s="86">
        <v>10</v>
      </c>
      <c r="F68" s="26"/>
      <c r="G68" s="26"/>
      <c r="H68" s="26"/>
      <c r="I68" s="9"/>
      <c r="J68" s="9"/>
      <c r="K68" s="13">
        <f t="shared" si="2"/>
        <v>20</v>
      </c>
    </row>
    <row r="69" s="1" customFormat="1" ht="21" customHeight="1" spans="1:11">
      <c r="A69" s="9"/>
      <c r="B69" s="9"/>
      <c r="C69" s="15" t="s">
        <v>222</v>
      </c>
      <c r="D69" s="86">
        <v>16</v>
      </c>
      <c r="E69" s="86">
        <v>0</v>
      </c>
      <c r="F69" s="26"/>
      <c r="G69" s="26"/>
      <c r="H69" s="26"/>
      <c r="I69" s="9"/>
      <c r="J69" s="9"/>
      <c r="K69" s="13">
        <f t="shared" si="2"/>
        <v>16</v>
      </c>
    </row>
    <row r="70" s="1" customFormat="1" ht="21" customHeight="1" spans="1:11">
      <c r="A70" s="9"/>
      <c r="B70" s="9"/>
      <c r="C70" s="15" t="s">
        <v>223</v>
      </c>
      <c r="D70" s="86">
        <v>16</v>
      </c>
      <c r="E70" s="86">
        <v>10</v>
      </c>
      <c r="F70" s="26"/>
      <c r="G70" s="26"/>
      <c r="H70" s="26"/>
      <c r="I70" s="9"/>
      <c r="J70" s="9"/>
      <c r="K70" s="13">
        <f t="shared" si="2"/>
        <v>26</v>
      </c>
    </row>
    <row r="71" s="1" customFormat="1" ht="21" customHeight="1" spans="1:11">
      <c r="A71" s="9"/>
      <c r="B71" s="9"/>
      <c r="C71" s="15" t="s">
        <v>224</v>
      </c>
      <c r="D71" s="86">
        <v>68</v>
      </c>
      <c r="E71" s="86">
        <v>0</v>
      </c>
      <c r="F71" s="26"/>
      <c r="G71" s="26"/>
      <c r="H71" s="26"/>
      <c r="I71" s="9"/>
      <c r="J71" s="9"/>
      <c r="K71" s="13">
        <f t="shared" si="2"/>
        <v>68</v>
      </c>
    </row>
    <row r="72" s="1" customFormat="1" ht="21" customHeight="1" spans="1:11">
      <c r="A72" s="25" t="s">
        <v>225</v>
      </c>
      <c r="B72" s="25">
        <v>10.5</v>
      </c>
      <c r="C72" s="9" t="s">
        <v>226</v>
      </c>
      <c r="D72" s="86">
        <v>11</v>
      </c>
      <c r="E72" s="86">
        <v>0</v>
      </c>
      <c r="F72" s="26"/>
      <c r="G72" s="26"/>
      <c r="H72" s="26"/>
      <c r="I72" s="9"/>
      <c r="J72" s="9"/>
      <c r="K72" s="13">
        <f t="shared" si="2"/>
        <v>11</v>
      </c>
    </row>
    <row r="73" s="1" customFormat="1" ht="21" customHeight="1" spans="1:11">
      <c r="A73" s="25"/>
      <c r="B73" s="25"/>
      <c r="C73" s="9" t="s">
        <v>228</v>
      </c>
      <c r="D73" s="86">
        <v>20</v>
      </c>
      <c r="E73" s="86">
        <v>0</v>
      </c>
      <c r="F73" s="26"/>
      <c r="G73" s="26"/>
      <c r="H73" s="26"/>
      <c r="I73" s="9"/>
      <c r="J73" s="9"/>
      <c r="K73" s="13">
        <f t="shared" si="2"/>
        <v>20</v>
      </c>
    </row>
    <row r="74" s="1" customFormat="1" ht="21" customHeight="1" spans="1:11">
      <c r="A74" s="25"/>
      <c r="B74" s="25"/>
      <c r="C74" s="9" t="s">
        <v>227</v>
      </c>
      <c r="D74" s="86">
        <v>11</v>
      </c>
      <c r="E74" s="86">
        <v>0</v>
      </c>
      <c r="F74" s="26"/>
      <c r="G74" s="26"/>
      <c r="H74" s="26"/>
      <c r="I74" s="9"/>
      <c r="J74" s="9"/>
      <c r="K74" s="13">
        <f t="shared" si="2"/>
        <v>11</v>
      </c>
    </row>
    <row r="75" s="1" customFormat="1" ht="21" customHeight="1" spans="1:11">
      <c r="A75" s="25"/>
      <c r="B75" s="25"/>
      <c r="C75" s="9" t="s">
        <v>240</v>
      </c>
      <c r="D75" s="86">
        <v>22</v>
      </c>
      <c r="E75" s="86">
        <v>0</v>
      </c>
      <c r="F75" s="26"/>
      <c r="G75" s="26"/>
      <c r="H75" s="26"/>
      <c r="I75" s="9"/>
      <c r="J75" s="106"/>
      <c r="K75" s="13">
        <f t="shared" si="2"/>
        <v>22</v>
      </c>
    </row>
    <row r="76" s="1" customFormat="1" ht="21" customHeight="1" spans="1:11">
      <c r="A76" s="25"/>
      <c r="B76" s="25"/>
      <c r="C76" s="9" t="s">
        <v>229</v>
      </c>
      <c r="D76" s="86">
        <v>11</v>
      </c>
      <c r="E76" s="86">
        <v>10</v>
      </c>
      <c r="F76" s="26"/>
      <c r="G76" s="26"/>
      <c r="H76" s="26"/>
      <c r="I76" s="9"/>
      <c r="J76" s="106"/>
      <c r="K76" s="13">
        <f t="shared" si="2"/>
        <v>21</v>
      </c>
    </row>
    <row r="77" s="1" customFormat="1" ht="21" customHeight="1" spans="1:11">
      <c r="A77" s="26" t="s">
        <v>230</v>
      </c>
      <c r="B77" s="26">
        <v>10.5</v>
      </c>
      <c r="C77" s="9" t="s">
        <v>231</v>
      </c>
      <c r="D77" s="86">
        <v>10.5</v>
      </c>
      <c r="E77" s="86">
        <v>10.5</v>
      </c>
      <c r="F77" s="9"/>
      <c r="G77" s="9"/>
      <c r="H77" s="9"/>
      <c r="I77" s="9"/>
      <c r="J77" s="106"/>
      <c r="K77" s="13">
        <f t="shared" si="2"/>
        <v>21</v>
      </c>
    </row>
    <row r="78" s="1" customFormat="1" ht="21" customHeight="1" spans="1:11">
      <c r="A78" s="26" t="s">
        <v>232</v>
      </c>
      <c r="B78" s="26">
        <v>12</v>
      </c>
      <c r="C78" s="26" t="s">
        <v>233</v>
      </c>
      <c r="D78" s="86">
        <v>12</v>
      </c>
      <c r="E78" s="86">
        <v>20</v>
      </c>
      <c r="F78" s="26"/>
      <c r="G78" s="26"/>
      <c r="H78" s="26"/>
      <c r="I78" s="26"/>
      <c r="J78" s="107"/>
      <c r="K78" s="13">
        <f t="shared" si="2"/>
        <v>32</v>
      </c>
    </row>
    <row r="79" s="1" customFormat="1" ht="21" customHeight="1" spans="1:11">
      <c r="A79" s="17"/>
      <c r="B79" s="29"/>
      <c r="C79" s="29"/>
      <c r="D79" s="29"/>
      <c r="E79" s="29"/>
      <c r="F79" s="29"/>
      <c r="G79" s="29"/>
      <c r="H79" s="29"/>
      <c r="I79" s="29"/>
      <c r="J79" s="99"/>
      <c r="K79" s="9">
        <f>SUM(K57:K78)</f>
        <v>475</v>
      </c>
    </row>
    <row r="82" s="102" customFormat="1" ht="23.25" customHeight="1" spans="1:11">
      <c r="A82" s="88" t="s">
        <v>443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</row>
    <row r="83" s="102" customFormat="1" ht="23.25" customHeight="1" spans="1:11">
      <c r="A83" s="108" t="s">
        <v>235</v>
      </c>
      <c r="B83" s="108"/>
      <c r="C83" s="108"/>
      <c r="D83" s="109" t="s">
        <v>448</v>
      </c>
      <c r="E83" s="110"/>
      <c r="F83" s="108"/>
      <c r="G83" s="110"/>
      <c r="H83" s="108"/>
      <c r="I83" s="108"/>
      <c r="J83" s="108"/>
      <c r="K83" s="108"/>
    </row>
    <row r="84" s="102" customFormat="1" ht="23.25" customHeight="1" spans="1:11">
      <c r="A84" s="110" t="s">
        <v>200</v>
      </c>
      <c r="B84" s="110" t="s">
        <v>201</v>
      </c>
      <c r="C84" s="111" t="s">
        <v>202</v>
      </c>
      <c r="D84" s="112" t="s">
        <v>6</v>
      </c>
      <c r="E84" s="112" t="s">
        <v>6</v>
      </c>
      <c r="F84" s="110" t="s">
        <v>6</v>
      </c>
      <c r="G84" s="110" t="s">
        <v>6</v>
      </c>
      <c r="H84" s="110" t="s">
        <v>6</v>
      </c>
      <c r="I84" s="110" t="s">
        <v>6</v>
      </c>
      <c r="J84" s="110" t="s">
        <v>203</v>
      </c>
      <c r="K84" s="110" t="s">
        <v>204</v>
      </c>
    </row>
    <row r="85" s="102" customFormat="1" ht="23.25" customHeight="1" spans="1:11">
      <c r="A85" s="68" t="s">
        <v>205</v>
      </c>
      <c r="B85" s="68">
        <v>12</v>
      </c>
      <c r="C85" s="113" t="s">
        <v>206</v>
      </c>
      <c r="D85" s="114">
        <v>12</v>
      </c>
      <c r="E85" s="114">
        <v>10</v>
      </c>
      <c r="F85" s="114"/>
      <c r="G85" s="114"/>
      <c r="H85" s="114"/>
      <c r="I85" s="115"/>
      <c r="J85" s="115"/>
      <c r="K85" s="115">
        <f t="shared" ref="K85:K105" si="3">SUM(D85:J85)</f>
        <v>22</v>
      </c>
    </row>
    <row r="86" s="102" customFormat="1" ht="23.25" customHeight="1" spans="1:11">
      <c r="A86" s="116" t="s">
        <v>207</v>
      </c>
      <c r="B86" s="68">
        <v>11.5</v>
      </c>
      <c r="C86" s="117" t="s">
        <v>208</v>
      </c>
      <c r="D86" s="114">
        <v>17.5</v>
      </c>
      <c r="E86" s="114">
        <v>15</v>
      </c>
      <c r="F86" s="114"/>
      <c r="G86" s="114"/>
      <c r="H86" s="114"/>
      <c r="I86" s="115"/>
      <c r="J86" s="115"/>
      <c r="K86" s="115">
        <f t="shared" si="3"/>
        <v>32.5</v>
      </c>
    </row>
    <row r="87" s="102" customFormat="1" ht="23.25" customHeight="1" spans="1:11">
      <c r="A87" s="116"/>
      <c r="B87" s="68"/>
      <c r="C87" s="117" t="s">
        <v>210</v>
      </c>
      <c r="D87" s="114">
        <v>14</v>
      </c>
      <c r="E87" s="114">
        <v>15</v>
      </c>
      <c r="F87" s="114"/>
      <c r="G87" s="114"/>
      <c r="H87" s="114"/>
      <c r="I87" s="115"/>
      <c r="J87" s="115"/>
      <c r="K87" s="115">
        <f t="shared" si="3"/>
        <v>29</v>
      </c>
    </row>
    <row r="88" s="102" customFormat="1" ht="23.25" customHeight="1" spans="1:11">
      <c r="A88" s="79" t="s">
        <v>237</v>
      </c>
      <c r="B88" s="56">
        <v>11.5</v>
      </c>
      <c r="C88" s="61" t="s">
        <v>212</v>
      </c>
      <c r="D88" s="115">
        <v>0</v>
      </c>
      <c r="E88" s="115">
        <v>10</v>
      </c>
      <c r="F88" s="115"/>
      <c r="G88" s="115"/>
      <c r="H88" s="115"/>
      <c r="I88" s="115"/>
      <c r="J88" s="115"/>
      <c r="K88" s="115">
        <f t="shared" si="3"/>
        <v>10</v>
      </c>
    </row>
    <row r="89" s="102" customFormat="1" ht="23.25" customHeight="1" spans="1:11">
      <c r="A89" s="80"/>
      <c r="B89" s="56"/>
      <c r="C89" s="3" t="s">
        <v>215</v>
      </c>
      <c r="D89" s="115">
        <v>0</v>
      </c>
      <c r="E89" s="115">
        <v>10</v>
      </c>
      <c r="F89" s="115"/>
      <c r="G89" s="115"/>
      <c r="H89" s="115"/>
      <c r="I89" s="115"/>
      <c r="J89" s="115"/>
      <c r="K89" s="115">
        <f t="shared" si="3"/>
        <v>10</v>
      </c>
    </row>
    <row r="90" s="102" customFormat="1" ht="23.25" customHeight="1" spans="1:11">
      <c r="A90" s="81" t="s">
        <v>238</v>
      </c>
      <c r="B90" s="56"/>
      <c r="C90" s="61" t="s">
        <v>213</v>
      </c>
      <c r="D90" s="115">
        <v>0</v>
      </c>
      <c r="E90" s="115">
        <v>10</v>
      </c>
      <c r="F90" s="115"/>
      <c r="G90" s="115"/>
      <c r="H90" s="115"/>
      <c r="I90" s="115"/>
      <c r="J90" s="115"/>
      <c r="K90" s="115">
        <f t="shared" si="3"/>
        <v>10</v>
      </c>
    </row>
    <row r="91" s="102" customFormat="1" ht="23.25" customHeight="1" spans="1:11">
      <c r="A91" s="82"/>
      <c r="B91" s="56"/>
      <c r="C91" s="61" t="s">
        <v>216</v>
      </c>
      <c r="D91" s="115">
        <v>0</v>
      </c>
      <c r="E91" s="115">
        <v>10</v>
      </c>
      <c r="F91" s="115"/>
      <c r="G91" s="115"/>
      <c r="H91" s="115"/>
      <c r="I91" s="114"/>
      <c r="J91" s="115"/>
      <c r="K91" s="115">
        <f t="shared" si="3"/>
        <v>10</v>
      </c>
    </row>
    <row r="92" s="102" customFormat="1" ht="23.25" customHeight="1" spans="1:11">
      <c r="A92" s="84" t="s">
        <v>239</v>
      </c>
      <c r="B92" s="56"/>
      <c r="C92" s="56" t="s">
        <v>214</v>
      </c>
      <c r="D92" s="115">
        <v>0</v>
      </c>
      <c r="E92" s="115">
        <v>10</v>
      </c>
      <c r="F92" s="115"/>
      <c r="G92" s="115"/>
      <c r="H92" s="115"/>
      <c r="I92" s="114"/>
      <c r="J92" s="115"/>
      <c r="K92" s="115">
        <f t="shared" si="3"/>
        <v>10</v>
      </c>
    </row>
    <row r="93" s="102" customFormat="1" ht="23.25" customHeight="1" spans="1:11">
      <c r="A93" s="68" t="s">
        <v>217</v>
      </c>
      <c r="B93" s="68">
        <v>10.5</v>
      </c>
      <c r="C93" s="68" t="s">
        <v>218</v>
      </c>
      <c r="D93" s="115">
        <v>0</v>
      </c>
      <c r="E93" s="115">
        <v>10</v>
      </c>
      <c r="F93" s="115"/>
      <c r="G93" s="115"/>
      <c r="H93" s="115"/>
      <c r="I93" s="115"/>
      <c r="J93" s="115"/>
      <c r="K93" s="115">
        <f t="shared" si="3"/>
        <v>10</v>
      </c>
    </row>
    <row r="94" s="102" customFormat="1" ht="23.25" customHeight="1" spans="1:11">
      <c r="A94" s="68"/>
      <c r="B94" s="68"/>
      <c r="C94" s="68" t="s">
        <v>219</v>
      </c>
      <c r="D94" s="115">
        <v>0</v>
      </c>
      <c r="E94" s="115">
        <v>10</v>
      </c>
      <c r="F94" s="115"/>
      <c r="G94" s="115"/>
      <c r="H94" s="115"/>
      <c r="I94" s="115"/>
      <c r="J94" s="115"/>
      <c r="K94" s="115">
        <f t="shared" si="3"/>
        <v>10</v>
      </c>
    </row>
    <row r="95" s="102" customFormat="1" ht="23.25" customHeight="1" spans="1:11">
      <c r="A95" s="68" t="s">
        <v>220</v>
      </c>
      <c r="B95" s="68">
        <v>11.5</v>
      </c>
      <c r="C95" s="117" t="s">
        <v>221</v>
      </c>
      <c r="D95" s="115">
        <v>19.5</v>
      </c>
      <c r="E95" s="118">
        <v>10</v>
      </c>
      <c r="F95" s="115"/>
      <c r="G95" s="115"/>
      <c r="H95" s="115"/>
      <c r="I95" s="115"/>
      <c r="J95" s="115"/>
      <c r="K95" s="115">
        <f t="shared" si="3"/>
        <v>29.5</v>
      </c>
    </row>
    <row r="96" s="102" customFormat="1" ht="23.25" customHeight="1" spans="1:11">
      <c r="A96" s="68"/>
      <c r="B96" s="68"/>
      <c r="C96" s="117" t="s">
        <v>222</v>
      </c>
      <c r="D96" s="118">
        <v>10</v>
      </c>
      <c r="E96" s="118">
        <v>10</v>
      </c>
      <c r="F96" s="118"/>
      <c r="G96" s="118"/>
      <c r="H96" s="118"/>
      <c r="I96" s="115"/>
      <c r="J96" s="115"/>
      <c r="K96" s="115">
        <f t="shared" si="3"/>
        <v>20</v>
      </c>
    </row>
    <row r="97" s="102" customFormat="1" ht="23.25" customHeight="1" spans="1:11">
      <c r="A97" s="68"/>
      <c r="B97" s="68"/>
      <c r="C97" s="117" t="s">
        <v>223</v>
      </c>
      <c r="D97" s="118">
        <v>11</v>
      </c>
      <c r="E97" s="118">
        <v>10</v>
      </c>
      <c r="F97" s="118"/>
      <c r="G97" s="118"/>
      <c r="H97" s="118"/>
      <c r="I97" s="115"/>
      <c r="J97" s="115"/>
      <c r="K97" s="115">
        <f t="shared" si="3"/>
        <v>21</v>
      </c>
    </row>
    <row r="98" s="102" customFormat="1" ht="23.25" customHeight="1" spans="1:11">
      <c r="A98" s="68"/>
      <c r="B98" s="68"/>
      <c r="C98" s="117" t="s">
        <v>224</v>
      </c>
      <c r="D98" s="114">
        <v>82.5</v>
      </c>
      <c r="E98" s="118">
        <v>10</v>
      </c>
      <c r="F98" s="114"/>
      <c r="G98" s="114"/>
      <c r="H98" s="114"/>
      <c r="I98" s="115"/>
      <c r="J98" s="115"/>
      <c r="K98" s="115">
        <f t="shared" si="3"/>
        <v>92.5</v>
      </c>
    </row>
    <row r="99" s="102" customFormat="1" ht="23.25" customHeight="1" spans="1:11">
      <c r="A99" s="119" t="s">
        <v>225</v>
      </c>
      <c r="B99" s="119">
        <v>10.5</v>
      </c>
      <c r="C99" s="68" t="s">
        <v>226</v>
      </c>
      <c r="D99" s="114">
        <v>12</v>
      </c>
      <c r="E99" s="118">
        <v>10</v>
      </c>
      <c r="F99" s="114"/>
      <c r="G99" s="114"/>
      <c r="H99" s="114"/>
      <c r="I99" s="115"/>
      <c r="J99" s="115"/>
      <c r="K99" s="115">
        <f t="shared" si="3"/>
        <v>22</v>
      </c>
    </row>
    <row r="100" s="102" customFormat="1" ht="23.25" customHeight="1" spans="1:11">
      <c r="A100" s="119"/>
      <c r="B100" s="119"/>
      <c r="C100" s="68" t="s">
        <v>228</v>
      </c>
      <c r="D100" s="114">
        <v>12</v>
      </c>
      <c r="E100" s="118">
        <v>10</v>
      </c>
      <c r="F100" s="114"/>
      <c r="G100" s="114"/>
      <c r="H100" s="114"/>
      <c r="I100" s="115"/>
      <c r="J100" s="115"/>
      <c r="K100" s="115">
        <f t="shared" si="3"/>
        <v>22</v>
      </c>
    </row>
    <row r="101" s="102" customFormat="1" ht="23.25" customHeight="1" spans="1:11">
      <c r="A101" s="119"/>
      <c r="B101" s="119"/>
      <c r="C101" s="68" t="s">
        <v>227</v>
      </c>
      <c r="D101" s="114">
        <v>12</v>
      </c>
      <c r="E101" s="118">
        <v>10</v>
      </c>
      <c r="F101" s="114"/>
      <c r="G101" s="114"/>
      <c r="H101" s="114"/>
      <c r="I101" s="115"/>
      <c r="J101" s="120"/>
      <c r="K101" s="115">
        <f t="shared" si="3"/>
        <v>22</v>
      </c>
    </row>
    <row r="102" s="102" customFormat="1" ht="23.25" customHeight="1" spans="1:11">
      <c r="A102" s="119"/>
      <c r="B102" s="119"/>
      <c r="C102" s="68" t="s">
        <v>229</v>
      </c>
      <c r="D102" s="114">
        <v>12</v>
      </c>
      <c r="E102" s="118">
        <v>10</v>
      </c>
      <c r="F102" s="114"/>
      <c r="G102" s="114"/>
      <c r="H102" s="114"/>
      <c r="I102" s="115"/>
      <c r="J102" s="120"/>
      <c r="K102" s="115">
        <f t="shared" si="3"/>
        <v>22</v>
      </c>
    </row>
    <row r="103" s="102" customFormat="1" ht="23.25" customHeight="1" spans="1:11">
      <c r="A103" s="119"/>
      <c r="B103" s="119"/>
      <c r="C103" s="68" t="s">
        <v>240</v>
      </c>
      <c r="D103" s="114">
        <v>12</v>
      </c>
      <c r="E103" s="118">
        <v>10</v>
      </c>
      <c r="F103" s="115"/>
      <c r="G103" s="114"/>
      <c r="H103" s="114"/>
      <c r="I103" s="115"/>
      <c r="J103" s="120"/>
      <c r="K103" s="115">
        <f t="shared" si="3"/>
        <v>22</v>
      </c>
    </row>
    <row r="104" s="102" customFormat="1" ht="23.25" customHeight="1" spans="1:11">
      <c r="A104" s="121" t="s">
        <v>230</v>
      </c>
      <c r="B104" s="121">
        <v>10.5</v>
      </c>
      <c r="C104" s="121" t="s">
        <v>231</v>
      </c>
      <c r="D104" s="115">
        <v>10.5</v>
      </c>
      <c r="E104" s="118">
        <v>10.5</v>
      </c>
      <c r="G104" s="115"/>
      <c r="H104" s="115"/>
      <c r="I104" s="115"/>
      <c r="J104" s="120"/>
      <c r="K104" s="115">
        <f t="shared" si="3"/>
        <v>21</v>
      </c>
    </row>
    <row r="105" s="102" customFormat="1" ht="23.25" customHeight="1" spans="1:11">
      <c r="A105" s="56" t="s">
        <v>232</v>
      </c>
      <c r="B105" s="56">
        <v>12</v>
      </c>
      <c r="C105" s="56" t="s">
        <v>233</v>
      </c>
      <c r="D105" s="115">
        <v>12</v>
      </c>
      <c r="E105" s="115">
        <v>0</v>
      </c>
      <c r="F105" s="115"/>
      <c r="G105" s="115"/>
      <c r="H105" s="115"/>
      <c r="I105" s="115"/>
      <c r="J105" s="120"/>
      <c r="K105" s="115">
        <f t="shared" si="3"/>
        <v>12</v>
      </c>
    </row>
    <row r="106" s="102" customFormat="1" ht="23.25" customHeight="1" spans="1:11">
      <c r="A106" s="122"/>
      <c r="B106" s="123"/>
      <c r="C106" s="123"/>
      <c r="D106" s="123"/>
      <c r="E106" s="123"/>
      <c r="F106" s="123"/>
      <c r="G106" s="123"/>
      <c r="H106" s="123"/>
      <c r="I106" s="123"/>
      <c r="J106" s="123"/>
      <c r="K106" s="115">
        <f>SUM(K85:K105)</f>
        <v>459.5</v>
      </c>
    </row>
    <row r="108" s="102" customFormat="1" ht="23.25" customHeight="1" spans="1:11">
      <c r="A108" s="88" t="s">
        <v>443</v>
      </c>
      <c r="B108" s="88"/>
      <c r="C108" s="88"/>
      <c r="D108" s="88"/>
      <c r="E108" s="88"/>
      <c r="F108" s="88"/>
      <c r="G108" s="88"/>
      <c r="H108" s="88"/>
      <c r="I108" s="88"/>
      <c r="J108" s="88"/>
      <c r="K108" s="88"/>
    </row>
    <row r="109" s="102" customFormat="1" ht="23.25" customHeight="1" spans="1:11">
      <c r="A109" s="108" t="s">
        <v>235</v>
      </c>
      <c r="B109" s="108"/>
      <c r="C109" s="108"/>
      <c r="D109" s="109" t="s">
        <v>449</v>
      </c>
      <c r="E109" s="110"/>
      <c r="F109" s="108"/>
      <c r="G109" s="110"/>
      <c r="H109" s="108"/>
      <c r="I109" s="108"/>
      <c r="J109" s="108"/>
      <c r="K109" s="108"/>
    </row>
    <row r="110" s="102" customFormat="1" ht="23.25" customHeight="1" spans="1:11">
      <c r="A110" s="110" t="s">
        <v>200</v>
      </c>
      <c r="B110" s="110" t="s">
        <v>201</v>
      </c>
      <c r="C110" s="111" t="s">
        <v>202</v>
      </c>
      <c r="D110" s="112" t="s">
        <v>6</v>
      </c>
      <c r="E110" s="112" t="s">
        <v>6</v>
      </c>
      <c r="F110" s="110" t="s">
        <v>6</v>
      </c>
      <c r="G110" s="110" t="s">
        <v>6</v>
      </c>
      <c r="H110" s="110" t="s">
        <v>6</v>
      </c>
      <c r="I110" s="110" t="s">
        <v>6</v>
      </c>
      <c r="J110" s="110" t="s">
        <v>203</v>
      </c>
      <c r="K110" s="110" t="s">
        <v>204</v>
      </c>
    </row>
    <row r="111" s="102" customFormat="1" ht="23.25" customHeight="1" spans="1:11">
      <c r="A111" s="115" t="s">
        <v>205</v>
      </c>
      <c r="B111" s="115">
        <v>12</v>
      </c>
      <c r="C111" s="124" t="s">
        <v>206</v>
      </c>
      <c r="D111" s="114"/>
      <c r="E111" s="114"/>
      <c r="F111" s="114"/>
      <c r="G111" s="114"/>
      <c r="H111" s="114"/>
      <c r="I111" s="115"/>
      <c r="J111" s="115"/>
      <c r="K111" s="115">
        <f t="shared" ref="K111:K131" si="4">SUM(D111:J111)</f>
        <v>0</v>
      </c>
    </row>
    <row r="112" s="102" customFormat="1" ht="23.25" customHeight="1" spans="1:11">
      <c r="A112" s="125" t="s">
        <v>207</v>
      </c>
      <c r="B112" s="115">
        <v>11.5</v>
      </c>
      <c r="C112" s="126" t="s">
        <v>208</v>
      </c>
      <c r="D112" s="114"/>
      <c r="E112" s="114"/>
      <c r="F112" s="114"/>
      <c r="G112" s="114"/>
      <c r="H112" s="114"/>
      <c r="I112" s="115"/>
      <c r="J112" s="115"/>
      <c r="K112" s="115">
        <f t="shared" si="4"/>
        <v>0</v>
      </c>
    </row>
    <row r="113" s="102" customFormat="1" ht="23.25" customHeight="1" spans="1:11">
      <c r="A113" s="125"/>
      <c r="B113" s="115"/>
      <c r="C113" s="126" t="s">
        <v>210</v>
      </c>
      <c r="D113" s="114"/>
      <c r="E113" s="114"/>
      <c r="F113" s="114"/>
      <c r="G113" s="114"/>
      <c r="H113" s="114"/>
      <c r="I113" s="115"/>
      <c r="J113" s="115"/>
      <c r="K113" s="115">
        <f t="shared" si="4"/>
        <v>0</v>
      </c>
    </row>
    <row r="114" s="102" customFormat="1" ht="23.25" customHeight="1" spans="1:11">
      <c r="A114" s="125" t="s">
        <v>211</v>
      </c>
      <c r="B114" s="115">
        <v>11.5</v>
      </c>
      <c r="C114" s="126" t="s">
        <v>212</v>
      </c>
      <c r="D114" s="114"/>
      <c r="E114" s="115"/>
      <c r="F114" s="115"/>
      <c r="G114" s="115"/>
      <c r="H114" s="115"/>
      <c r="I114" s="115"/>
      <c r="J114" s="115"/>
      <c r="K114" s="115">
        <f t="shared" si="4"/>
        <v>0</v>
      </c>
    </row>
    <row r="115" s="102" customFormat="1" ht="23.25" customHeight="1" spans="1:11">
      <c r="A115" s="125"/>
      <c r="B115" s="115"/>
      <c r="C115" s="126" t="s">
        <v>213</v>
      </c>
      <c r="D115" s="114"/>
      <c r="E115" s="115"/>
      <c r="F115" s="115"/>
      <c r="G115" s="115"/>
      <c r="H115" s="115"/>
      <c r="I115" s="115"/>
      <c r="J115" s="115"/>
      <c r="K115" s="115">
        <f t="shared" si="4"/>
        <v>0</v>
      </c>
    </row>
    <row r="116" s="102" customFormat="1" ht="23.25" customHeight="1" spans="1:11">
      <c r="A116" s="125"/>
      <c r="B116" s="115"/>
      <c r="C116" s="115" t="s">
        <v>214</v>
      </c>
      <c r="D116" s="114"/>
      <c r="E116" s="115"/>
      <c r="F116" s="115"/>
      <c r="G116" s="115"/>
      <c r="H116" s="115"/>
      <c r="I116" s="115"/>
      <c r="J116" s="115"/>
      <c r="K116" s="115">
        <f t="shared" si="4"/>
        <v>0</v>
      </c>
    </row>
    <row r="117" s="102" customFormat="1" ht="23.25" customHeight="1" spans="1:11">
      <c r="A117" s="125"/>
      <c r="B117" s="115"/>
      <c r="C117" s="126" t="s">
        <v>215</v>
      </c>
      <c r="D117" s="114"/>
      <c r="E117" s="115"/>
      <c r="F117" s="115"/>
      <c r="G117" s="115"/>
      <c r="H117" s="115"/>
      <c r="I117" s="114"/>
      <c r="J117" s="115"/>
      <c r="K117" s="115">
        <f t="shared" si="4"/>
        <v>0</v>
      </c>
    </row>
    <row r="118" s="102" customFormat="1" ht="23.25" customHeight="1" spans="1:11">
      <c r="A118" s="125"/>
      <c r="B118" s="115"/>
      <c r="C118" s="126" t="s">
        <v>216</v>
      </c>
      <c r="D118" s="114"/>
      <c r="E118" s="115"/>
      <c r="F118" s="115"/>
      <c r="G118" s="115"/>
      <c r="H118" s="115"/>
      <c r="I118" s="114"/>
      <c r="J118" s="115"/>
      <c r="K118" s="115">
        <f t="shared" si="4"/>
        <v>0</v>
      </c>
    </row>
    <row r="119" s="102" customFormat="1" ht="23.25" customHeight="1" spans="1:11">
      <c r="A119" s="115" t="s">
        <v>217</v>
      </c>
      <c r="B119" s="115">
        <v>10.5</v>
      </c>
      <c r="C119" s="115" t="s">
        <v>218</v>
      </c>
      <c r="D119" s="114"/>
      <c r="E119" s="115"/>
      <c r="F119" s="115"/>
      <c r="G119" s="115"/>
      <c r="H119" s="115"/>
      <c r="I119" s="115"/>
      <c r="J119" s="115"/>
      <c r="K119" s="115">
        <f t="shared" si="4"/>
        <v>0</v>
      </c>
    </row>
    <row r="120" s="102" customFormat="1" ht="23.25" customHeight="1" spans="1:11">
      <c r="A120" s="115"/>
      <c r="B120" s="115"/>
      <c r="C120" s="115" t="s">
        <v>219</v>
      </c>
      <c r="D120" s="115"/>
      <c r="E120" s="115"/>
      <c r="F120" s="115"/>
      <c r="G120" s="115"/>
      <c r="H120" s="115"/>
      <c r="I120" s="115"/>
      <c r="J120" s="115"/>
      <c r="K120" s="115">
        <f t="shared" si="4"/>
        <v>0</v>
      </c>
    </row>
    <row r="121" s="102" customFormat="1" ht="23.25" customHeight="1" spans="1:11">
      <c r="A121" s="115" t="s">
        <v>220</v>
      </c>
      <c r="B121" s="115">
        <v>11.5</v>
      </c>
      <c r="C121" s="126" t="s">
        <v>221</v>
      </c>
      <c r="D121" s="115"/>
      <c r="E121" s="127"/>
      <c r="F121" s="115"/>
      <c r="G121" s="115"/>
      <c r="H121" s="115"/>
      <c r="I121" s="115"/>
      <c r="J121" s="115"/>
      <c r="K121" s="115">
        <f t="shared" si="4"/>
        <v>0</v>
      </c>
    </row>
    <row r="122" s="102" customFormat="1" ht="23.25" customHeight="1" spans="1:11">
      <c r="A122" s="115"/>
      <c r="B122" s="115"/>
      <c r="C122" s="126" t="s">
        <v>222</v>
      </c>
      <c r="D122" s="118"/>
      <c r="E122" s="118"/>
      <c r="F122" s="118"/>
      <c r="G122" s="118"/>
      <c r="H122" s="118"/>
      <c r="I122" s="115"/>
      <c r="J122" s="115"/>
      <c r="K122" s="115">
        <f t="shared" si="4"/>
        <v>0</v>
      </c>
    </row>
    <row r="123" s="102" customFormat="1" ht="23.25" customHeight="1" spans="1:11">
      <c r="A123" s="115"/>
      <c r="B123" s="115"/>
      <c r="C123" s="126" t="s">
        <v>223</v>
      </c>
      <c r="D123" s="118"/>
      <c r="E123" s="118"/>
      <c r="F123" s="118"/>
      <c r="G123" s="118"/>
      <c r="H123" s="118"/>
      <c r="I123" s="115"/>
      <c r="J123" s="115"/>
      <c r="K123" s="115">
        <f t="shared" si="4"/>
        <v>0</v>
      </c>
    </row>
    <row r="124" s="102" customFormat="1" ht="23.25" customHeight="1" spans="1:11">
      <c r="A124" s="115"/>
      <c r="B124" s="115"/>
      <c r="C124" s="126" t="s">
        <v>224</v>
      </c>
      <c r="D124" s="114"/>
      <c r="E124" s="115"/>
      <c r="F124" s="115"/>
      <c r="G124" s="114"/>
      <c r="H124" s="114"/>
      <c r="I124" s="115"/>
      <c r="J124" s="115"/>
      <c r="K124" s="115">
        <f t="shared" si="4"/>
        <v>0</v>
      </c>
    </row>
    <row r="125" s="102" customFormat="1" ht="23.25" customHeight="1" spans="1:11">
      <c r="A125" s="128"/>
      <c r="B125" s="128"/>
      <c r="C125" s="115" t="s">
        <v>228</v>
      </c>
      <c r="D125" s="114">
        <v>6.5</v>
      </c>
      <c r="E125" s="115"/>
      <c r="F125" s="115"/>
      <c r="G125" s="114"/>
      <c r="H125" s="114"/>
      <c r="I125" s="115"/>
      <c r="J125" s="115"/>
      <c r="K125" s="115">
        <f t="shared" si="4"/>
        <v>6.5</v>
      </c>
    </row>
    <row r="126" s="102" customFormat="1" ht="23.25" customHeight="1" spans="1:11">
      <c r="A126" s="128"/>
      <c r="B126" s="128"/>
      <c r="C126" s="115" t="s">
        <v>226</v>
      </c>
      <c r="D126" s="114">
        <v>10</v>
      </c>
      <c r="E126" s="115"/>
      <c r="F126" s="115"/>
      <c r="G126" s="114"/>
      <c r="H126" s="114"/>
      <c r="I126" s="115"/>
      <c r="J126" s="115"/>
      <c r="K126" s="115">
        <f t="shared" si="4"/>
        <v>10</v>
      </c>
    </row>
    <row r="127" s="102" customFormat="1" ht="23.25" customHeight="1" spans="1:11">
      <c r="A127" s="128"/>
      <c r="B127" s="128"/>
      <c r="C127" s="115" t="s">
        <v>227</v>
      </c>
      <c r="D127" s="114">
        <v>12</v>
      </c>
      <c r="E127" s="115"/>
      <c r="F127" s="115"/>
      <c r="G127" s="114"/>
      <c r="H127" s="114"/>
      <c r="I127" s="115"/>
      <c r="J127" s="120"/>
      <c r="K127" s="115">
        <f t="shared" si="4"/>
        <v>12</v>
      </c>
    </row>
    <row r="128" s="102" customFormat="1" ht="23.25" customHeight="1" spans="1:11">
      <c r="A128" s="128"/>
      <c r="B128" s="128"/>
      <c r="C128" s="115" t="s">
        <v>240</v>
      </c>
      <c r="D128" s="114">
        <v>12</v>
      </c>
      <c r="E128" s="115"/>
      <c r="F128" s="115"/>
      <c r="G128" s="114"/>
      <c r="H128" s="114"/>
      <c r="I128" s="115"/>
      <c r="J128" s="120"/>
      <c r="K128" s="115">
        <f t="shared" si="4"/>
        <v>12</v>
      </c>
    </row>
    <row r="129" s="102" customFormat="1" ht="23.25" customHeight="1" spans="1:11">
      <c r="A129" s="128"/>
      <c r="B129" s="128"/>
      <c r="C129" s="115" t="s">
        <v>229</v>
      </c>
      <c r="D129" s="114">
        <v>10</v>
      </c>
      <c r="E129" s="115"/>
      <c r="F129" s="115"/>
      <c r="G129" s="114"/>
      <c r="H129" s="114"/>
      <c r="I129" s="115"/>
      <c r="J129" s="120"/>
      <c r="K129" s="115">
        <f t="shared" si="4"/>
        <v>10</v>
      </c>
    </row>
    <row r="130" s="102" customFormat="1" ht="23.25" customHeight="1" spans="1:11">
      <c r="A130" s="114" t="s">
        <v>230</v>
      </c>
      <c r="B130" s="114">
        <v>10.5</v>
      </c>
      <c r="C130" s="115" t="s">
        <v>231</v>
      </c>
      <c r="D130" s="115">
        <v>10.5</v>
      </c>
      <c r="E130" s="127"/>
      <c r="F130" s="115"/>
      <c r="G130" s="115"/>
      <c r="H130" s="115"/>
      <c r="I130" s="115"/>
      <c r="J130" s="120"/>
      <c r="K130" s="115">
        <f t="shared" si="4"/>
        <v>10.5</v>
      </c>
    </row>
    <row r="131" s="102" customFormat="1" ht="23.25" customHeight="1" spans="1:11">
      <c r="A131" s="115" t="s">
        <v>232</v>
      </c>
      <c r="B131" s="115">
        <v>12</v>
      </c>
      <c r="C131" s="115" t="s">
        <v>233</v>
      </c>
      <c r="D131" s="115">
        <v>12</v>
      </c>
      <c r="E131" s="115"/>
      <c r="F131" s="115"/>
      <c r="G131" s="115"/>
      <c r="H131" s="115"/>
      <c r="I131" s="115"/>
      <c r="J131" s="120"/>
      <c r="K131" s="115">
        <f t="shared" si="4"/>
        <v>12</v>
      </c>
    </row>
    <row r="132" s="103" customFormat="1" ht="16.5" spans="1:11">
      <c r="A132" s="129"/>
      <c r="B132" s="130"/>
      <c r="C132" s="130"/>
      <c r="D132" s="130"/>
      <c r="E132" s="130"/>
      <c r="F132" s="130"/>
      <c r="G132" s="130"/>
      <c r="H132" s="130"/>
      <c r="I132" s="130"/>
      <c r="J132" s="131"/>
      <c r="K132" s="132">
        <f>SUM(K111:K131)</f>
        <v>73</v>
      </c>
    </row>
    <row r="134" s="3" customFormat="1" ht="21" customHeight="1" spans="1:11">
      <c r="A134" s="133" t="s">
        <v>445</v>
      </c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</row>
    <row r="135" s="3" customFormat="1" ht="21" customHeight="1" spans="1:11">
      <c r="A135" s="134" t="s">
        <v>235</v>
      </c>
      <c r="B135" s="134"/>
      <c r="C135" s="134"/>
      <c r="D135" s="134" t="s">
        <v>450</v>
      </c>
      <c r="E135" s="134"/>
      <c r="F135" s="134"/>
      <c r="G135" s="134"/>
      <c r="H135" s="134"/>
      <c r="I135" s="134"/>
      <c r="J135" s="134"/>
      <c r="K135" s="134"/>
    </row>
    <row r="136" s="3" customFormat="1" ht="21" customHeight="1" spans="1:11">
      <c r="A136" s="135" t="s">
        <v>200</v>
      </c>
      <c r="B136" s="135" t="s">
        <v>201</v>
      </c>
      <c r="C136" s="136" t="s">
        <v>202</v>
      </c>
      <c r="D136" s="137" t="s">
        <v>6</v>
      </c>
      <c r="E136" s="137" t="s">
        <v>6</v>
      </c>
      <c r="F136" s="135" t="s">
        <v>6</v>
      </c>
      <c r="G136" s="135" t="s">
        <v>6</v>
      </c>
      <c r="H136" s="135" t="s">
        <v>6</v>
      </c>
      <c r="I136" s="135" t="s">
        <v>6</v>
      </c>
      <c r="J136" s="135" t="s">
        <v>203</v>
      </c>
      <c r="K136" s="135" t="s">
        <v>204</v>
      </c>
    </row>
    <row r="137" s="3" customFormat="1" ht="21" customHeight="1" spans="1:11">
      <c r="A137" s="68" t="s">
        <v>205</v>
      </c>
      <c r="B137" s="68">
        <v>12</v>
      </c>
      <c r="C137" s="113" t="s">
        <v>206</v>
      </c>
      <c r="D137" s="121">
        <v>12</v>
      </c>
      <c r="E137" s="121">
        <v>0</v>
      </c>
      <c r="F137" s="121"/>
      <c r="G137" s="121"/>
      <c r="H137" s="121"/>
      <c r="I137" s="68"/>
      <c r="J137" s="68"/>
      <c r="K137" s="56">
        <f t="shared" ref="K137:K158" si="5">SUM(D137:J137)</f>
        <v>12</v>
      </c>
    </row>
    <row r="138" s="3" customFormat="1" ht="21" customHeight="1" spans="1:11">
      <c r="A138" s="116" t="s">
        <v>207</v>
      </c>
      <c r="B138" s="68">
        <v>11.5</v>
      </c>
      <c r="C138" s="117" t="s">
        <v>208</v>
      </c>
      <c r="D138" s="121">
        <v>16.5</v>
      </c>
      <c r="E138" s="121">
        <v>0</v>
      </c>
      <c r="F138" s="121"/>
      <c r="G138" s="121"/>
      <c r="H138" s="121"/>
      <c r="I138" s="68"/>
      <c r="J138" s="68"/>
      <c r="K138" s="56">
        <f t="shared" si="5"/>
        <v>16.5</v>
      </c>
    </row>
    <row r="139" s="3" customFormat="1" ht="21" customHeight="1" spans="1:11">
      <c r="A139" s="116"/>
      <c r="B139" s="68"/>
      <c r="C139" s="117" t="s">
        <v>210</v>
      </c>
      <c r="D139" s="121">
        <v>16.5</v>
      </c>
      <c r="E139" s="121">
        <v>0</v>
      </c>
      <c r="F139" s="121"/>
      <c r="G139" s="121"/>
      <c r="H139" s="121"/>
      <c r="I139" s="68"/>
      <c r="J139" s="68"/>
      <c r="K139" s="56">
        <f t="shared" si="5"/>
        <v>16.5</v>
      </c>
    </row>
    <row r="140" s="3" customFormat="1" ht="21" customHeight="1" spans="1:11">
      <c r="A140" s="79" t="s">
        <v>237</v>
      </c>
      <c r="B140" s="56">
        <v>11.5</v>
      </c>
      <c r="C140" s="61" t="s">
        <v>212</v>
      </c>
      <c r="D140" s="121">
        <v>11.5</v>
      </c>
      <c r="E140" s="121">
        <v>0</v>
      </c>
      <c r="F140" s="121"/>
      <c r="G140" s="121"/>
      <c r="H140" s="121"/>
      <c r="I140" s="68"/>
      <c r="J140" s="68"/>
      <c r="K140" s="56">
        <f t="shared" si="5"/>
        <v>11.5</v>
      </c>
    </row>
    <row r="141" s="3" customFormat="1" ht="21" customHeight="1" spans="1:11">
      <c r="A141" s="80"/>
      <c r="B141" s="56"/>
      <c r="C141" s="3" t="s">
        <v>215</v>
      </c>
      <c r="D141" s="138">
        <v>11.5</v>
      </c>
      <c r="E141" s="139">
        <v>0</v>
      </c>
      <c r="F141" s="121"/>
      <c r="G141" s="121"/>
      <c r="H141" s="121"/>
      <c r="I141" s="68"/>
      <c r="J141" s="68"/>
      <c r="K141" s="56">
        <f t="shared" si="5"/>
        <v>11.5</v>
      </c>
    </row>
    <row r="142" s="3" customFormat="1" ht="21" customHeight="1" spans="1:11">
      <c r="A142" s="81" t="s">
        <v>238</v>
      </c>
      <c r="B142" s="56"/>
      <c r="C142" s="61" t="s">
        <v>213</v>
      </c>
      <c r="D142" s="140">
        <v>23</v>
      </c>
      <c r="E142" s="121">
        <v>0</v>
      </c>
      <c r="F142" s="121"/>
      <c r="G142" s="121"/>
      <c r="H142" s="121"/>
      <c r="I142" s="68"/>
      <c r="J142" s="68"/>
      <c r="K142" s="56">
        <f t="shared" si="5"/>
        <v>23</v>
      </c>
    </row>
    <row r="143" s="3" customFormat="1" ht="21" customHeight="1" spans="1:11">
      <c r="A143" s="82"/>
      <c r="B143" s="56"/>
      <c r="C143" s="61" t="s">
        <v>216</v>
      </c>
      <c r="D143" s="68">
        <v>23</v>
      </c>
      <c r="E143" s="121">
        <v>0</v>
      </c>
      <c r="F143" s="121"/>
      <c r="G143" s="121"/>
      <c r="H143" s="121"/>
      <c r="I143" s="121"/>
      <c r="J143" s="68"/>
      <c r="K143" s="56">
        <f t="shared" si="5"/>
        <v>23</v>
      </c>
    </row>
    <row r="144" s="3" customFormat="1" ht="21" customHeight="1" spans="1:11">
      <c r="A144" s="84" t="s">
        <v>239</v>
      </c>
      <c r="B144" s="56"/>
      <c r="C144" s="56" t="s">
        <v>214</v>
      </c>
      <c r="D144" s="68">
        <v>0</v>
      </c>
      <c r="E144" s="121">
        <v>15</v>
      </c>
      <c r="F144" s="121"/>
      <c r="G144" s="121"/>
      <c r="H144" s="121"/>
      <c r="I144" s="121"/>
      <c r="J144" s="68"/>
      <c r="K144" s="56">
        <f t="shared" si="5"/>
        <v>15</v>
      </c>
    </row>
    <row r="145" s="3" customFormat="1" ht="21" customHeight="1" spans="1:11">
      <c r="A145" s="68" t="s">
        <v>217</v>
      </c>
      <c r="B145" s="68">
        <v>10.5</v>
      </c>
      <c r="C145" s="68" t="s">
        <v>218</v>
      </c>
      <c r="D145" s="68">
        <v>0</v>
      </c>
      <c r="E145" s="121">
        <v>10</v>
      </c>
      <c r="F145" s="121"/>
      <c r="G145" s="121"/>
      <c r="H145" s="121"/>
      <c r="I145" s="68"/>
      <c r="J145" s="68"/>
      <c r="K145" s="56">
        <f t="shared" si="5"/>
        <v>10</v>
      </c>
    </row>
    <row r="146" s="3" customFormat="1" ht="21" customHeight="1" spans="1:11">
      <c r="A146" s="68"/>
      <c r="B146" s="68"/>
      <c r="C146" s="68" t="s">
        <v>219</v>
      </c>
      <c r="D146" s="68">
        <v>0</v>
      </c>
      <c r="E146" s="121">
        <v>15</v>
      </c>
      <c r="F146" s="121"/>
      <c r="G146" s="121"/>
      <c r="H146" s="121"/>
      <c r="I146" s="68"/>
      <c r="J146" s="68"/>
      <c r="K146" s="56">
        <f t="shared" si="5"/>
        <v>15</v>
      </c>
    </row>
    <row r="147" s="3" customFormat="1" ht="21" customHeight="1" spans="1:11">
      <c r="A147" s="68" t="s">
        <v>220</v>
      </c>
      <c r="B147" s="68">
        <v>11.5</v>
      </c>
      <c r="C147" s="117" t="s">
        <v>221</v>
      </c>
      <c r="D147" s="121">
        <v>19.4</v>
      </c>
      <c r="E147" s="121">
        <v>0</v>
      </c>
      <c r="F147" s="121"/>
      <c r="G147" s="121"/>
      <c r="H147" s="121"/>
      <c r="I147" s="68"/>
      <c r="J147" s="68"/>
      <c r="K147" s="56">
        <f t="shared" si="5"/>
        <v>19.4</v>
      </c>
    </row>
    <row r="148" s="3" customFormat="1" ht="21" customHeight="1" spans="1:11">
      <c r="A148" s="68"/>
      <c r="B148" s="68"/>
      <c r="C148" s="117" t="s">
        <v>222</v>
      </c>
      <c r="D148" s="121">
        <v>8.5</v>
      </c>
      <c r="E148" s="121">
        <v>0</v>
      </c>
      <c r="F148" s="121"/>
      <c r="G148" s="121"/>
      <c r="H148" s="121"/>
      <c r="I148" s="68"/>
      <c r="J148" s="68"/>
      <c r="K148" s="56">
        <f t="shared" si="5"/>
        <v>8.5</v>
      </c>
    </row>
    <row r="149" s="3" customFormat="1" ht="21" customHeight="1" spans="1:11">
      <c r="A149" s="68"/>
      <c r="B149" s="68"/>
      <c r="C149" s="117" t="s">
        <v>223</v>
      </c>
      <c r="D149" s="121">
        <v>10</v>
      </c>
      <c r="E149" s="121">
        <v>0</v>
      </c>
      <c r="F149" s="121"/>
      <c r="G149" s="121"/>
      <c r="H149" s="121"/>
      <c r="I149" s="68"/>
      <c r="J149" s="68"/>
      <c r="K149" s="56">
        <f t="shared" si="5"/>
        <v>10</v>
      </c>
    </row>
    <row r="150" s="3" customFormat="1" ht="21" customHeight="1" spans="1:11">
      <c r="A150" s="68"/>
      <c r="B150" s="68"/>
      <c r="C150" s="117" t="s">
        <v>224</v>
      </c>
      <c r="D150" s="68">
        <v>73</v>
      </c>
      <c r="E150" s="121">
        <v>0</v>
      </c>
      <c r="F150" s="121"/>
      <c r="G150" s="121"/>
      <c r="H150" s="121"/>
      <c r="I150" s="68"/>
      <c r="J150" s="68"/>
      <c r="K150" s="56">
        <f t="shared" si="5"/>
        <v>73</v>
      </c>
    </row>
    <row r="151" s="3" customFormat="1" ht="21" customHeight="1" spans="1:11">
      <c r="A151" s="119" t="s">
        <v>225</v>
      </c>
      <c r="B151" s="119">
        <v>10.5</v>
      </c>
      <c r="C151" s="68" t="s">
        <v>226</v>
      </c>
      <c r="D151" s="121">
        <v>12.1</v>
      </c>
      <c r="E151" s="121">
        <v>10</v>
      </c>
      <c r="F151" s="121"/>
      <c r="G151" s="121"/>
      <c r="H151" s="121"/>
      <c r="I151" s="68"/>
      <c r="J151" s="68"/>
      <c r="K151" s="56">
        <f t="shared" si="5"/>
        <v>22.1</v>
      </c>
    </row>
    <row r="152" s="3" customFormat="1" ht="21" customHeight="1" spans="1:11">
      <c r="A152" s="119"/>
      <c r="B152" s="119"/>
      <c r="C152" s="68" t="s">
        <v>250</v>
      </c>
      <c r="D152" s="121">
        <v>12.1</v>
      </c>
      <c r="E152" s="121">
        <v>10</v>
      </c>
      <c r="F152" s="121"/>
      <c r="G152" s="121"/>
      <c r="H152" s="121"/>
      <c r="I152" s="68"/>
      <c r="J152" s="68"/>
      <c r="K152" s="56">
        <f t="shared" si="5"/>
        <v>22.1</v>
      </c>
    </row>
    <row r="153" s="3" customFormat="1" ht="21" customHeight="1" spans="1:11">
      <c r="A153" s="119"/>
      <c r="B153" s="119"/>
      <c r="C153" s="68" t="s">
        <v>228</v>
      </c>
      <c r="D153" s="121">
        <v>12.1</v>
      </c>
      <c r="E153" s="121">
        <v>10</v>
      </c>
      <c r="F153" s="121"/>
      <c r="G153" s="121"/>
      <c r="H153" s="121"/>
      <c r="I153" s="68"/>
      <c r="J153" s="68"/>
      <c r="K153" s="56">
        <f t="shared" si="5"/>
        <v>22.1</v>
      </c>
    </row>
    <row r="154" s="3" customFormat="1" ht="21" customHeight="1" spans="1:11">
      <c r="A154" s="119"/>
      <c r="B154" s="119"/>
      <c r="C154" s="68" t="s">
        <v>227</v>
      </c>
      <c r="D154" s="121">
        <v>12.1</v>
      </c>
      <c r="E154" s="121">
        <v>10</v>
      </c>
      <c r="F154" s="121"/>
      <c r="G154" s="121"/>
      <c r="H154" s="121"/>
      <c r="I154" s="68"/>
      <c r="J154" s="68"/>
      <c r="K154" s="56">
        <f t="shared" si="5"/>
        <v>22.1</v>
      </c>
    </row>
    <row r="155" s="3" customFormat="1" ht="21" customHeight="1" spans="1:11">
      <c r="A155" s="119"/>
      <c r="B155" s="119"/>
      <c r="C155" s="68" t="s">
        <v>240</v>
      </c>
      <c r="D155" s="121">
        <v>12.1</v>
      </c>
      <c r="E155" s="121">
        <v>10</v>
      </c>
      <c r="F155" s="121"/>
      <c r="G155" s="121"/>
      <c r="H155" s="121"/>
      <c r="I155" s="68"/>
      <c r="J155" s="141"/>
      <c r="K155" s="56">
        <f t="shared" si="5"/>
        <v>22.1</v>
      </c>
    </row>
    <row r="156" s="3" customFormat="1" ht="21" customHeight="1" spans="1:11">
      <c r="A156" s="119"/>
      <c r="B156" s="119"/>
      <c r="C156" s="68" t="s">
        <v>229</v>
      </c>
      <c r="D156" s="121">
        <v>12.1</v>
      </c>
      <c r="E156" s="121">
        <v>10</v>
      </c>
      <c r="F156" s="121"/>
      <c r="G156" s="121"/>
      <c r="H156" s="121"/>
      <c r="I156" s="68"/>
      <c r="J156" s="141"/>
      <c r="K156" s="56">
        <f t="shared" si="5"/>
        <v>22.1</v>
      </c>
    </row>
    <row r="157" s="3" customFormat="1" ht="21" customHeight="1" spans="1:11">
      <c r="A157" s="121" t="s">
        <v>230</v>
      </c>
      <c r="B157" s="121">
        <v>10.5</v>
      </c>
      <c r="C157" s="68" t="s">
        <v>231</v>
      </c>
      <c r="D157" s="68">
        <v>10.5</v>
      </c>
      <c r="E157" s="121">
        <v>10</v>
      </c>
      <c r="F157" s="68"/>
      <c r="G157" s="68"/>
      <c r="H157" s="68"/>
      <c r="I157" s="68"/>
      <c r="J157" s="141"/>
      <c r="K157" s="56">
        <f t="shared" si="5"/>
        <v>20.5</v>
      </c>
    </row>
    <row r="158" s="3" customFormat="1" ht="21" customHeight="1" spans="1:11">
      <c r="A158" s="68" t="s">
        <v>232</v>
      </c>
      <c r="B158" s="68">
        <v>12</v>
      </c>
      <c r="C158" s="68" t="s">
        <v>233</v>
      </c>
      <c r="D158" s="68">
        <v>12</v>
      </c>
      <c r="E158" s="68">
        <v>10</v>
      </c>
      <c r="F158" s="68"/>
      <c r="G158" s="68"/>
      <c r="H158" s="68"/>
      <c r="I158" s="68"/>
      <c r="J158" s="141"/>
      <c r="K158" s="56">
        <f t="shared" si="5"/>
        <v>22</v>
      </c>
    </row>
    <row r="159" s="3" customFormat="1" ht="21" customHeight="1" spans="1:11">
      <c r="A159" s="142"/>
      <c r="B159" s="143"/>
      <c r="C159" s="143"/>
      <c r="D159" s="143"/>
      <c r="E159" s="143"/>
      <c r="F159" s="143"/>
      <c r="G159" s="143"/>
      <c r="H159" s="143"/>
      <c r="I159" s="143"/>
      <c r="J159" s="144"/>
      <c r="K159" s="68">
        <f>SUM(K137:K158)</f>
        <v>440</v>
      </c>
    </row>
    <row r="162" s="3" customFormat="1" ht="21" customHeight="1" spans="1:11">
      <c r="A162" s="133" t="s">
        <v>445</v>
      </c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</row>
    <row r="163" s="3" customFormat="1" ht="21" customHeight="1" spans="1:11">
      <c r="A163" s="134" t="s">
        <v>235</v>
      </c>
      <c r="B163" s="134"/>
      <c r="C163" s="134"/>
      <c r="D163" s="134" t="s">
        <v>451</v>
      </c>
      <c r="E163" s="134"/>
      <c r="F163" s="134"/>
      <c r="G163" s="134"/>
      <c r="H163" s="134"/>
      <c r="I163" s="134"/>
      <c r="J163" s="134"/>
      <c r="K163" s="134"/>
    </row>
    <row r="164" s="3" customFormat="1" ht="21" customHeight="1" spans="1:11">
      <c r="A164" s="135" t="s">
        <v>200</v>
      </c>
      <c r="B164" s="135" t="s">
        <v>201</v>
      </c>
      <c r="C164" s="136" t="s">
        <v>202</v>
      </c>
      <c r="D164" s="137" t="s">
        <v>6</v>
      </c>
      <c r="E164" s="137" t="s">
        <v>6</v>
      </c>
      <c r="F164" s="135" t="s">
        <v>6</v>
      </c>
      <c r="G164" s="135" t="s">
        <v>6</v>
      </c>
      <c r="H164" s="135" t="s">
        <v>6</v>
      </c>
      <c r="I164" s="135" t="s">
        <v>6</v>
      </c>
      <c r="J164" s="135" t="s">
        <v>203</v>
      </c>
      <c r="K164" s="135" t="s">
        <v>204</v>
      </c>
    </row>
    <row r="165" s="3" customFormat="1" ht="21" customHeight="1" spans="1:11">
      <c r="A165" s="68" t="s">
        <v>205</v>
      </c>
      <c r="B165" s="68">
        <v>12</v>
      </c>
      <c r="C165" s="113" t="s">
        <v>206</v>
      </c>
      <c r="D165" s="121">
        <v>0</v>
      </c>
      <c r="E165" s="121">
        <v>10</v>
      </c>
      <c r="F165" s="121"/>
      <c r="G165" s="121"/>
      <c r="H165" s="121"/>
      <c r="I165" s="68"/>
      <c r="J165" s="68"/>
      <c r="K165" s="56">
        <f t="shared" ref="K165:K186" si="6">SUM(D165:J165)</f>
        <v>10</v>
      </c>
    </row>
    <row r="166" s="3" customFormat="1" ht="21" customHeight="1" spans="1:11">
      <c r="A166" s="116" t="s">
        <v>207</v>
      </c>
      <c r="B166" s="68">
        <v>11.5</v>
      </c>
      <c r="C166" s="117" t="s">
        <v>208</v>
      </c>
      <c r="D166" s="121">
        <v>0</v>
      </c>
      <c r="E166" s="121">
        <v>15</v>
      </c>
      <c r="F166" s="121"/>
      <c r="G166" s="121"/>
      <c r="H166" s="121"/>
      <c r="I166" s="68"/>
      <c r="J166" s="68"/>
      <c r="K166" s="56">
        <f t="shared" si="6"/>
        <v>15</v>
      </c>
    </row>
    <row r="167" s="3" customFormat="1" ht="21" customHeight="1" spans="1:11">
      <c r="A167" s="116"/>
      <c r="B167" s="68"/>
      <c r="C167" s="117" t="s">
        <v>210</v>
      </c>
      <c r="D167" s="121">
        <v>10</v>
      </c>
      <c r="E167" s="121">
        <v>15</v>
      </c>
      <c r="F167" s="121"/>
      <c r="G167" s="121"/>
      <c r="H167" s="121"/>
      <c r="I167" s="68"/>
      <c r="J167" s="68"/>
      <c r="K167" s="56">
        <f t="shared" si="6"/>
        <v>25</v>
      </c>
    </row>
    <row r="168" s="3" customFormat="1" ht="21" customHeight="1" spans="1:11">
      <c r="A168" s="79" t="s">
        <v>237</v>
      </c>
      <c r="B168" s="56">
        <v>11.5</v>
      </c>
      <c r="C168" s="61" t="s">
        <v>212</v>
      </c>
      <c r="D168" s="121">
        <v>15</v>
      </c>
      <c r="E168" s="121">
        <v>10</v>
      </c>
      <c r="F168" s="121"/>
      <c r="G168" s="121"/>
      <c r="H168" s="121"/>
      <c r="I168" s="68"/>
      <c r="J168" s="68"/>
      <c r="K168" s="56">
        <f t="shared" si="6"/>
        <v>25</v>
      </c>
    </row>
    <row r="169" s="3" customFormat="1" ht="21" customHeight="1" spans="1:11">
      <c r="A169" s="80"/>
      <c r="B169" s="56"/>
      <c r="C169" s="3" t="s">
        <v>215</v>
      </c>
      <c r="D169" s="138">
        <v>10</v>
      </c>
      <c r="E169" s="139">
        <v>10</v>
      </c>
      <c r="F169" s="121"/>
      <c r="G169" s="121"/>
      <c r="H169" s="121"/>
      <c r="I169" s="68"/>
      <c r="J169" s="68"/>
      <c r="K169" s="56">
        <f t="shared" si="6"/>
        <v>20</v>
      </c>
    </row>
    <row r="170" s="3" customFormat="1" ht="21" customHeight="1" spans="1:11">
      <c r="A170" s="81" t="s">
        <v>238</v>
      </c>
      <c r="B170" s="56"/>
      <c r="C170" s="61" t="s">
        <v>213</v>
      </c>
      <c r="D170" s="140">
        <v>10</v>
      </c>
      <c r="E170" s="121">
        <v>0</v>
      </c>
      <c r="F170" s="121"/>
      <c r="G170" s="121"/>
      <c r="H170" s="121"/>
      <c r="I170" s="68"/>
      <c r="J170" s="68"/>
      <c r="K170" s="56">
        <f t="shared" si="6"/>
        <v>10</v>
      </c>
    </row>
    <row r="171" s="3" customFormat="1" ht="21" customHeight="1" spans="1:11">
      <c r="A171" s="82"/>
      <c r="B171" s="56"/>
      <c r="C171" s="61" t="s">
        <v>216</v>
      </c>
      <c r="D171" s="68">
        <v>0</v>
      </c>
      <c r="E171" s="121">
        <v>10</v>
      </c>
      <c r="F171" s="121"/>
      <c r="G171" s="121"/>
      <c r="H171" s="121"/>
      <c r="I171" s="121"/>
      <c r="J171" s="68"/>
      <c r="K171" s="56">
        <f t="shared" si="6"/>
        <v>10</v>
      </c>
    </row>
    <row r="172" s="3" customFormat="1" ht="21" customHeight="1" spans="1:11">
      <c r="A172" s="84" t="s">
        <v>239</v>
      </c>
      <c r="B172" s="56"/>
      <c r="C172" s="56" t="s">
        <v>214</v>
      </c>
      <c r="D172" s="68">
        <v>15</v>
      </c>
      <c r="E172" s="121">
        <v>0</v>
      </c>
      <c r="F172" s="121"/>
      <c r="G172" s="121"/>
      <c r="H172" s="121"/>
      <c r="I172" s="121"/>
      <c r="J172" s="68"/>
      <c r="K172" s="56">
        <f t="shared" si="6"/>
        <v>15</v>
      </c>
    </row>
    <row r="173" s="3" customFormat="1" ht="21" customHeight="1" spans="1:11">
      <c r="A173" s="68" t="s">
        <v>217</v>
      </c>
      <c r="B173" s="68">
        <v>10.5</v>
      </c>
      <c r="C173" s="68" t="s">
        <v>218</v>
      </c>
      <c r="D173" s="68">
        <v>15</v>
      </c>
      <c r="E173" s="121">
        <v>0</v>
      </c>
      <c r="F173" s="121"/>
      <c r="G173" s="121"/>
      <c r="H173" s="121"/>
      <c r="I173" s="68"/>
      <c r="J173" s="68"/>
      <c r="K173" s="56">
        <f t="shared" si="6"/>
        <v>15</v>
      </c>
    </row>
    <row r="174" s="3" customFormat="1" ht="21" customHeight="1" spans="1:11">
      <c r="A174" s="68"/>
      <c r="B174" s="68"/>
      <c r="C174" s="68" t="s">
        <v>219</v>
      </c>
      <c r="D174" s="68">
        <v>15</v>
      </c>
      <c r="E174" s="121">
        <v>0</v>
      </c>
      <c r="F174" s="121"/>
      <c r="G174" s="121"/>
      <c r="H174" s="121"/>
      <c r="I174" s="68"/>
      <c r="J174" s="68"/>
      <c r="K174" s="56">
        <f t="shared" si="6"/>
        <v>15</v>
      </c>
    </row>
    <row r="175" s="3" customFormat="1" ht="21" customHeight="1" spans="1:11">
      <c r="A175" s="68" t="s">
        <v>220</v>
      </c>
      <c r="B175" s="68">
        <v>11.5</v>
      </c>
      <c r="C175" s="117" t="s">
        <v>221</v>
      </c>
      <c r="D175" s="121">
        <v>20</v>
      </c>
      <c r="E175" s="121">
        <v>5</v>
      </c>
      <c r="F175" s="121"/>
      <c r="G175" s="121"/>
      <c r="H175" s="121"/>
      <c r="I175" s="68"/>
      <c r="J175" s="68"/>
      <c r="K175" s="56">
        <f t="shared" si="6"/>
        <v>25</v>
      </c>
    </row>
    <row r="176" s="3" customFormat="1" ht="21" customHeight="1" spans="1:11">
      <c r="A176" s="68"/>
      <c r="B176" s="68"/>
      <c r="C176" s="117" t="s">
        <v>222</v>
      </c>
      <c r="D176" s="121">
        <v>10</v>
      </c>
      <c r="E176" s="121">
        <v>5</v>
      </c>
      <c r="F176" s="121"/>
      <c r="G176" s="121"/>
      <c r="H176" s="121"/>
      <c r="I176" s="68"/>
      <c r="J176" s="68"/>
      <c r="K176" s="56">
        <f t="shared" si="6"/>
        <v>15</v>
      </c>
    </row>
    <row r="177" s="3" customFormat="1" ht="21" customHeight="1" spans="1:11">
      <c r="A177" s="68"/>
      <c r="B177" s="68"/>
      <c r="C177" s="117" t="s">
        <v>223</v>
      </c>
      <c r="D177" s="121">
        <v>10</v>
      </c>
      <c r="E177" s="121">
        <v>0</v>
      </c>
      <c r="F177" s="121"/>
      <c r="G177" s="121"/>
      <c r="H177" s="121"/>
      <c r="I177" s="68"/>
      <c r="J177" s="68"/>
      <c r="K177" s="56">
        <f t="shared" si="6"/>
        <v>10</v>
      </c>
    </row>
    <row r="178" s="3" customFormat="1" ht="21" customHeight="1" spans="1:11">
      <c r="A178" s="68"/>
      <c r="B178" s="68"/>
      <c r="C178" s="117" t="s">
        <v>224</v>
      </c>
      <c r="D178" s="68">
        <v>66.5</v>
      </c>
      <c r="E178" s="121">
        <v>0</v>
      </c>
      <c r="F178" s="121"/>
      <c r="G178" s="121"/>
      <c r="H178" s="121"/>
      <c r="I178" s="68"/>
      <c r="J178" s="68"/>
      <c r="K178" s="56">
        <f t="shared" si="6"/>
        <v>66.5</v>
      </c>
    </row>
    <row r="179" s="3" customFormat="1" ht="21" customHeight="1" spans="1:11">
      <c r="A179" s="119" t="s">
        <v>225</v>
      </c>
      <c r="B179" s="119">
        <v>10.5</v>
      </c>
      <c r="C179" s="68" t="s">
        <v>226</v>
      </c>
      <c r="D179" s="121">
        <v>11</v>
      </c>
      <c r="E179" s="121">
        <v>5</v>
      </c>
      <c r="F179" s="121"/>
      <c r="G179" s="121"/>
      <c r="H179" s="121"/>
      <c r="I179" s="68"/>
      <c r="J179" s="68"/>
      <c r="K179" s="56">
        <f t="shared" si="6"/>
        <v>16</v>
      </c>
    </row>
    <row r="180" s="3" customFormat="1" ht="21" customHeight="1" spans="1:11">
      <c r="A180" s="119"/>
      <c r="B180" s="119"/>
      <c r="C180" s="68" t="s">
        <v>385</v>
      </c>
      <c r="D180" s="121">
        <v>11</v>
      </c>
      <c r="E180" s="121">
        <v>5</v>
      </c>
      <c r="F180" s="121"/>
      <c r="G180" s="121"/>
      <c r="H180" s="121"/>
      <c r="I180" s="68"/>
      <c r="J180" s="68"/>
      <c r="K180" s="56">
        <f t="shared" si="6"/>
        <v>16</v>
      </c>
    </row>
    <row r="181" s="3" customFormat="1" ht="21" customHeight="1" spans="1:11">
      <c r="A181" s="119"/>
      <c r="B181" s="119"/>
      <c r="C181" s="68" t="s">
        <v>228</v>
      </c>
      <c r="D181" s="101">
        <v>15</v>
      </c>
      <c r="E181" s="121">
        <v>5</v>
      </c>
      <c r="F181" s="121"/>
      <c r="G181" s="121"/>
      <c r="H181" s="121"/>
      <c r="I181" s="68"/>
      <c r="J181" s="68"/>
      <c r="K181" s="56">
        <f t="shared" si="6"/>
        <v>20</v>
      </c>
    </row>
    <row r="182" s="3" customFormat="1" ht="21" customHeight="1" spans="1:11">
      <c r="A182" s="119"/>
      <c r="B182" s="119"/>
      <c r="C182" s="68" t="s">
        <v>227</v>
      </c>
      <c r="D182" s="121">
        <v>15</v>
      </c>
      <c r="E182" s="121">
        <v>5</v>
      </c>
      <c r="F182" s="121"/>
      <c r="G182" s="121"/>
      <c r="H182" s="121"/>
      <c r="I182" s="68"/>
      <c r="J182" s="68"/>
      <c r="K182" s="56">
        <f t="shared" si="6"/>
        <v>20</v>
      </c>
    </row>
    <row r="183" s="3" customFormat="1" ht="21" customHeight="1" spans="1:11">
      <c r="A183" s="119"/>
      <c r="B183" s="119"/>
      <c r="C183" s="68" t="s">
        <v>240</v>
      </c>
      <c r="D183" s="68">
        <v>11</v>
      </c>
      <c r="E183" s="121">
        <v>0</v>
      </c>
      <c r="F183" s="121"/>
      <c r="G183" s="121"/>
      <c r="H183" s="121"/>
      <c r="I183" s="68"/>
      <c r="J183" s="141"/>
      <c r="K183" s="56">
        <f t="shared" si="6"/>
        <v>11</v>
      </c>
    </row>
    <row r="184" s="3" customFormat="1" ht="21" customHeight="1" spans="1:11">
      <c r="A184" s="119"/>
      <c r="B184" s="119"/>
      <c r="C184" s="68" t="s">
        <v>229</v>
      </c>
      <c r="D184" s="121">
        <v>11</v>
      </c>
      <c r="E184" s="121">
        <v>5</v>
      </c>
      <c r="F184" s="121"/>
      <c r="G184" s="121"/>
      <c r="H184" s="121"/>
      <c r="I184" s="68"/>
      <c r="J184" s="141"/>
      <c r="K184" s="56">
        <f t="shared" si="6"/>
        <v>16</v>
      </c>
    </row>
    <row r="185" s="3" customFormat="1" ht="21" customHeight="1" spans="1:11">
      <c r="A185" s="121" t="s">
        <v>230</v>
      </c>
      <c r="B185" s="121">
        <v>10.5</v>
      </c>
      <c r="C185" s="68" t="s">
        <v>231</v>
      </c>
      <c r="D185" s="68">
        <v>10.5</v>
      </c>
      <c r="E185" s="121">
        <v>10.5</v>
      </c>
      <c r="F185" s="68"/>
      <c r="G185" s="68"/>
      <c r="H185" s="68"/>
      <c r="I185" s="68"/>
      <c r="J185" s="141"/>
      <c r="K185" s="56">
        <f t="shared" si="6"/>
        <v>21</v>
      </c>
    </row>
    <row r="186" s="3" customFormat="1" ht="21" customHeight="1" spans="1:11">
      <c r="A186" s="121" t="s">
        <v>232</v>
      </c>
      <c r="B186" s="121">
        <v>12</v>
      </c>
      <c r="C186" s="121" t="s">
        <v>233</v>
      </c>
      <c r="D186" s="121">
        <v>12</v>
      </c>
      <c r="E186" s="121">
        <v>12</v>
      </c>
      <c r="F186" s="121"/>
      <c r="G186" s="121"/>
      <c r="H186" s="121"/>
      <c r="I186" s="121"/>
      <c r="J186" s="139"/>
      <c r="K186" s="86">
        <f t="shared" si="6"/>
        <v>24</v>
      </c>
    </row>
    <row r="187" s="3" customFormat="1" ht="21" customHeight="1" spans="1:11">
      <c r="A187" s="61"/>
      <c r="B187" s="87"/>
      <c r="C187" s="87"/>
      <c r="D187" s="87"/>
      <c r="E187" s="87"/>
      <c r="F187" s="87"/>
      <c r="G187" s="87"/>
      <c r="H187" s="87"/>
      <c r="I187" s="87"/>
      <c r="J187" s="87"/>
      <c r="K187" s="145">
        <f>SUM(K165:K186)</f>
        <v>420.5</v>
      </c>
    </row>
    <row r="190" s="1" customFormat="1" ht="21" customHeight="1" spans="1:11">
      <c r="A190" s="4" t="s">
        <v>445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="1" customFormat="1" ht="21" customHeight="1" spans="1:11">
      <c r="A191" s="5" t="s">
        <v>235</v>
      </c>
      <c r="B191" s="5"/>
      <c r="C191" s="5"/>
      <c r="D191" s="5" t="s">
        <v>452</v>
      </c>
      <c r="E191" s="5"/>
      <c r="F191" s="5"/>
      <c r="G191" s="5"/>
      <c r="H191" s="5"/>
      <c r="I191" s="5"/>
      <c r="J191" s="5"/>
      <c r="K191" s="5"/>
    </row>
    <row r="192" s="1" customFormat="1" ht="21" customHeight="1" spans="1:11">
      <c r="A192" s="6" t="s">
        <v>200</v>
      </c>
      <c r="B192" s="6" t="s">
        <v>201</v>
      </c>
      <c r="C192" s="7" t="s">
        <v>202</v>
      </c>
      <c r="D192" s="8" t="s">
        <v>6</v>
      </c>
      <c r="E192" s="8" t="s">
        <v>6</v>
      </c>
      <c r="F192" s="6" t="s">
        <v>6</v>
      </c>
      <c r="G192" s="6" t="s">
        <v>6</v>
      </c>
      <c r="H192" s="6" t="s">
        <v>6</v>
      </c>
      <c r="I192" s="6" t="s">
        <v>6</v>
      </c>
      <c r="J192" s="6" t="s">
        <v>203</v>
      </c>
      <c r="K192" s="6" t="s">
        <v>204</v>
      </c>
    </row>
    <row r="193" s="1" customFormat="1" ht="21" customHeight="1" spans="1:11">
      <c r="A193" s="9" t="s">
        <v>205</v>
      </c>
      <c r="B193" s="9">
        <v>12</v>
      </c>
      <c r="C193" s="10" t="s">
        <v>206</v>
      </c>
      <c r="D193" s="11">
        <v>12</v>
      </c>
      <c r="E193" s="11">
        <v>12</v>
      </c>
      <c r="F193" s="11"/>
      <c r="G193" s="11"/>
      <c r="H193" s="26"/>
      <c r="I193" s="9"/>
      <c r="J193" s="9"/>
      <c r="K193" s="13">
        <f t="shared" ref="K193:K213" si="7">SUM(D193:J193)</f>
        <v>24</v>
      </c>
    </row>
    <row r="194" s="1" customFormat="1" ht="21" customHeight="1" spans="1:11">
      <c r="A194" s="14" t="s">
        <v>207</v>
      </c>
      <c r="B194" s="9">
        <v>11.5</v>
      </c>
      <c r="C194" s="15" t="s">
        <v>208</v>
      </c>
      <c r="D194" s="11">
        <v>30</v>
      </c>
      <c r="E194" s="11">
        <v>30</v>
      </c>
      <c r="F194" s="11"/>
      <c r="G194" s="11"/>
      <c r="H194" s="26"/>
      <c r="I194" s="9"/>
      <c r="J194" s="9"/>
      <c r="K194" s="13">
        <f t="shared" si="7"/>
        <v>60</v>
      </c>
    </row>
    <row r="195" s="1" customFormat="1" ht="21" customHeight="1" spans="1:11">
      <c r="A195" s="14"/>
      <c r="B195" s="9"/>
      <c r="C195" s="15" t="s">
        <v>210</v>
      </c>
      <c r="D195" s="11">
        <v>26.5</v>
      </c>
      <c r="E195" s="11">
        <v>26.5</v>
      </c>
      <c r="F195" s="11"/>
      <c r="G195" s="11"/>
      <c r="H195" s="26"/>
      <c r="I195" s="9"/>
      <c r="J195" s="9"/>
      <c r="K195" s="13">
        <f t="shared" si="7"/>
        <v>53</v>
      </c>
    </row>
    <row r="196" s="1" customFormat="1" ht="21" customHeight="1" spans="1:11">
      <c r="A196" s="16" t="s">
        <v>237</v>
      </c>
      <c r="B196" s="13">
        <v>11.5</v>
      </c>
      <c r="C196" s="17" t="s">
        <v>212</v>
      </c>
      <c r="D196" s="11">
        <v>23</v>
      </c>
      <c r="E196" s="11">
        <v>11.5</v>
      </c>
      <c r="F196" s="11"/>
      <c r="G196" s="11"/>
      <c r="H196" s="26"/>
      <c r="I196" s="9"/>
      <c r="J196" s="9"/>
      <c r="K196" s="13">
        <f t="shared" si="7"/>
        <v>34.5</v>
      </c>
    </row>
    <row r="197" s="1" customFormat="1" ht="21" customHeight="1" spans="1:11">
      <c r="A197" s="18"/>
      <c r="B197" s="13"/>
      <c r="C197" s="1" t="s">
        <v>215</v>
      </c>
      <c r="D197" s="11">
        <v>23</v>
      </c>
      <c r="E197" s="11">
        <v>23</v>
      </c>
      <c r="F197" s="11"/>
      <c r="G197" s="11"/>
      <c r="H197" s="26"/>
      <c r="I197" s="9"/>
      <c r="J197" s="9"/>
      <c r="K197" s="13">
        <f t="shared" si="7"/>
        <v>46</v>
      </c>
    </row>
    <row r="198" s="1" customFormat="1" ht="21" customHeight="1" spans="1:11">
      <c r="A198" s="19" t="s">
        <v>238</v>
      </c>
      <c r="B198" s="13"/>
      <c r="C198" s="17" t="s">
        <v>213</v>
      </c>
      <c r="D198" s="11">
        <v>23</v>
      </c>
      <c r="E198" s="11">
        <v>23</v>
      </c>
      <c r="F198" s="11"/>
      <c r="G198" s="11"/>
      <c r="H198" s="26"/>
      <c r="I198" s="9"/>
      <c r="J198" s="9"/>
      <c r="K198" s="13">
        <f t="shared" si="7"/>
        <v>46</v>
      </c>
    </row>
    <row r="199" s="1" customFormat="1" ht="21" customHeight="1" spans="1:11">
      <c r="A199" s="20"/>
      <c r="B199" s="13"/>
      <c r="C199" s="17" t="s">
        <v>216</v>
      </c>
      <c r="D199" s="11">
        <v>23</v>
      </c>
      <c r="E199" s="11">
        <v>23</v>
      </c>
      <c r="F199" s="11"/>
      <c r="G199" s="11"/>
      <c r="H199" s="26"/>
      <c r="I199" s="26"/>
      <c r="J199" s="9"/>
      <c r="K199" s="13">
        <f t="shared" si="7"/>
        <v>46</v>
      </c>
    </row>
    <row r="200" s="1" customFormat="1" ht="21" customHeight="1" spans="1:11">
      <c r="A200" s="21" t="s">
        <v>239</v>
      </c>
      <c r="B200" s="13"/>
      <c r="C200" s="13" t="s">
        <v>214</v>
      </c>
      <c r="D200" s="11">
        <v>21.5</v>
      </c>
      <c r="E200" s="11">
        <v>11.5</v>
      </c>
      <c r="F200" s="11"/>
      <c r="G200" s="11"/>
      <c r="H200" s="26"/>
      <c r="I200" s="26"/>
      <c r="J200" s="9"/>
      <c r="K200" s="13">
        <f t="shared" si="7"/>
        <v>33</v>
      </c>
    </row>
    <row r="201" s="1" customFormat="1" ht="21" customHeight="1" spans="1:11">
      <c r="A201" s="9" t="s">
        <v>217</v>
      </c>
      <c r="B201" s="9">
        <v>10.5</v>
      </c>
      <c r="C201" s="9" t="s">
        <v>218</v>
      </c>
      <c r="D201" s="22">
        <v>21</v>
      </c>
      <c r="E201" s="22">
        <v>20</v>
      </c>
      <c r="F201" s="22"/>
      <c r="G201" s="22"/>
      <c r="H201" s="26"/>
      <c r="I201" s="9"/>
      <c r="J201" s="9"/>
      <c r="K201" s="13">
        <f t="shared" si="7"/>
        <v>41</v>
      </c>
    </row>
    <row r="202" s="1" customFormat="1" ht="21" customHeight="1" spans="1:11">
      <c r="A202" s="9"/>
      <c r="B202" s="9"/>
      <c r="C202" s="9" t="s">
        <v>219</v>
      </c>
      <c r="D202" s="11">
        <v>21</v>
      </c>
      <c r="E202" s="11">
        <v>20</v>
      </c>
      <c r="F202" s="11"/>
      <c r="G202" s="11"/>
      <c r="H202" s="26"/>
      <c r="I202" s="9"/>
      <c r="J202" s="9"/>
      <c r="K202" s="13">
        <f t="shared" si="7"/>
        <v>41</v>
      </c>
    </row>
    <row r="203" s="1" customFormat="1" ht="21" customHeight="1" spans="1:11">
      <c r="A203" s="9" t="s">
        <v>220</v>
      </c>
      <c r="B203" s="9">
        <v>11.5</v>
      </c>
      <c r="C203" s="15" t="s">
        <v>221</v>
      </c>
      <c r="D203" s="11">
        <v>28</v>
      </c>
      <c r="E203" s="11">
        <v>28</v>
      </c>
      <c r="F203" s="11"/>
      <c r="G203" s="11"/>
      <c r="H203" s="26"/>
      <c r="I203" s="9"/>
      <c r="J203" s="9"/>
      <c r="K203" s="13">
        <f t="shared" si="7"/>
        <v>56</v>
      </c>
    </row>
    <row r="204" s="1" customFormat="1" ht="21" customHeight="1" spans="1:11">
      <c r="A204" s="9"/>
      <c r="B204" s="9"/>
      <c r="C204" s="15" t="s">
        <v>222</v>
      </c>
      <c r="D204" s="11">
        <v>18</v>
      </c>
      <c r="E204" s="11">
        <v>18</v>
      </c>
      <c r="F204" s="11"/>
      <c r="G204" s="11"/>
      <c r="H204" s="26"/>
      <c r="I204" s="9"/>
      <c r="J204" s="9"/>
      <c r="K204" s="13">
        <f t="shared" si="7"/>
        <v>36</v>
      </c>
    </row>
    <row r="205" s="1" customFormat="1" ht="21" customHeight="1" spans="1:11">
      <c r="A205" s="9"/>
      <c r="B205" s="9"/>
      <c r="C205" s="15" t="s">
        <v>223</v>
      </c>
      <c r="D205" s="23">
        <v>41</v>
      </c>
      <c r="E205" s="23">
        <v>41</v>
      </c>
      <c r="F205" s="23"/>
      <c r="G205" s="23"/>
      <c r="H205" s="26"/>
      <c r="I205" s="9"/>
      <c r="J205" s="9"/>
      <c r="K205" s="13">
        <f t="shared" si="7"/>
        <v>82</v>
      </c>
    </row>
    <row r="206" s="1" customFormat="1" ht="21" customHeight="1" spans="1:11">
      <c r="A206" s="9"/>
      <c r="B206" s="9"/>
      <c r="C206" s="15" t="s">
        <v>224</v>
      </c>
      <c r="D206" s="24">
        <v>155.7</v>
      </c>
      <c r="E206" s="24">
        <v>157</v>
      </c>
      <c r="F206" s="24"/>
      <c r="G206" s="24"/>
      <c r="H206" s="26"/>
      <c r="I206" s="9"/>
      <c r="J206" s="9"/>
      <c r="K206" s="13">
        <f t="shared" si="7"/>
        <v>312.7</v>
      </c>
    </row>
    <row r="207" s="1" customFormat="1" ht="21" customHeight="1" spans="1:11">
      <c r="A207" s="25" t="s">
        <v>225</v>
      </c>
      <c r="B207" s="25">
        <v>10.5</v>
      </c>
      <c r="C207" s="9" t="s">
        <v>226</v>
      </c>
      <c r="D207" s="11">
        <v>25</v>
      </c>
      <c r="E207" s="11">
        <v>25</v>
      </c>
      <c r="F207" s="11"/>
      <c r="G207" s="11"/>
      <c r="H207" s="26"/>
      <c r="I207" s="9"/>
      <c r="J207" s="9"/>
      <c r="K207" s="13">
        <f t="shared" si="7"/>
        <v>50</v>
      </c>
    </row>
    <row r="208" s="1" customFormat="1" ht="21" customHeight="1" spans="1:11">
      <c r="A208" s="25"/>
      <c r="B208" s="25"/>
      <c r="C208" s="9" t="s">
        <v>228</v>
      </c>
      <c r="D208" s="11">
        <v>25</v>
      </c>
      <c r="E208" s="11">
        <v>50</v>
      </c>
      <c r="F208" s="11"/>
      <c r="G208" s="11"/>
      <c r="H208" s="26"/>
      <c r="I208" s="9"/>
      <c r="J208" s="9"/>
      <c r="K208" s="13">
        <f t="shared" si="7"/>
        <v>75</v>
      </c>
    </row>
    <row r="209" s="1" customFormat="1" ht="21" customHeight="1" spans="1:11">
      <c r="A209" s="25"/>
      <c r="B209" s="25"/>
      <c r="C209" s="9" t="s">
        <v>227</v>
      </c>
      <c r="D209" s="11">
        <v>24.6</v>
      </c>
      <c r="E209" s="11">
        <v>24.5</v>
      </c>
      <c r="F209" s="11"/>
      <c r="G209" s="11"/>
      <c r="H209" s="26"/>
      <c r="I209" s="9"/>
      <c r="J209" s="9"/>
      <c r="K209" s="13">
        <f t="shared" si="7"/>
        <v>49.1</v>
      </c>
    </row>
    <row r="210" s="1" customFormat="1" ht="21" customHeight="1" spans="1:11">
      <c r="A210" s="25"/>
      <c r="B210" s="25"/>
      <c r="C210" s="9" t="s">
        <v>229</v>
      </c>
      <c r="D210" s="11">
        <v>24.6</v>
      </c>
      <c r="E210" s="11">
        <v>24.5</v>
      </c>
      <c r="F210" s="11"/>
      <c r="G210" s="11"/>
      <c r="H210" s="26"/>
      <c r="I210" s="9"/>
      <c r="J210" s="106"/>
      <c r="K210" s="13">
        <f t="shared" si="7"/>
        <v>49.1</v>
      </c>
    </row>
    <row r="211" s="1" customFormat="1" ht="21" customHeight="1" spans="1:11">
      <c r="A211" s="25"/>
      <c r="B211" s="25"/>
      <c r="C211" s="9" t="s">
        <v>240</v>
      </c>
      <c r="D211" s="11">
        <v>24.6</v>
      </c>
      <c r="E211" s="11">
        <v>24.5</v>
      </c>
      <c r="F211" s="11"/>
      <c r="G211" s="11"/>
      <c r="H211" s="26"/>
      <c r="I211" s="9"/>
      <c r="J211" s="106"/>
      <c r="K211" s="13">
        <f t="shared" si="7"/>
        <v>49.1</v>
      </c>
    </row>
    <row r="212" s="1" customFormat="1" ht="21" customHeight="1" spans="1:11">
      <c r="A212" s="26" t="s">
        <v>230</v>
      </c>
      <c r="B212" s="26">
        <v>10.5</v>
      </c>
      <c r="C212" s="9" t="s">
        <v>231</v>
      </c>
      <c r="D212" s="11">
        <v>10.5</v>
      </c>
      <c r="E212" s="11">
        <v>10.5</v>
      </c>
      <c r="F212" s="11"/>
      <c r="G212" s="11"/>
      <c r="H212" s="9"/>
      <c r="I212" s="9"/>
      <c r="J212" s="106"/>
      <c r="K212" s="13">
        <f t="shared" si="7"/>
        <v>21</v>
      </c>
    </row>
    <row r="213" s="1" customFormat="1" ht="21" customHeight="1" spans="1:11">
      <c r="A213" s="26" t="s">
        <v>232</v>
      </c>
      <c r="B213" s="26">
        <v>12</v>
      </c>
      <c r="C213" s="26" t="s">
        <v>233</v>
      </c>
      <c r="D213" s="22">
        <v>12</v>
      </c>
      <c r="E213" s="22">
        <v>12</v>
      </c>
      <c r="F213" s="89"/>
      <c r="G213" s="146"/>
      <c r="H213" s="26"/>
      <c r="I213" s="26"/>
      <c r="J213" s="107"/>
      <c r="K213" s="28">
        <f t="shared" si="7"/>
        <v>24</v>
      </c>
    </row>
    <row r="214" s="1" customFormat="1" ht="21" customHeight="1" spans="1:11">
      <c r="A214" s="17"/>
      <c r="B214" s="29"/>
      <c r="C214" s="29"/>
      <c r="D214" s="30"/>
      <c r="E214" s="30"/>
      <c r="F214" s="30"/>
      <c r="G214" s="29"/>
      <c r="H214" s="29"/>
      <c r="I214" s="29"/>
      <c r="J214" s="29"/>
      <c r="K214" s="31">
        <f>SUM(K193:K213)</f>
        <v>1228.5</v>
      </c>
    </row>
    <row r="217" s="2" customFormat="1" ht="21.75" customHeight="1" spans="1:11">
      <c r="A217" s="42" t="s">
        <v>445</v>
      </c>
      <c r="B217" s="42"/>
      <c r="C217" s="42"/>
      <c r="D217" s="42"/>
      <c r="E217" s="42"/>
      <c r="F217" s="42"/>
      <c r="G217" s="42"/>
      <c r="H217" s="42"/>
      <c r="I217" s="42"/>
      <c r="J217" s="42"/>
      <c r="K217" s="42"/>
    </row>
    <row r="218" s="2" customFormat="1" ht="21.75" customHeight="1" spans="1:11">
      <c r="A218" s="35" t="s">
        <v>235</v>
      </c>
      <c r="B218" s="36"/>
      <c r="C218" s="36"/>
      <c r="D218" s="37" t="s">
        <v>453</v>
      </c>
      <c r="E218" s="36"/>
      <c r="F218" s="36"/>
      <c r="G218" s="36"/>
      <c r="H218" s="36"/>
      <c r="I218" s="36"/>
      <c r="J218" s="36"/>
      <c r="K218" s="36"/>
    </row>
    <row r="219" s="2" customFormat="1" ht="21.75" customHeight="1" spans="1:11">
      <c r="A219" s="27" t="s">
        <v>200</v>
      </c>
      <c r="B219" s="27" t="s">
        <v>201</v>
      </c>
      <c r="C219" s="38" t="s">
        <v>202</v>
      </c>
      <c r="D219" s="12" t="s">
        <v>6</v>
      </c>
      <c r="E219" s="12" t="s">
        <v>6</v>
      </c>
      <c r="F219" s="27" t="s">
        <v>6</v>
      </c>
      <c r="G219" s="27" t="s">
        <v>6</v>
      </c>
      <c r="H219" s="27" t="s">
        <v>6</v>
      </c>
      <c r="I219" s="27" t="s">
        <v>6</v>
      </c>
      <c r="J219" s="27" t="s">
        <v>203</v>
      </c>
      <c r="K219" s="27" t="s">
        <v>204</v>
      </c>
    </row>
    <row r="220" s="2" customFormat="1" ht="21.75" customHeight="1" spans="1:11">
      <c r="A220" s="27" t="s">
        <v>205</v>
      </c>
      <c r="B220" s="27">
        <v>12</v>
      </c>
      <c r="C220" s="38" t="s">
        <v>206</v>
      </c>
      <c r="D220" s="11">
        <v>12</v>
      </c>
      <c r="E220" s="11">
        <v>12</v>
      </c>
      <c r="F220" s="11">
        <v>10</v>
      </c>
      <c r="G220" s="11"/>
      <c r="H220" s="12"/>
      <c r="I220" s="27"/>
      <c r="J220" s="27"/>
      <c r="K220" s="27">
        <f t="shared" ref="K220:K240" si="8">SUM(D220:J220)</f>
        <v>34</v>
      </c>
    </row>
    <row r="221" s="2" customFormat="1" ht="21.75" customHeight="1" spans="1:11">
      <c r="A221" s="43" t="s">
        <v>207</v>
      </c>
      <c r="B221" s="12">
        <v>11.5</v>
      </c>
      <c r="C221" s="38" t="s">
        <v>208</v>
      </c>
      <c r="D221" s="11">
        <v>17.5</v>
      </c>
      <c r="E221" s="11">
        <v>17.5</v>
      </c>
      <c r="F221" s="11">
        <v>15</v>
      </c>
      <c r="G221" s="11"/>
      <c r="H221" s="12"/>
      <c r="I221" s="27"/>
      <c r="J221" s="27"/>
      <c r="K221" s="27">
        <f t="shared" si="8"/>
        <v>50</v>
      </c>
    </row>
    <row r="222" s="2" customFormat="1" ht="21.75" customHeight="1" spans="1:11">
      <c r="A222" s="44"/>
      <c r="B222" s="39"/>
      <c r="C222" s="38" t="s">
        <v>210</v>
      </c>
      <c r="D222" s="11">
        <v>17.5</v>
      </c>
      <c r="E222" s="11">
        <v>17.5</v>
      </c>
      <c r="F222" s="11">
        <v>15</v>
      </c>
      <c r="G222" s="11"/>
      <c r="H222" s="12"/>
      <c r="I222" s="27"/>
      <c r="J222" s="27"/>
      <c r="K222" s="27">
        <f t="shared" si="8"/>
        <v>50</v>
      </c>
    </row>
    <row r="223" s="2" customFormat="1" ht="21.75" customHeight="1" spans="1:11">
      <c r="A223" s="43" t="s">
        <v>211</v>
      </c>
      <c r="B223" s="12">
        <v>11.5</v>
      </c>
      <c r="C223" s="38" t="s">
        <v>212</v>
      </c>
      <c r="D223" s="11">
        <v>11.5</v>
      </c>
      <c r="E223" s="11">
        <v>11.5</v>
      </c>
      <c r="F223" s="11">
        <v>11</v>
      </c>
      <c r="G223" s="11"/>
      <c r="H223" s="12"/>
      <c r="I223" s="27"/>
      <c r="J223" s="27"/>
      <c r="K223" s="27">
        <f t="shared" si="8"/>
        <v>34</v>
      </c>
    </row>
    <row r="224" s="2" customFormat="1" ht="21.75" customHeight="1" spans="1:11">
      <c r="A224" s="44"/>
      <c r="B224" s="39"/>
      <c r="C224" s="38" t="s">
        <v>213</v>
      </c>
      <c r="D224" s="11">
        <v>11.5</v>
      </c>
      <c r="E224" s="11">
        <v>11.5</v>
      </c>
      <c r="F224" s="11">
        <v>11</v>
      </c>
      <c r="G224" s="11"/>
      <c r="H224" s="12"/>
      <c r="I224" s="27"/>
      <c r="J224" s="27"/>
      <c r="K224" s="27">
        <f t="shared" si="8"/>
        <v>34</v>
      </c>
    </row>
    <row r="225" s="2" customFormat="1" ht="21.75" customHeight="1" spans="1:11">
      <c r="A225" s="44"/>
      <c r="B225" s="39"/>
      <c r="C225" s="27" t="s">
        <v>214</v>
      </c>
      <c r="D225" s="11">
        <v>11.5</v>
      </c>
      <c r="E225" s="11">
        <v>11.5</v>
      </c>
      <c r="F225" s="11">
        <v>11</v>
      </c>
      <c r="G225" s="11"/>
      <c r="H225" s="12"/>
      <c r="I225" s="27"/>
      <c r="J225" s="27"/>
      <c r="K225" s="27">
        <f t="shared" si="8"/>
        <v>34</v>
      </c>
    </row>
    <row r="226" s="2" customFormat="1" ht="21.75" customHeight="1" spans="1:11">
      <c r="A226" s="44"/>
      <c r="B226" s="39"/>
      <c r="C226" s="38" t="s">
        <v>216</v>
      </c>
      <c r="D226" s="11">
        <v>11.5</v>
      </c>
      <c r="E226" s="11">
        <v>11.5</v>
      </c>
      <c r="F226" s="11">
        <v>11</v>
      </c>
      <c r="G226" s="11"/>
      <c r="H226" s="12"/>
      <c r="I226" s="12"/>
      <c r="J226" s="27"/>
      <c r="K226" s="27">
        <f t="shared" si="8"/>
        <v>34</v>
      </c>
    </row>
    <row r="227" s="2" customFormat="1" ht="21.75" customHeight="1" spans="1:11">
      <c r="A227" s="45"/>
      <c r="B227" s="46"/>
      <c r="C227" s="38" t="s">
        <v>215</v>
      </c>
      <c r="D227" s="11">
        <v>11.5</v>
      </c>
      <c r="E227" s="11">
        <v>11.5</v>
      </c>
      <c r="F227" s="11">
        <v>11</v>
      </c>
      <c r="G227" s="11"/>
      <c r="H227" s="12"/>
      <c r="I227" s="12"/>
      <c r="J227" s="27"/>
      <c r="K227" s="27">
        <f t="shared" si="8"/>
        <v>34</v>
      </c>
    </row>
    <row r="228" s="2" customFormat="1" ht="21.75" customHeight="1" spans="1:11">
      <c r="A228" s="27" t="s">
        <v>217</v>
      </c>
      <c r="B228" s="27">
        <v>10.5</v>
      </c>
      <c r="C228" s="27" t="s">
        <v>218</v>
      </c>
      <c r="D228" s="11">
        <v>10</v>
      </c>
      <c r="E228" s="11">
        <v>10</v>
      </c>
      <c r="F228" s="11">
        <v>5</v>
      </c>
      <c r="G228" s="11"/>
      <c r="H228" s="12"/>
      <c r="I228" s="27"/>
      <c r="J228" s="27"/>
      <c r="K228" s="27">
        <f t="shared" si="8"/>
        <v>25</v>
      </c>
    </row>
    <row r="229" s="2" customFormat="1" ht="21.75" customHeight="1" spans="1:11">
      <c r="A229" s="27"/>
      <c r="B229" s="27"/>
      <c r="C229" s="27" t="s">
        <v>219</v>
      </c>
      <c r="D229" s="11">
        <v>40</v>
      </c>
      <c r="E229" s="11">
        <v>40</v>
      </c>
      <c r="F229" s="11">
        <v>0</v>
      </c>
      <c r="G229" s="11"/>
      <c r="H229" s="12"/>
      <c r="I229" s="27"/>
      <c r="J229" s="27"/>
      <c r="K229" s="27">
        <f t="shared" si="8"/>
        <v>80</v>
      </c>
    </row>
    <row r="230" s="2" customFormat="1" ht="21.75" customHeight="1" spans="1:11">
      <c r="A230" s="27" t="s">
        <v>220</v>
      </c>
      <c r="B230" s="27">
        <v>11.5</v>
      </c>
      <c r="C230" s="38" t="s">
        <v>221</v>
      </c>
      <c r="D230" s="11">
        <v>19.5</v>
      </c>
      <c r="E230" s="11">
        <v>19.5</v>
      </c>
      <c r="F230" s="11">
        <v>5</v>
      </c>
      <c r="G230" s="11"/>
      <c r="H230" s="12"/>
      <c r="I230" s="27"/>
      <c r="J230" s="27"/>
      <c r="K230" s="27">
        <f t="shared" si="8"/>
        <v>44</v>
      </c>
    </row>
    <row r="231" s="2" customFormat="1" ht="21.75" customHeight="1" spans="1:11">
      <c r="A231" s="27"/>
      <c r="B231" s="27"/>
      <c r="C231" s="38" t="s">
        <v>222</v>
      </c>
      <c r="D231" s="11">
        <v>19.5</v>
      </c>
      <c r="E231" s="11">
        <v>19.5</v>
      </c>
      <c r="F231" s="11">
        <v>5</v>
      </c>
      <c r="G231" s="11"/>
      <c r="H231" s="12"/>
      <c r="I231" s="27"/>
      <c r="J231" s="27"/>
      <c r="K231" s="27">
        <f t="shared" si="8"/>
        <v>44</v>
      </c>
    </row>
    <row r="232" s="2" customFormat="1" ht="21.75" customHeight="1" spans="1:11">
      <c r="A232" s="27"/>
      <c r="B232" s="27"/>
      <c r="C232" s="38" t="s">
        <v>223</v>
      </c>
      <c r="D232" s="11">
        <v>50</v>
      </c>
      <c r="E232" s="11">
        <v>50</v>
      </c>
      <c r="F232" s="23">
        <v>0</v>
      </c>
      <c r="G232" s="23"/>
      <c r="H232" s="12"/>
      <c r="I232" s="27"/>
      <c r="J232" s="27"/>
      <c r="K232" s="27">
        <f t="shared" si="8"/>
        <v>100</v>
      </c>
    </row>
    <row r="233" s="2" customFormat="1" ht="21.75" customHeight="1" spans="1:11">
      <c r="A233" s="27"/>
      <c r="B233" s="27"/>
      <c r="C233" s="38" t="s">
        <v>224</v>
      </c>
      <c r="D233" s="24">
        <v>73.5</v>
      </c>
      <c r="E233" s="24">
        <v>73.5</v>
      </c>
      <c r="F233" s="24">
        <v>5</v>
      </c>
      <c r="G233" s="24"/>
      <c r="H233" s="12"/>
      <c r="I233" s="27"/>
      <c r="J233" s="27"/>
      <c r="K233" s="27">
        <f t="shared" si="8"/>
        <v>152</v>
      </c>
    </row>
    <row r="234" s="2" customFormat="1" ht="21.75" customHeight="1" spans="1:11">
      <c r="A234" s="39" t="s">
        <v>225</v>
      </c>
      <c r="B234" s="39">
        <v>10.5</v>
      </c>
      <c r="C234" s="27" t="s">
        <v>226</v>
      </c>
      <c r="D234" s="11">
        <v>23</v>
      </c>
      <c r="E234" s="11">
        <v>23</v>
      </c>
      <c r="F234" s="11">
        <v>10</v>
      </c>
      <c r="G234" s="11"/>
      <c r="H234" s="12"/>
      <c r="I234" s="27"/>
      <c r="J234" s="27"/>
      <c r="K234" s="27">
        <f t="shared" si="8"/>
        <v>56</v>
      </c>
    </row>
    <row r="235" s="2" customFormat="1" ht="21.75" customHeight="1" spans="1:11">
      <c r="A235" s="39"/>
      <c r="B235" s="39"/>
      <c r="C235" s="27" t="s">
        <v>228</v>
      </c>
      <c r="D235" s="11">
        <v>40</v>
      </c>
      <c r="E235" s="11">
        <v>40</v>
      </c>
      <c r="F235" s="11">
        <v>0</v>
      </c>
      <c r="G235" s="11"/>
      <c r="H235" s="12"/>
      <c r="I235" s="27"/>
      <c r="J235" s="27"/>
      <c r="K235" s="27">
        <f t="shared" si="8"/>
        <v>80</v>
      </c>
    </row>
    <row r="236" s="2" customFormat="1" ht="21.75" customHeight="1" spans="1:11">
      <c r="A236" s="39"/>
      <c r="B236" s="39"/>
      <c r="C236" s="27" t="s">
        <v>227</v>
      </c>
      <c r="D236" s="11">
        <v>40</v>
      </c>
      <c r="E236" s="11">
        <v>40</v>
      </c>
      <c r="F236" s="11">
        <v>0</v>
      </c>
      <c r="G236" s="11"/>
      <c r="H236" s="12"/>
      <c r="I236" s="27"/>
      <c r="J236" s="27"/>
      <c r="K236" s="27">
        <f t="shared" si="8"/>
        <v>80</v>
      </c>
    </row>
    <row r="237" s="2" customFormat="1" ht="21.75" customHeight="1" spans="1:11">
      <c r="A237" s="39"/>
      <c r="B237" s="39"/>
      <c r="C237" s="27" t="s">
        <v>229</v>
      </c>
      <c r="D237" s="11">
        <v>11.5</v>
      </c>
      <c r="E237" s="11">
        <v>11.5</v>
      </c>
      <c r="F237" s="11">
        <v>5</v>
      </c>
      <c r="G237" s="11"/>
      <c r="H237" s="12"/>
      <c r="I237" s="27"/>
      <c r="J237" s="40"/>
      <c r="K237" s="27">
        <f t="shared" si="8"/>
        <v>28</v>
      </c>
    </row>
    <row r="238" s="2" customFormat="1" ht="21.75" customHeight="1" spans="1:11">
      <c r="A238" s="39"/>
      <c r="B238" s="39"/>
      <c r="C238" s="27" t="s">
        <v>240</v>
      </c>
      <c r="D238" s="11">
        <v>11.5</v>
      </c>
      <c r="E238" s="11">
        <v>11.5</v>
      </c>
      <c r="F238" s="11">
        <v>5</v>
      </c>
      <c r="G238" s="11"/>
      <c r="H238" s="12"/>
      <c r="I238" s="27"/>
      <c r="J238" s="40"/>
      <c r="K238" s="27">
        <f t="shared" si="8"/>
        <v>28</v>
      </c>
    </row>
    <row r="239" s="2" customFormat="1" ht="21.75" customHeight="1" spans="1:11">
      <c r="A239" s="12" t="s">
        <v>230</v>
      </c>
      <c r="B239" s="12">
        <v>10.5</v>
      </c>
      <c r="C239" s="27" t="s">
        <v>231</v>
      </c>
      <c r="D239" s="11">
        <v>10.5</v>
      </c>
      <c r="E239" s="11">
        <v>10.5</v>
      </c>
      <c r="F239" s="11">
        <v>10.5</v>
      </c>
      <c r="G239" s="11"/>
      <c r="H239" s="27"/>
      <c r="I239" s="27"/>
      <c r="J239" s="40"/>
      <c r="K239" s="27">
        <f t="shared" si="8"/>
        <v>31.5</v>
      </c>
    </row>
    <row r="240" s="2" customFormat="1" ht="21.75" customHeight="1" spans="1:11">
      <c r="A240" s="27" t="s">
        <v>232</v>
      </c>
      <c r="B240" s="27">
        <v>12</v>
      </c>
      <c r="C240" s="27" t="s">
        <v>233</v>
      </c>
      <c r="D240" s="22">
        <v>12</v>
      </c>
      <c r="E240" s="22">
        <v>12</v>
      </c>
      <c r="F240" s="22">
        <v>12</v>
      </c>
      <c r="G240" s="22"/>
      <c r="H240" s="27"/>
      <c r="I240" s="27"/>
      <c r="J240" s="40"/>
      <c r="K240" s="27">
        <f t="shared" si="8"/>
        <v>36</v>
      </c>
    </row>
    <row r="241" s="2" customFormat="1" ht="21.75" customHeight="1" spans="1:11">
      <c r="A241" s="38"/>
      <c r="B241" s="41"/>
      <c r="C241" s="41"/>
      <c r="D241" s="41"/>
      <c r="E241" s="41"/>
      <c r="F241" s="41"/>
      <c r="G241" s="41"/>
      <c r="H241" s="41"/>
      <c r="I241" s="41"/>
      <c r="J241" s="40"/>
      <c r="K241" s="47">
        <f>SUM(K220:K240)</f>
        <v>1088.5</v>
      </c>
    </row>
    <row r="244" s="3" customFormat="1" ht="21" customHeight="1" spans="1:11">
      <c r="A244" s="71" t="s">
        <v>454</v>
      </c>
      <c r="B244" s="71"/>
      <c r="C244" s="71"/>
      <c r="D244" s="71"/>
      <c r="E244" s="71"/>
      <c r="F244" s="71"/>
      <c r="G244" s="71"/>
      <c r="H244" s="71"/>
      <c r="I244" s="71"/>
      <c r="J244" s="71"/>
      <c r="K244" s="71"/>
    </row>
    <row r="245" s="3" customFormat="1" ht="21" customHeight="1" spans="1:11">
      <c r="A245" s="72" t="s">
        <v>247</v>
      </c>
      <c r="B245" s="72"/>
      <c r="C245" s="72"/>
      <c r="D245" s="73" t="s">
        <v>455</v>
      </c>
      <c r="E245" s="72"/>
      <c r="F245" s="72"/>
      <c r="G245" s="72"/>
      <c r="H245" s="72"/>
      <c r="I245" s="72"/>
      <c r="J245" s="72"/>
      <c r="K245" s="72"/>
    </row>
    <row r="246" s="3" customFormat="1" ht="21" customHeight="1" spans="1:11">
      <c r="A246" s="74" t="s">
        <v>200</v>
      </c>
      <c r="B246" s="74" t="s">
        <v>201</v>
      </c>
      <c r="C246" s="75" t="s">
        <v>202</v>
      </c>
      <c r="D246" s="76" t="s">
        <v>6</v>
      </c>
      <c r="E246" s="76" t="s">
        <v>6</v>
      </c>
      <c r="F246" s="74" t="s">
        <v>6</v>
      </c>
      <c r="G246" s="74" t="s">
        <v>6</v>
      </c>
      <c r="H246" s="74" t="s">
        <v>6</v>
      </c>
      <c r="I246" s="74" t="s">
        <v>6</v>
      </c>
      <c r="J246" s="74" t="s">
        <v>203</v>
      </c>
      <c r="K246" s="74" t="s">
        <v>204</v>
      </c>
    </row>
    <row r="247" s="3" customFormat="1" ht="21" customHeight="1" spans="1:11">
      <c r="A247" s="56" t="s">
        <v>205</v>
      </c>
      <c r="B247" s="56">
        <v>12</v>
      </c>
      <c r="C247" s="54" t="s">
        <v>206</v>
      </c>
      <c r="D247" s="55">
        <v>12</v>
      </c>
      <c r="E247" s="55">
        <v>12</v>
      </c>
      <c r="F247" s="55">
        <v>20</v>
      </c>
      <c r="G247" s="55">
        <v>12</v>
      </c>
      <c r="H247" s="77"/>
      <c r="I247" s="58"/>
      <c r="J247" s="47"/>
      <c r="K247" s="56">
        <f t="shared" ref="K247:K267" si="9">SUM(D247:J247)</f>
        <v>56</v>
      </c>
    </row>
    <row r="248" s="3" customFormat="1" ht="21" customHeight="1" spans="1:11">
      <c r="A248" s="78" t="s">
        <v>207</v>
      </c>
      <c r="B248" s="56">
        <v>11.5</v>
      </c>
      <c r="C248" s="61" t="s">
        <v>208</v>
      </c>
      <c r="D248" s="55">
        <v>11.5</v>
      </c>
      <c r="E248" s="55">
        <v>17.5</v>
      </c>
      <c r="F248" s="55">
        <v>25</v>
      </c>
      <c r="G248" s="55">
        <v>11.5</v>
      </c>
      <c r="H248" s="77"/>
      <c r="I248" s="58"/>
      <c r="J248" s="47"/>
      <c r="K248" s="56">
        <f t="shared" si="9"/>
        <v>65.5</v>
      </c>
    </row>
    <row r="249" s="3" customFormat="1" ht="21" customHeight="1" spans="1:11">
      <c r="A249" s="78"/>
      <c r="B249" s="56"/>
      <c r="C249" s="61" t="s">
        <v>210</v>
      </c>
      <c r="D249" s="55">
        <v>11.5</v>
      </c>
      <c r="E249" s="55">
        <v>17.5</v>
      </c>
      <c r="F249" s="55">
        <v>15</v>
      </c>
      <c r="G249" s="55">
        <v>11.5</v>
      </c>
      <c r="H249" s="77"/>
      <c r="I249" s="58"/>
      <c r="J249" s="47"/>
      <c r="K249" s="56">
        <f t="shared" si="9"/>
        <v>55.5</v>
      </c>
    </row>
    <row r="250" s="3" customFormat="1" ht="21" customHeight="1" spans="1:11">
      <c r="A250" s="79" t="s">
        <v>237</v>
      </c>
      <c r="B250" s="56">
        <v>11.5</v>
      </c>
      <c r="C250" s="61" t="s">
        <v>212</v>
      </c>
      <c r="D250" s="55">
        <v>10</v>
      </c>
      <c r="E250" s="55">
        <v>20</v>
      </c>
      <c r="F250" s="55">
        <v>15</v>
      </c>
      <c r="G250" s="55">
        <v>10</v>
      </c>
      <c r="H250" s="77"/>
      <c r="I250" s="58"/>
      <c r="J250" s="47"/>
      <c r="K250" s="56">
        <f t="shared" si="9"/>
        <v>55</v>
      </c>
    </row>
    <row r="251" s="3" customFormat="1" ht="21" customHeight="1" spans="1:11">
      <c r="A251" s="80"/>
      <c r="B251" s="56"/>
      <c r="C251" s="3" t="s">
        <v>215</v>
      </c>
      <c r="D251" s="55">
        <v>15</v>
      </c>
      <c r="E251" s="55">
        <v>15</v>
      </c>
      <c r="F251" s="55">
        <v>10</v>
      </c>
      <c r="G251" s="55">
        <v>10</v>
      </c>
      <c r="H251" s="77"/>
      <c r="I251" s="58"/>
      <c r="J251" s="47"/>
      <c r="K251" s="56">
        <f t="shared" si="9"/>
        <v>50</v>
      </c>
    </row>
    <row r="252" s="3" customFormat="1" ht="21" customHeight="1" spans="1:11">
      <c r="A252" s="81" t="s">
        <v>238</v>
      </c>
      <c r="B252" s="56"/>
      <c r="C252" s="61" t="s">
        <v>213</v>
      </c>
      <c r="D252" s="55">
        <v>10</v>
      </c>
      <c r="E252" s="55">
        <v>15</v>
      </c>
      <c r="F252" s="55">
        <v>10</v>
      </c>
      <c r="G252" s="55">
        <v>10</v>
      </c>
      <c r="H252" s="77"/>
      <c r="I252" s="58"/>
      <c r="J252" s="47"/>
      <c r="K252" s="56">
        <f t="shared" si="9"/>
        <v>45</v>
      </c>
    </row>
    <row r="253" s="3" customFormat="1" ht="21" customHeight="1" spans="1:11">
      <c r="A253" s="82"/>
      <c r="B253" s="56"/>
      <c r="C253" s="61" t="s">
        <v>216</v>
      </c>
      <c r="D253" s="55">
        <v>10</v>
      </c>
      <c r="E253" s="55">
        <v>15</v>
      </c>
      <c r="F253" s="55">
        <v>10</v>
      </c>
      <c r="G253" s="55">
        <v>10</v>
      </c>
      <c r="H253" s="77"/>
      <c r="I253" s="83"/>
      <c r="J253" s="47"/>
      <c r="K253" s="56">
        <f t="shared" si="9"/>
        <v>45</v>
      </c>
    </row>
    <row r="254" s="3" customFormat="1" ht="21" customHeight="1" spans="1:11">
      <c r="A254" s="84" t="s">
        <v>239</v>
      </c>
      <c r="B254" s="56"/>
      <c r="C254" s="56" t="s">
        <v>214</v>
      </c>
      <c r="D254" s="55">
        <v>10</v>
      </c>
      <c r="E254" s="55">
        <v>20</v>
      </c>
      <c r="F254" s="55">
        <v>10</v>
      </c>
      <c r="G254" s="55">
        <v>10</v>
      </c>
      <c r="H254" s="77"/>
      <c r="I254" s="83"/>
      <c r="J254" s="47"/>
      <c r="K254" s="56">
        <f t="shared" si="9"/>
        <v>50</v>
      </c>
    </row>
    <row r="255" s="3" customFormat="1" ht="21" customHeight="1" spans="1:11">
      <c r="A255" s="56" t="s">
        <v>217</v>
      </c>
      <c r="B255" s="56">
        <v>10.5</v>
      </c>
      <c r="C255" s="56" t="s">
        <v>218</v>
      </c>
      <c r="D255" s="55">
        <v>15</v>
      </c>
      <c r="E255" s="55">
        <v>20</v>
      </c>
      <c r="F255" s="55">
        <v>10</v>
      </c>
      <c r="G255" s="55">
        <v>10</v>
      </c>
      <c r="H255" s="77"/>
      <c r="I255" s="58"/>
      <c r="J255" s="47"/>
      <c r="K255" s="56">
        <f t="shared" si="9"/>
        <v>55</v>
      </c>
    </row>
    <row r="256" s="3" customFormat="1" ht="21" customHeight="1" spans="1:11">
      <c r="A256" s="56"/>
      <c r="B256" s="56"/>
      <c r="C256" s="56" t="s">
        <v>219</v>
      </c>
      <c r="D256" s="55">
        <v>15</v>
      </c>
      <c r="E256" s="55">
        <v>15</v>
      </c>
      <c r="F256" s="55">
        <v>10</v>
      </c>
      <c r="G256" s="55">
        <v>10</v>
      </c>
      <c r="H256" s="77"/>
      <c r="I256" s="58"/>
      <c r="J256" s="47"/>
      <c r="K256" s="56">
        <f t="shared" si="9"/>
        <v>50</v>
      </c>
    </row>
    <row r="257" s="3" customFormat="1" ht="21" customHeight="1" spans="1:11">
      <c r="A257" s="56" t="s">
        <v>220</v>
      </c>
      <c r="B257" s="56">
        <v>11.5</v>
      </c>
      <c r="C257" s="61" t="s">
        <v>221</v>
      </c>
      <c r="D257" s="55">
        <v>28</v>
      </c>
      <c r="E257" s="55">
        <v>48</v>
      </c>
      <c r="F257" s="55">
        <v>10</v>
      </c>
      <c r="G257" s="55">
        <v>10</v>
      </c>
      <c r="H257" s="77"/>
      <c r="I257" s="58"/>
      <c r="J257" s="47"/>
      <c r="K257" s="56">
        <f t="shared" si="9"/>
        <v>96</v>
      </c>
    </row>
    <row r="258" s="3" customFormat="1" ht="21" customHeight="1" spans="1:11">
      <c r="A258" s="56"/>
      <c r="B258" s="56"/>
      <c r="C258" s="61" t="s">
        <v>222</v>
      </c>
      <c r="D258" s="47">
        <v>24</v>
      </c>
      <c r="E258" s="47">
        <v>28</v>
      </c>
      <c r="F258" s="55">
        <v>10</v>
      </c>
      <c r="G258" s="55">
        <v>10</v>
      </c>
      <c r="H258" s="77"/>
      <c r="I258" s="58"/>
      <c r="J258" s="47"/>
      <c r="K258" s="56">
        <f t="shared" si="9"/>
        <v>72</v>
      </c>
    </row>
    <row r="259" s="3" customFormat="1" ht="21" customHeight="1" spans="1:11">
      <c r="A259" s="56"/>
      <c r="B259" s="56"/>
      <c r="C259" s="61" t="s">
        <v>223</v>
      </c>
      <c r="D259" s="47">
        <v>26</v>
      </c>
      <c r="E259" s="47">
        <v>28</v>
      </c>
      <c r="F259" s="55">
        <v>10</v>
      </c>
      <c r="G259" s="55">
        <v>10</v>
      </c>
      <c r="H259" s="77"/>
      <c r="I259" s="58"/>
      <c r="J259" s="47"/>
      <c r="K259" s="56">
        <f t="shared" si="9"/>
        <v>74</v>
      </c>
    </row>
    <row r="260" s="3" customFormat="1" ht="21" customHeight="1" spans="1:11">
      <c r="A260" s="56"/>
      <c r="B260" s="56"/>
      <c r="C260" s="61" t="s">
        <v>224</v>
      </c>
      <c r="D260" s="47">
        <v>34</v>
      </c>
      <c r="E260" s="47">
        <v>54</v>
      </c>
      <c r="F260" s="55">
        <v>10</v>
      </c>
      <c r="G260" s="55">
        <v>10</v>
      </c>
      <c r="H260" s="77"/>
      <c r="I260" s="58"/>
      <c r="J260" s="47"/>
      <c r="K260" s="56">
        <f t="shared" si="9"/>
        <v>108</v>
      </c>
    </row>
    <row r="261" s="3" customFormat="1" ht="21" customHeight="1" spans="1:11">
      <c r="A261" s="85" t="s">
        <v>225</v>
      </c>
      <c r="B261" s="85">
        <v>10.5</v>
      </c>
      <c r="C261" s="56" t="s">
        <v>226</v>
      </c>
      <c r="D261" s="55">
        <v>50</v>
      </c>
      <c r="E261" s="55">
        <v>50</v>
      </c>
      <c r="F261" s="55">
        <v>10</v>
      </c>
      <c r="G261" s="55">
        <v>10</v>
      </c>
      <c r="H261" s="77"/>
      <c r="I261" s="58"/>
      <c r="J261" s="47"/>
      <c r="K261" s="56">
        <f t="shared" si="9"/>
        <v>120</v>
      </c>
    </row>
    <row r="262" s="3" customFormat="1" ht="21" customHeight="1" spans="1:11">
      <c r="A262" s="85"/>
      <c r="B262" s="85"/>
      <c r="C262" s="56" t="s">
        <v>228</v>
      </c>
      <c r="D262" s="55">
        <v>50</v>
      </c>
      <c r="E262" s="55">
        <v>51</v>
      </c>
      <c r="F262" s="55">
        <v>10</v>
      </c>
      <c r="G262" s="55">
        <v>10</v>
      </c>
      <c r="H262" s="77"/>
      <c r="I262" s="58"/>
      <c r="J262" s="47"/>
      <c r="K262" s="56">
        <f t="shared" si="9"/>
        <v>121</v>
      </c>
    </row>
    <row r="263" s="3" customFormat="1" ht="21" customHeight="1" spans="1:11">
      <c r="A263" s="85"/>
      <c r="B263" s="85"/>
      <c r="C263" s="56" t="s">
        <v>227</v>
      </c>
      <c r="D263" s="55">
        <v>24</v>
      </c>
      <c r="E263" s="55">
        <v>34</v>
      </c>
      <c r="F263" s="55">
        <v>10</v>
      </c>
      <c r="G263" s="55">
        <v>10</v>
      </c>
      <c r="H263" s="77"/>
      <c r="I263" s="58"/>
      <c r="J263" s="47"/>
      <c r="K263" s="56">
        <f t="shared" si="9"/>
        <v>78</v>
      </c>
    </row>
    <row r="264" s="3" customFormat="1" ht="21" customHeight="1" spans="1:11">
      <c r="A264" s="85"/>
      <c r="B264" s="85"/>
      <c r="C264" s="56" t="s">
        <v>229</v>
      </c>
      <c r="D264" s="55">
        <v>24</v>
      </c>
      <c r="E264" s="55">
        <v>34</v>
      </c>
      <c r="F264" s="55">
        <v>10</v>
      </c>
      <c r="G264" s="55">
        <v>10</v>
      </c>
      <c r="H264" s="77"/>
      <c r="I264" s="58"/>
      <c r="J264" s="58"/>
      <c r="K264" s="56">
        <f t="shared" si="9"/>
        <v>78</v>
      </c>
    </row>
    <row r="265" s="3" customFormat="1" ht="21" customHeight="1" spans="1:11">
      <c r="A265" s="85"/>
      <c r="B265" s="85"/>
      <c r="C265" s="56" t="s">
        <v>240</v>
      </c>
      <c r="D265" s="55">
        <v>24</v>
      </c>
      <c r="E265" s="55">
        <v>34</v>
      </c>
      <c r="F265" s="55">
        <v>10</v>
      </c>
      <c r="G265" s="55">
        <v>10</v>
      </c>
      <c r="H265" s="77"/>
      <c r="I265" s="58"/>
      <c r="J265" s="58"/>
      <c r="K265" s="56">
        <f t="shared" si="9"/>
        <v>78</v>
      </c>
    </row>
    <row r="266" s="3" customFormat="1" ht="21" customHeight="1" spans="1:11">
      <c r="A266" s="86" t="s">
        <v>230</v>
      </c>
      <c r="B266" s="86">
        <v>10.5</v>
      </c>
      <c r="C266" s="56" t="s">
        <v>231</v>
      </c>
      <c r="D266" s="55">
        <v>10.5</v>
      </c>
      <c r="E266" s="55">
        <v>10.5</v>
      </c>
      <c r="F266" s="55">
        <v>10.5</v>
      </c>
      <c r="G266" s="55">
        <v>10.5</v>
      </c>
      <c r="H266" s="77"/>
      <c r="I266" s="58"/>
      <c r="J266" s="58"/>
      <c r="K266" s="56">
        <f t="shared" si="9"/>
        <v>42</v>
      </c>
    </row>
    <row r="267" s="3" customFormat="1" ht="21" customHeight="1" spans="1:11">
      <c r="A267" s="56" t="s">
        <v>232</v>
      </c>
      <c r="B267" s="56">
        <v>12</v>
      </c>
      <c r="C267" s="56" t="s">
        <v>233</v>
      </c>
      <c r="D267" s="47">
        <v>12</v>
      </c>
      <c r="E267" s="47">
        <v>12</v>
      </c>
      <c r="F267" s="47">
        <v>10</v>
      </c>
      <c r="G267" s="47">
        <v>12</v>
      </c>
      <c r="H267" s="77"/>
      <c r="I267" s="58"/>
      <c r="J267" s="58"/>
      <c r="K267" s="56">
        <f t="shared" si="9"/>
        <v>46</v>
      </c>
    </row>
    <row r="268" s="3" customFormat="1" ht="21" customHeight="1" spans="1:11">
      <c r="A268" s="61"/>
      <c r="B268" s="87"/>
      <c r="C268" s="87"/>
      <c r="D268" s="65">
        <f t="shared" ref="D268:F268" si="10">SUM(D247:D267)</f>
        <v>426.5</v>
      </c>
      <c r="E268" s="65">
        <f t="shared" si="10"/>
        <v>550.5</v>
      </c>
      <c r="F268" s="65">
        <f t="shared" si="10"/>
        <v>245.5</v>
      </c>
      <c r="G268" s="65"/>
      <c r="H268" s="65"/>
      <c r="I268" s="65"/>
      <c r="J268" s="65"/>
      <c r="K268" s="47">
        <f>SUM(K247:K267)</f>
        <v>1440</v>
      </c>
    </row>
    <row r="270" s="3" customFormat="1" ht="21" customHeight="1" spans="1:11">
      <c r="A270" s="133" t="s">
        <v>445</v>
      </c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</row>
    <row r="271" s="3" customFormat="1" ht="21" customHeight="1" spans="1:11">
      <c r="A271" s="134" t="s">
        <v>259</v>
      </c>
      <c r="B271" s="134"/>
      <c r="C271" s="134"/>
      <c r="D271" s="134" t="s">
        <v>456</v>
      </c>
      <c r="E271" s="134"/>
      <c r="F271" s="134"/>
      <c r="G271" s="134"/>
      <c r="H271" s="134"/>
      <c r="I271" s="134"/>
      <c r="J271" s="134"/>
      <c r="K271" s="134"/>
    </row>
    <row r="272" s="3" customFormat="1" ht="21" customHeight="1" spans="1:11">
      <c r="A272" s="135" t="s">
        <v>200</v>
      </c>
      <c r="B272" s="135" t="s">
        <v>201</v>
      </c>
      <c r="C272" s="136" t="s">
        <v>202</v>
      </c>
      <c r="D272" s="137" t="s">
        <v>6</v>
      </c>
      <c r="E272" s="137" t="s">
        <v>6</v>
      </c>
      <c r="F272" s="135" t="s">
        <v>6</v>
      </c>
      <c r="G272" s="135" t="s">
        <v>6</v>
      </c>
      <c r="H272" s="135" t="s">
        <v>6</v>
      </c>
      <c r="I272" s="135" t="s">
        <v>6</v>
      </c>
      <c r="J272" s="135" t="s">
        <v>203</v>
      </c>
      <c r="K272" s="135" t="s">
        <v>204</v>
      </c>
    </row>
    <row r="273" s="3" customFormat="1" ht="21" customHeight="1" spans="1:11">
      <c r="A273" s="68" t="s">
        <v>205</v>
      </c>
      <c r="B273" s="68">
        <v>12</v>
      </c>
      <c r="C273" s="113" t="s">
        <v>206</v>
      </c>
      <c r="D273" s="121">
        <v>12</v>
      </c>
      <c r="E273" s="121">
        <v>0</v>
      </c>
      <c r="F273" s="121"/>
      <c r="G273" s="121"/>
      <c r="H273" s="121"/>
      <c r="I273" s="68"/>
      <c r="J273" s="68"/>
      <c r="K273" s="56">
        <f>SUM(D273:J273)</f>
        <v>12</v>
      </c>
    </row>
    <row r="274" s="3" customFormat="1" ht="21" customHeight="1" spans="1:11">
      <c r="A274" s="116" t="s">
        <v>207</v>
      </c>
      <c r="B274" s="68">
        <v>11.5</v>
      </c>
      <c r="C274" s="117" t="s">
        <v>208</v>
      </c>
      <c r="D274" s="121">
        <v>23</v>
      </c>
      <c r="E274" s="121">
        <v>0</v>
      </c>
      <c r="F274" s="121"/>
      <c r="G274" s="121"/>
      <c r="H274" s="121"/>
      <c r="I274" s="68"/>
      <c r="J274" s="68"/>
      <c r="K274" s="56">
        <f>SUM(D274:J274)</f>
        <v>23</v>
      </c>
    </row>
    <row r="275" s="3" customFormat="1" ht="21" customHeight="1" spans="1:11">
      <c r="A275" s="116"/>
      <c r="B275" s="68"/>
      <c r="C275" s="117" t="s">
        <v>210</v>
      </c>
      <c r="D275" s="121">
        <v>11.5</v>
      </c>
      <c r="E275" s="121">
        <v>0</v>
      </c>
      <c r="F275" s="121"/>
      <c r="G275" s="121"/>
      <c r="H275" s="121"/>
      <c r="I275" s="68"/>
      <c r="J275" s="68"/>
      <c r="K275" s="56">
        <f t="shared" ref="K275:K293" si="11">SUM(D275:J275)</f>
        <v>11.5</v>
      </c>
    </row>
    <row r="276" s="3" customFormat="1" ht="21" customHeight="1" spans="1:11">
      <c r="A276" s="79" t="s">
        <v>237</v>
      </c>
      <c r="B276" s="56">
        <v>11.5</v>
      </c>
      <c r="C276" s="61" t="s">
        <v>212</v>
      </c>
      <c r="D276" s="121">
        <v>15</v>
      </c>
      <c r="E276" s="121">
        <v>0</v>
      </c>
      <c r="F276" s="121"/>
      <c r="G276" s="121"/>
      <c r="H276" s="121"/>
      <c r="I276" s="68"/>
      <c r="J276" s="68"/>
      <c r="K276" s="56">
        <f t="shared" si="11"/>
        <v>15</v>
      </c>
    </row>
    <row r="277" s="3" customFormat="1" ht="21" customHeight="1" spans="1:11">
      <c r="A277" s="80"/>
      <c r="B277" s="56"/>
      <c r="C277" s="3" t="s">
        <v>215</v>
      </c>
      <c r="D277" s="138">
        <v>11.5</v>
      </c>
      <c r="E277" s="139">
        <v>0</v>
      </c>
      <c r="F277" s="121"/>
      <c r="G277" s="121"/>
      <c r="H277" s="121"/>
      <c r="I277" s="68"/>
      <c r="J277" s="68"/>
      <c r="K277" s="56">
        <f t="shared" si="11"/>
        <v>11.5</v>
      </c>
    </row>
    <row r="278" s="3" customFormat="1" ht="21" customHeight="1" spans="1:11">
      <c r="A278" s="81" t="s">
        <v>238</v>
      </c>
      <c r="B278" s="56"/>
      <c r="C278" s="61" t="s">
        <v>213</v>
      </c>
      <c r="D278" s="140">
        <v>11.5</v>
      </c>
      <c r="E278" s="121">
        <v>0</v>
      </c>
      <c r="F278" s="121"/>
      <c r="G278" s="121"/>
      <c r="H278" s="121"/>
      <c r="I278" s="68"/>
      <c r="J278" s="68"/>
      <c r="K278" s="56">
        <f t="shared" si="11"/>
        <v>11.5</v>
      </c>
    </row>
    <row r="279" s="3" customFormat="1" ht="21" customHeight="1" spans="1:11">
      <c r="A279" s="82"/>
      <c r="B279" s="56"/>
      <c r="C279" s="61" t="s">
        <v>216</v>
      </c>
      <c r="D279" s="68">
        <v>0</v>
      </c>
      <c r="E279" s="121">
        <v>15</v>
      </c>
      <c r="F279" s="121"/>
      <c r="G279" s="121"/>
      <c r="H279" s="121"/>
      <c r="I279" s="121"/>
      <c r="J279" s="68"/>
      <c r="K279" s="56">
        <f t="shared" si="11"/>
        <v>15</v>
      </c>
    </row>
    <row r="280" s="3" customFormat="1" ht="21" customHeight="1" spans="1:11">
      <c r="A280" s="84" t="s">
        <v>239</v>
      </c>
      <c r="B280" s="56"/>
      <c r="C280" s="56" t="s">
        <v>214</v>
      </c>
      <c r="D280" s="68">
        <v>11.5</v>
      </c>
      <c r="E280" s="121">
        <v>15</v>
      </c>
      <c r="F280" s="121"/>
      <c r="G280" s="121"/>
      <c r="H280" s="121"/>
      <c r="I280" s="121"/>
      <c r="J280" s="68"/>
      <c r="K280" s="56">
        <f t="shared" si="11"/>
        <v>26.5</v>
      </c>
    </row>
    <row r="281" s="3" customFormat="1" ht="21" customHeight="1" spans="1:11">
      <c r="A281" s="68" t="s">
        <v>217</v>
      </c>
      <c r="B281" s="68">
        <v>10.5</v>
      </c>
      <c r="C281" s="68" t="s">
        <v>218</v>
      </c>
      <c r="D281" s="68">
        <v>0</v>
      </c>
      <c r="E281" s="121">
        <v>10</v>
      </c>
      <c r="F281" s="121"/>
      <c r="G281" s="121"/>
      <c r="H281" s="121"/>
      <c r="I281" s="68"/>
      <c r="J281" s="68"/>
      <c r="K281" s="56">
        <f t="shared" si="11"/>
        <v>10</v>
      </c>
    </row>
    <row r="282" s="3" customFormat="1" ht="21" customHeight="1" spans="1:11">
      <c r="A282" s="68"/>
      <c r="B282" s="68"/>
      <c r="C282" s="68" t="s">
        <v>219</v>
      </c>
      <c r="D282" s="68">
        <v>0</v>
      </c>
      <c r="E282" s="121">
        <v>15</v>
      </c>
      <c r="F282" s="121"/>
      <c r="G282" s="121"/>
      <c r="H282" s="121"/>
      <c r="I282" s="68"/>
      <c r="J282" s="68"/>
      <c r="K282" s="56">
        <f t="shared" si="11"/>
        <v>15</v>
      </c>
    </row>
    <row r="283" s="3" customFormat="1" ht="21" customHeight="1" spans="1:11">
      <c r="A283" s="68" t="s">
        <v>220</v>
      </c>
      <c r="B283" s="68">
        <v>11.5</v>
      </c>
      <c r="C283" s="117" t="s">
        <v>221</v>
      </c>
      <c r="D283" s="121">
        <v>19</v>
      </c>
      <c r="E283" s="121">
        <v>0</v>
      </c>
      <c r="F283" s="121"/>
      <c r="G283" s="121"/>
      <c r="H283" s="121"/>
      <c r="I283" s="68"/>
      <c r="J283" s="68"/>
      <c r="K283" s="56">
        <f t="shared" si="11"/>
        <v>19</v>
      </c>
    </row>
    <row r="284" s="3" customFormat="1" ht="21" customHeight="1" spans="1:11">
      <c r="A284" s="68"/>
      <c r="B284" s="68"/>
      <c r="C284" s="117" t="s">
        <v>222</v>
      </c>
      <c r="D284" s="121">
        <v>10</v>
      </c>
      <c r="E284" s="121">
        <v>0</v>
      </c>
      <c r="F284" s="121"/>
      <c r="G284" s="121"/>
      <c r="H284" s="121"/>
      <c r="I284" s="68"/>
      <c r="J284" s="68"/>
      <c r="K284" s="56">
        <f t="shared" si="11"/>
        <v>10</v>
      </c>
    </row>
    <row r="285" s="3" customFormat="1" ht="21" customHeight="1" spans="1:11">
      <c r="A285" s="68"/>
      <c r="B285" s="68"/>
      <c r="C285" s="117" t="s">
        <v>223</v>
      </c>
      <c r="D285" s="121">
        <v>10</v>
      </c>
      <c r="E285" s="121">
        <v>15</v>
      </c>
      <c r="F285" s="121"/>
      <c r="G285" s="121"/>
      <c r="H285" s="121"/>
      <c r="I285" s="68"/>
      <c r="J285" s="68"/>
      <c r="K285" s="56">
        <f t="shared" si="11"/>
        <v>25</v>
      </c>
    </row>
    <row r="286" s="3" customFormat="1" ht="21" customHeight="1" spans="1:11">
      <c r="A286" s="68"/>
      <c r="B286" s="68"/>
      <c r="C286" s="117" t="s">
        <v>224</v>
      </c>
      <c r="D286" s="68">
        <v>0</v>
      </c>
      <c r="E286" s="121">
        <v>15</v>
      </c>
      <c r="F286" s="121"/>
      <c r="G286" s="121"/>
      <c r="H286" s="121"/>
      <c r="I286" s="68"/>
      <c r="J286" s="68"/>
      <c r="K286" s="56">
        <f t="shared" si="11"/>
        <v>15</v>
      </c>
    </row>
    <row r="287" s="3" customFormat="1" ht="21" customHeight="1" spans="1:11">
      <c r="A287" s="119" t="s">
        <v>225</v>
      </c>
      <c r="B287" s="119">
        <v>10.5</v>
      </c>
      <c r="C287" s="68" t="s">
        <v>226</v>
      </c>
      <c r="D287" s="121">
        <v>11.5</v>
      </c>
      <c r="E287" s="121">
        <v>5</v>
      </c>
      <c r="F287" s="121"/>
      <c r="G287" s="121"/>
      <c r="H287" s="121"/>
      <c r="I287" s="68"/>
      <c r="J287" s="68"/>
      <c r="K287" s="56">
        <f t="shared" si="11"/>
        <v>16.5</v>
      </c>
    </row>
    <row r="288" s="3" customFormat="1" ht="21" customHeight="1" spans="1:11">
      <c r="A288" s="119"/>
      <c r="B288" s="119"/>
      <c r="C288" s="68" t="s">
        <v>228</v>
      </c>
      <c r="D288" s="68">
        <v>0</v>
      </c>
      <c r="E288" s="121">
        <v>15</v>
      </c>
      <c r="F288" s="121"/>
      <c r="G288" s="121"/>
      <c r="H288" s="121"/>
      <c r="I288" s="68"/>
      <c r="J288" s="68"/>
      <c r="K288" s="56">
        <f t="shared" si="11"/>
        <v>15</v>
      </c>
    </row>
    <row r="289" s="3" customFormat="1" ht="21" customHeight="1" spans="1:11">
      <c r="A289" s="119"/>
      <c r="B289" s="119"/>
      <c r="C289" s="68" t="s">
        <v>227</v>
      </c>
      <c r="D289" s="121">
        <v>11.5</v>
      </c>
      <c r="E289" s="121">
        <v>0</v>
      </c>
      <c r="F289" s="121"/>
      <c r="G289" s="121"/>
      <c r="H289" s="121"/>
      <c r="I289" s="68"/>
      <c r="J289" s="68"/>
      <c r="K289" s="56">
        <f t="shared" si="11"/>
        <v>11.5</v>
      </c>
    </row>
    <row r="290" s="3" customFormat="1" ht="21" customHeight="1" spans="1:11">
      <c r="A290" s="119"/>
      <c r="B290" s="119"/>
      <c r="C290" s="68" t="s">
        <v>229</v>
      </c>
      <c r="D290" s="121">
        <v>11.5</v>
      </c>
      <c r="E290" s="121">
        <v>5</v>
      </c>
      <c r="F290" s="121"/>
      <c r="G290" s="121"/>
      <c r="H290" s="121"/>
      <c r="I290" s="68"/>
      <c r="J290" s="141"/>
      <c r="K290" s="56">
        <f t="shared" si="11"/>
        <v>16.5</v>
      </c>
    </row>
    <row r="291" s="3" customFormat="1" ht="21" customHeight="1" spans="1:11">
      <c r="A291" s="119"/>
      <c r="B291" s="119"/>
      <c r="C291" s="68" t="s">
        <v>240</v>
      </c>
      <c r="D291" s="121">
        <v>12</v>
      </c>
      <c r="E291" s="121">
        <v>0</v>
      </c>
      <c r="F291" s="121"/>
      <c r="G291" s="121"/>
      <c r="H291" s="121"/>
      <c r="I291" s="68"/>
      <c r="J291" s="141"/>
      <c r="K291" s="56">
        <f t="shared" si="11"/>
        <v>12</v>
      </c>
    </row>
    <row r="292" s="3" customFormat="1" ht="21" customHeight="1" spans="1:11">
      <c r="A292" s="121" t="s">
        <v>230</v>
      </c>
      <c r="B292" s="121">
        <v>10.5</v>
      </c>
      <c r="C292" s="68" t="s">
        <v>231</v>
      </c>
      <c r="D292" s="68">
        <v>10</v>
      </c>
      <c r="E292" s="121">
        <v>10</v>
      </c>
      <c r="F292" s="68"/>
      <c r="G292" s="68"/>
      <c r="H292" s="68"/>
      <c r="I292" s="68"/>
      <c r="J292" s="141"/>
      <c r="K292" s="56">
        <f t="shared" si="11"/>
        <v>20</v>
      </c>
    </row>
    <row r="293" s="3" customFormat="1" ht="21" customHeight="1" spans="1:11">
      <c r="A293" s="68" t="s">
        <v>232</v>
      </c>
      <c r="B293" s="68">
        <v>12</v>
      </c>
      <c r="C293" s="68" t="s">
        <v>233</v>
      </c>
      <c r="D293" s="68">
        <v>12</v>
      </c>
      <c r="E293" s="68">
        <v>5</v>
      </c>
      <c r="F293" s="68"/>
      <c r="G293" s="68"/>
      <c r="H293" s="68"/>
      <c r="I293" s="68"/>
      <c r="J293" s="141"/>
      <c r="K293" s="56">
        <f t="shared" si="11"/>
        <v>17</v>
      </c>
    </row>
    <row r="294" s="3" customFormat="1" ht="21" customHeight="1" spans="1:11">
      <c r="A294" s="142"/>
      <c r="B294" s="143"/>
      <c r="C294" s="143"/>
      <c r="D294" s="143"/>
      <c r="E294" s="143"/>
      <c r="F294" s="143"/>
      <c r="G294" s="143"/>
      <c r="H294" s="143"/>
      <c r="I294" s="143"/>
      <c r="J294" s="144"/>
      <c r="K294" s="68">
        <f>SUM(K273:K293)</f>
        <v>328.5</v>
      </c>
    </row>
    <row r="296" s="1" customFormat="1" ht="21" customHeight="1" spans="1:11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</row>
    <row r="297" s="1" customFormat="1" ht="21" customHeight="1" spans="1:11">
      <c r="A297" s="32" t="s">
        <v>443</v>
      </c>
      <c r="B297" s="33"/>
      <c r="C297" s="33"/>
      <c r="D297" s="33"/>
      <c r="E297" s="33"/>
      <c r="F297" s="33"/>
      <c r="G297" s="33"/>
      <c r="H297" s="33"/>
      <c r="I297" s="33"/>
      <c r="J297" s="33"/>
      <c r="K297" s="34"/>
    </row>
    <row r="298" s="1" customFormat="1" ht="21" customHeight="1" spans="1:11">
      <c r="A298" s="35" t="s">
        <v>259</v>
      </c>
      <c r="B298" s="36"/>
      <c r="C298" s="36"/>
      <c r="D298" s="37" t="s">
        <v>457</v>
      </c>
      <c r="E298" s="36"/>
      <c r="F298" s="36"/>
      <c r="G298" s="36"/>
      <c r="H298" s="36"/>
      <c r="I298" s="36"/>
      <c r="J298" s="36"/>
      <c r="K298" s="36"/>
    </row>
    <row r="299" s="1" customFormat="1" ht="21" customHeight="1" spans="1:11">
      <c r="A299" s="27" t="s">
        <v>200</v>
      </c>
      <c r="B299" s="27" t="s">
        <v>201</v>
      </c>
      <c r="C299" s="38" t="s">
        <v>202</v>
      </c>
      <c r="D299" s="12" t="s">
        <v>6</v>
      </c>
      <c r="E299" s="12" t="s">
        <v>6</v>
      </c>
      <c r="F299" s="12" t="s">
        <v>6</v>
      </c>
      <c r="G299" s="27" t="s">
        <v>6</v>
      </c>
      <c r="H299" s="27" t="s">
        <v>6</v>
      </c>
      <c r="I299" s="27" t="s">
        <v>6</v>
      </c>
      <c r="J299" s="27" t="s">
        <v>203</v>
      </c>
      <c r="K299" s="27" t="s">
        <v>204</v>
      </c>
    </row>
    <row r="300" s="1" customFormat="1" ht="21" customHeight="1" spans="1:11">
      <c r="A300" s="27" t="s">
        <v>205</v>
      </c>
      <c r="B300" s="27">
        <v>12</v>
      </c>
      <c r="C300" s="38" t="s">
        <v>206</v>
      </c>
      <c r="D300" s="12">
        <v>12</v>
      </c>
      <c r="E300" s="148">
        <v>10</v>
      </c>
      <c r="F300" s="149"/>
      <c r="G300" s="90"/>
      <c r="H300" s="12"/>
      <c r="I300" s="27"/>
      <c r="J300" s="27"/>
      <c r="K300" s="13">
        <f>SUM(D300:J300)</f>
        <v>22</v>
      </c>
    </row>
    <row r="301" s="1" customFormat="1" ht="21" customHeight="1" spans="1:11">
      <c r="A301" s="21" t="s">
        <v>207</v>
      </c>
      <c r="B301" s="27">
        <v>11.5</v>
      </c>
      <c r="C301" s="38" t="s">
        <v>208</v>
      </c>
      <c r="D301" s="12">
        <v>23</v>
      </c>
      <c r="E301" s="148">
        <v>20</v>
      </c>
      <c r="F301" s="149"/>
      <c r="G301" s="90"/>
      <c r="H301" s="12"/>
      <c r="I301" s="27"/>
      <c r="J301" s="27"/>
      <c r="K301" s="13">
        <f>SUM(D301:J301)</f>
        <v>43</v>
      </c>
    </row>
    <row r="302" s="1" customFormat="1" ht="21" customHeight="1" spans="1:11">
      <c r="A302" s="21"/>
      <c r="B302" s="27"/>
      <c r="C302" s="38" t="s">
        <v>210</v>
      </c>
      <c r="D302" s="12">
        <v>11.5</v>
      </c>
      <c r="E302" s="148">
        <v>10</v>
      </c>
      <c r="F302" s="149"/>
      <c r="G302" s="90"/>
      <c r="H302" s="12"/>
      <c r="I302" s="27"/>
      <c r="J302" s="27"/>
      <c r="K302" s="13">
        <f t="shared" ref="K302:K320" si="12">SUM(D302:J302)</f>
        <v>21.5</v>
      </c>
    </row>
    <row r="303" s="1" customFormat="1" ht="21" customHeight="1" spans="1:11">
      <c r="A303" s="16" t="s">
        <v>237</v>
      </c>
      <c r="B303" s="13">
        <v>11.5</v>
      </c>
      <c r="C303" s="17" t="s">
        <v>212</v>
      </c>
      <c r="D303" s="27">
        <v>10</v>
      </c>
      <c r="E303" s="27">
        <v>5</v>
      </c>
      <c r="F303" s="39"/>
      <c r="G303" s="12"/>
      <c r="H303" s="12"/>
      <c r="I303" s="27"/>
      <c r="J303" s="27"/>
      <c r="K303" s="13">
        <f t="shared" si="12"/>
        <v>15</v>
      </c>
    </row>
    <row r="304" s="1" customFormat="1" ht="21" customHeight="1" spans="1:11">
      <c r="A304" s="18"/>
      <c r="B304" s="13"/>
      <c r="C304" s="1" t="s">
        <v>215</v>
      </c>
      <c r="D304" s="27">
        <v>0</v>
      </c>
      <c r="E304" s="27">
        <v>0</v>
      </c>
      <c r="F304" s="12"/>
      <c r="G304" s="12"/>
      <c r="H304" s="12"/>
      <c r="I304" s="27"/>
      <c r="J304" s="27"/>
      <c r="K304" s="13">
        <f t="shared" si="12"/>
        <v>0</v>
      </c>
    </row>
    <row r="305" s="1" customFormat="1" ht="21" customHeight="1" spans="1:11">
      <c r="A305" s="19" t="s">
        <v>238</v>
      </c>
      <c r="B305" s="13"/>
      <c r="C305" s="17" t="s">
        <v>213</v>
      </c>
      <c r="D305" s="27">
        <v>0</v>
      </c>
      <c r="E305" s="27">
        <v>0</v>
      </c>
      <c r="F305" s="12"/>
      <c r="G305" s="12"/>
      <c r="H305" s="12"/>
      <c r="I305" s="27"/>
      <c r="J305" s="27"/>
      <c r="K305" s="13">
        <f t="shared" si="12"/>
        <v>0</v>
      </c>
    </row>
    <row r="306" s="1" customFormat="1" ht="21" customHeight="1" spans="1:11">
      <c r="A306" s="20"/>
      <c r="B306" s="13"/>
      <c r="C306" s="17" t="s">
        <v>216</v>
      </c>
      <c r="D306" s="27">
        <v>0</v>
      </c>
      <c r="E306" s="27">
        <v>0</v>
      </c>
      <c r="F306" s="12"/>
      <c r="G306" s="12"/>
      <c r="H306" s="12"/>
      <c r="I306" s="12"/>
      <c r="J306" s="27"/>
      <c r="K306" s="13">
        <f t="shared" si="12"/>
        <v>0</v>
      </c>
    </row>
    <row r="307" s="1" customFormat="1" ht="21" customHeight="1" spans="1:11">
      <c r="A307" s="21" t="s">
        <v>239</v>
      </c>
      <c r="B307" s="13"/>
      <c r="C307" s="13" t="s">
        <v>214</v>
      </c>
      <c r="D307" s="27">
        <v>10</v>
      </c>
      <c r="E307" s="27">
        <v>5</v>
      </c>
      <c r="F307" s="12"/>
      <c r="G307" s="12"/>
      <c r="H307" s="12"/>
      <c r="I307" s="12"/>
      <c r="J307" s="27"/>
      <c r="K307" s="13">
        <f t="shared" si="12"/>
        <v>15</v>
      </c>
    </row>
    <row r="308" s="1" customFormat="1" ht="21" customHeight="1" spans="1:11">
      <c r="A308" s="27" t="s">
        <v>217</v>
      </c>
      <c r="B308" s="27">
        <v>10.5</v>
      </c>
      <c r="C308" s="27" t="s">
        <v>218</v>
      </c>
      <c r="D308" s="27">
        <v>0</v>
      </c>
      <c r="E308" s="27">
        <v>0</v>
      </c>
      <c r="F308" s="12"/>
      <c r="G308" s="12"/>
      <c r="H308" s="12"/>
      <c r="I308" s="27"/>
      <c r="J308" s="27"/>
      <c r="K308" s="13">
        <f t="shared" si="12"/>
        <v>0</v>
      </c>
    </row>
    <row r="309" s="1" customFormat="1" ht="21" customHeight="1" spans="1:11">
      <c r="A309" s="27"/>
      <c r="B309" s="27"/>
      <c r="C309" s="27" t="s">
        <v>219</v>
      </c>
      <c r="D309" s="27">
        <v>0</v>
      </c>
      <c r="E309" s="27">
        <v>0</v>
      </c>
      <c r="F309" s="12"/>
      <c r="G309" s="12"/>
      <c r="H309" s="12"/>
      <c r="I309" s="27"/>
      <c r="J309" s="27"/>
      <c r="K309" s="13">
        <f t="shared" si="12"/>
        <v>0</v>
      </c>
    </row>
    <row r="310" s="1" customFormat="1" ht="21" customHeight="1" spans="1:11">
      <c r="A310" s="27" t="s">
        <v>220</v>
      </c>
      <c r="B310" s="27">
        <v>11.5</v>
      </c>
      <c r="C310" s="38" t="s">
        <v>221</v>
      </c>
      <c r="D310" s="12">
        <v>40</v>
      </c>
      <c r="E310" s="12">
        <v>16.5</v>
      </c>
      <c r="F310" s="12"/>
      <c r="G310" s="12"/>
      <c r="H310" s="12"/>
      <c r="I310" s="27"/>
      <c r="J310" s="27"/>
      <c r="K310" s="13">
        <f t="shared" si="12"/>
        <v>56.5</v>
      </c>
    </row>
    <row r="311" s="1" customFormat="1" ht="21" customHeight="1" spans="1:11">
      <c r="A311" s="27"/>
      <c r="B311" s="27"/>
      <c r="C311" s="38" t="s">
        <v>222</v>
      </c>
      <c r="D311" s="148">
        <v>14</v>
      </c>
      <c r="E311" s="150">
        <v>12.5</v>
      </c>
      <c r="F311" s="90"/>
      <c r="G311" s="12"/>
      <c r="H311" s="12"/>
      <c r="I311" s="27"/>
      <c r="J311" s="27"/>
      <c r="K311" s="13">
        <f t="shared" si="12"/>
        <v>26.5</v>
      </c>
    </row>
    <row r="312" s="1" customFormat="1" ht="21" customHeight="1" spans="1:11">
      <c r="A312" s="27"/>
      <c r="B312" s="27"/>
      <c r="C312" s="38" t="s">
        <v>223</v>
      </c>
      <c r="D312" s="148">
        <v>0</v>
      </c>
      <c r="E312" s="149">
        <v>0</v>
      </c>
      <c r="F312" s="90"/>
      <c r="G312" s="12"/>
      <c r="H312" s="12"/>
      <c r="I312" s="27"/>
      <c r="J312" s="27"/>
      <c r="K312" s="13">
        <f t="shared" si="12"/>
        <v>0</v>
      </c>
    </row>
    <row r="313" s="1" customFormat="1" ht="21" customHeight="1" spans="1:11">
      <c r="A313" s="27"/>
      <c r="B313" s="27"/>
      <c r="C313" s="38" t="s">
        <v>224</v>
      </c>
      <c r="D313" s="12">
        <v>20</v>
      </c>
      <c r="E313" s="39">
        <v>0</v>
      </c>
      <c r="F313" s="12"/>
      <c r="G313" s="12"/>
      <c r="H313" s="12"/>
      <c r="I313" s="27"/>
      <c r="J313" s="27"/>
      <c r="K313" s="13">
        <f t="shared" si="12"/>
        <v>20</v>
      </c>
    </row>
    <row r="314" s="1" customFormat="1" ht="21" customHeight="1" spans="1:11">
      <c r="A314" s="39" t="s">
        <v>225</v>
      </c>
      <c r="B314" s="39">
        <v>10.5</v>
      </c>
      <c r="C314" s="27" t="s">
        <v>226</v>
      </c>
      <c r="D314" s="27">
        <v>20</v>
      </c>
      <c r="E314" s="27">
        <v>10</v>
      </c>
      <c r="F314" s="12"/>
      <c r="G314" s="12"/>
      <c r="H314" s="12"/>
      <c r="I314" s="27"/>
      <c r="J314" s="27"/>
      <c r="K314" s="13">
        <f t="shared" si="12"/>
        <v>30</v>
      </c>
    </row>
    <row r="315" s="1" customFormat="1" ht="21" customHeight="1" spans="1:11">
      <c r="A315" s="39"/>
      <c r="B315" s="39"/>
      <c r="C315" s="27" t="s">
        <v>228</v>
      </c>
      <c r="D315" s="27">
        <v>20</v>
      </c>
      <c r="E315" s="27">
        <v>10</v>
      </c>
      <c r="F315" s="12"/>
      <c r="G315" s="12"/>
      <c r="H315" s="12"/>
      <c r="I315" s="27"/>
      <c r="J315" s="27"/>
      <c r="K315" s="13">
        <f t="shared" si="12"/>
        <v>30</v>
      </c>
    </row>
    <row r="316" s="1" customFormat="1" ht="21" customHeight="1" spans="1:11">
      <c r="A316" s="39"/>
      <c r="B316" s="39"/>
      <c r="C316" s="27" t="s">
        <v>227</v>
      </c>
      <c r="D316" s="27">
        <v>20</v>
      </c>
      <c r="E316" s="27">
        <v>0</v>
      </c>
      <c r="F316" s="12"/>
      <c r="G316" s="12"/>
      <c r="H316" s="12"/>
      <c r="I316" s="27"/>
      <c r="J316" s="27"/>
      <c r="K316" s="13">
        <f t="shared" si="12"/>
        <v>20</v>
      </c>
    </row>
    <row r="317" s="1" customFormat="1" ht="21" customHeight="1" spans="1:11">
      <c r="A317" s="39"/>
      <c r="B317" s="39"/>
      <c r="C317" s="27" t="s">
        <v>229</v>
      </c>
      <c r="D317" s="27">
        <v>20</v>
      </c>
      <c r="E317" s="27">
        <v>10</v>
      </c>
      <c r="F317" s="12"/>
      <c r="G317" s="12"/>
      <c r="H317" s="12"/>
      <c r="I317" s="27"/>
      <c r="J317" s="40"/>
      <c r="K317" s="13">
        <f t="shared" si="12"/>
        <v>30</v>
      </c>
    </row>
    <row r="318" s="1" customFormat="1" ht="21" customHeight="1" spans="1:11">
      <c r="A318" s="39"/>
      <c r="B318" s="39"/>
      <c r="C318" s="27" t="s">
        <v>240</v>
      </c>
      <c r="D318" s="27">
        <v>20</v>
      </c>
      <c r="E318" s="27">
        <v>0</v>
      </c>
      <c r="F318" s="12"/>
      <c r="G318" s="12"/>
      <c r="H318" s="12"/>
      <c r="I318" s="27"/>
      <c r="J318" s="40"/>
      <c r="K318" s="13">
        <f t="shared" si="12"/>
        <v>20</v>
      </c>
    </row>
    <row r="319" s="1" customFormat="1" ht="21" customHeight="1" spans="1:11">
      <c r="A319" s="12" t="s">
        <v>230</v>
      </c>
      <c r="B319" s="12">
        <v>10.5</v>
      </c>
      <c r="C319" s="27" t="s">
        <v>231</v>
      </c>
      <c r="D319" s="27">
        <v>10</v>
      </c>
      <c r="E319" s="27">
        <v>10</v>
      </c>
      <c r="F319" s="12"/>
      <c r="G319" s="27"/>
      <c r="H319" s="27"/>
      <c r="I319" s="27"/>
      <c r="J319" s="40"/>
      <c r="K319" s="13">
        <f t="shared" si="12"/>
        <v>20</v>
      </c>
    </row>
    <row r="320" s="1" customFormat="1" ht="21" customHeight="1" spans="1:11">
      <c r="A320" s="27" t="s">
        <v>232</v>
      </c>
      <c r="B320" s="27">
        <v>12</v>
      </c>
      <c r="C320" s="27" t="s">
        <v>233</v>
      </c>
      <c r="D320" s="27">
        <v>12</v>
      </c>
      <c r="E320" s="27">
        <v>12</v>
      </c>
      <c r="F320" s="27"/>
      <c r="G320" s="27"/>
      <c r="H320" s="27"/>
      <c r="I320" s="27"/>
      <c r="J320" s="40"/>
      <c r="K320" s="13">
        <f t="shared" si="12"/>
        <v>24</v>
      </c>
    </row>
    <row r="321" s="1" customFormat="1" ht="21" customHeight="1" spans="1:11">
      <c r="A321" s="151"/>
      <c r="B321" s="151"/>
      <c r="C321" s="151"/>
      <c r="D321" s="151"/>
      <c r="E321" s="151"/>
      <c r="F321" s="152"/>
      <c r="G321" s="151"/>
      <c r="H321" s="151"/>
      <c r="I321" s="151"/>
      <c r="J321" s="151"/>
      <c r="K321" s="9">
        <f>SUM(K300:K320)</f>
        <v>393.5</v>
      </c>
    </row>
    <row r="322" s="104" customFormat="1"/>
    <row r="323" s="104" customFormat="1"/>
    <row r="324" s="3" customFormat="1" ht="21" customHeight="1" spans="1:11">
      <c r="A324" s="133" t="s">
        <v>445</v>
      </c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</row>
    <row r="325" s="3" customFormat="1" ht="21" customHeight="1" spans="1:11">
      <c r="A325" s="134" t="s">
        <v>259</v>
      </c>
      <c r="B325" s="134"/>
      <c r="C325" s="134"/>
      <c r="D325" s="134" t="s">
        <v>458</v>
      </c>
      <c r="E325" s="134"/>
      <c r="F325" s="134"/>
      <c r="G325" s="134"/>
      <c r="H325" s="134"/>
      <c r="I325" s="134"/>
      <c r="J325" s="134"/>
      <c r="K325" s="134"/>
    </row>
    <row r="326" s="3" customFormat="1" ht="21" customHeight="1" spans="1:11">
      <c r="A326" s="135" t="s">
        <v>200</v>
      </c>
      <c r="B326" s="135" t="s">
        <v>201</v>
      </c>
      <c r="C326" s="136" t="s">
        <v>202</v>
      </c>
      <c r="D326" s="137" t="s">
        <v>6</v>
      </c>
      <c r="E326" s="137" t="s">
        <v>6</v>
      </c>
      <c r="F326" s="135" t="s">
        <v>6</v>
      </c>
      <c r="G326" s="135" t="s">
        <v>6</v>
      </c>
      <c r="H326" s="135" t="s">
        <v>6</v>
      </c>
      <c r="I326" s="135" t="s">
        <v>6</v>
      </c>
      <c r="J326" s="135" t="s">
        <v>203</v>
      </c>
      <c r="K326" s="135" t="s">
        <v>204</v>
      </c>
    </row>
    <row r="327" s="3" customFormat="1" ht="21" customHeight="1" spans="1:11">
      <c r="A327" s="68" t="s">
        <v>205</v>
      </c>
      <c r="B327" s="68">
        <v>12</v>
      </c>
      <c r="C327" s="113" t="s">
        <v>206</v>
      </c>
      <c r="D327" s="121">
        <v>0</v>
      </c>
      <c r="E327" s="121">
        <v>0</v>
      </c>
      <c r="F327" s="121"/>
      <c r="G327" s="121"/>
      <c r="H327" s="121"/>
      <c r="I327" s="68"/>
      <c r="J327" s="68"/>
      <c r="K327" s="56">
        <f>SUM(D327:J327)</f>
        <v>0</v>
      </c>
    </row>
    <row r="328" s="3" customFormat="1" ht="21" customHeight="1" spans="1:11">
      <c r="A328" s="116" t="s">
        <v>207</v>
      </c>
      <c r="B328" s="68">
        <v>11.5</v>
      </c>
      <c r="C328" s="117" t="s">
        <v>208</v>
      </c>
      <c r="D328" s="121">
        <v>0</v>
      </c>
      <c r="E328" s="121">
        <v>0</v>
      </c>
      <c r="F328" s="121"/>
      <c r="G328" s="121"/>
      <c r="H328" s="121"/>
      <c r="I328" s="68"/>
      <c r="J328" s="68"/>
      <c r="K328" s="56">
        <f>SUM(D328:J328)</f>
        <v>0</v>
      </c>
    </row>
    <row r="329" s="3" customFormat="1" ht="21" customHeight="1" spans="1:11">
      <c r="A329" s="116"/>
      <c r="B329" s="68"/>
      <c r="C329" s="117" t="s">
        <v>210</v>
      </c>
      <c r="D329" s="121">
        <v>0</v>
      </c>
      <c r="E329" s="121">
        <v>0</v>
      </c>
      <c r="F329" s="121"/>
      <c r="G329" s="121"/>
      <c r="H329" s="121"/>
      <c r="I329" s="68"/>
      <c r="J329" s="68"/>
      <c r="K329" s="56">
        <f t="shared" ref="K329:K347" si="13">SUM(D329:J329)</f>
        <v>0</v>
      </c>
    </row>
    <row r="330" s="3" customFormat="1" ht="21" customHeight="1" spans="1:11">
      <c r="A330" s="79" t="s">
        <v>237</v>
      </c>
      <c r="B330" s="56">
        <v>11.5</v>
      </c>
      <c r="C330" s="61" t="s">
        <v>212</v>
      </c>
      <c r="D330" s="121">
        <v>0</v>
      </c>
      <c r="E330" s="121">
        <v>0</v>
      </c>
      <c r="F330" s="121"/>
      <c r="G330" s="121"/>
      <c r="H330" s="121"/>
      <c r="I330" s="68"/>
      <c r="J330" s="68"/>
      <c r="K330" s="56">
        <f t="shared" si="13"/>
        <v>0</v>
      </c>
    </row>
    <row r="331" s="3" customFormat="1" ht="21" customHeight="1" spans="1:11">
      <c r="A331" s="80"/>
      <c r="B331" s="56"/>
      <c r="C331" s="3" t="s">
        <v>215</v>
      </c>
      <c r="D331" s="138">
        <v>0</v>
      </c>
      <c r="E331" s="139">
        <v>5</v>
      </c>
      <c r="F331" s="121"/>
      <c r="G331" s="121"/>
      <c r="H331" s="121"/>
      <c r="I331" s="68"/>
      <c r="J331" s="68"/>
      <c r="K331" s="56">
        <f t="shared" si="13"/>
        <v>5</v>
      </c>
    </row>
    <row r="332" s="3" customFormat="1" ht="21" customHeight="1" spans="1:11">
      <c r="A332" s="81" t="s">
        <v>238</v>
      </c>
      <c r="B332" s="56"/>
      <c r="C332" s="61" t="s">
        <v>213</v>
      </c>
      <c r="D332" s="140">
        <v>0</v>
      </c>
      <c r="E332" s="121">
        <v>0</v>
      </c>
      <c r="F332" s="121"/>
      <c r="G332" s="121"/>
      <c r="H332" s="121"/>
      <c r="I332" s="68"/>
      <c r="J332" s="68"/>
      <c r="K332" s="56">
        <f t="shared" si="13"/>
        <v>0</v>
      </c>
    </row>
    <row r="333" s="3" customFormat="1" ht="21" customHeight="1" spans="1:11">
      <c r="A333" s="82"/>
      <c r="B333" s="56"/>
      <c r="C333" s="61" t="s">
        <v>216</v>
      </c>
      <c r="D333" s="68">
        <v>0</v>
      </c>
      <c r="E333" s="121">
        <v>0</v>
      </c>
      <c r="F333" s="121"/>
      <c r="G333" s="121"/>
      <c r="H333" s="121"/>
      <c r="I333" s="121"/>
      <c r="J333" s="68"/>
      <c r="K333" s="56">
        <f t="shared" si="13"/>
        <v>0</v>
      </c>
    </row>
    <row r="334" s="3" customFormat="1" ht="21" customHeight="1" spans="1:11">
      <c r="A334" s="84" t="s">
        <v>239</v>
      </c>
      <c r="B334" s="56"/>
      <c r="C334" s="56" t="s">
        <v>214</v>
      </c>
      <c r="D334" s="68">
        <v>0</v>
      </c>
      <c r="E334" s="121">
        <v>10</v>
      </c>
      <c r="F334" s="121"/>
      <c r="G334" s="121"/>
      <c r="H334" s="121"/>
      <c r="I334" s="121"/>
      <c r="J334" s="68"/>
      <c r="K334" s="56">
        <f t="shared" si="13"/>
        <v>10</v>
      </c>
    </row>
    <row r="335" s="3" customFormat="1" ht="21" customHeight="1" spans="1:11">
      <c r="A335" s="68" t="s">
        <v>217</v>
      </c>
      <c r="B335" s="68">
        <v>10.5</v>
      </c>
      <c r="C335" s="68" t="s">
        <v>218</v>
      </c>
      <c r="D335" s="68">
        <v>0</v>
      </c>
      <c r="E335" s="121">
        <v>0</v>
      </c>
      <c r="F335" s="121"/>
      <c r="G335" s="121"/>
      <c r="H335" s="121"/>
      <c r="I335" s="68"/>
      <c r="J335" s="68"/>
      <c r="K335" s="56">
        <f t="shared" si="13"/>
        <v>0</v>
      </c>
    </row>
    <row r="336" s="3" customFormat="1" ht="21" customHeight="1" spans="1:11">
      <c r="A336" s="68"/>
      <c r="B336" s="68"/>
      <c r="C336" s="68" t="s">
        <v>219</v>
      </c>
      <c r="D336" s="68">
        <v>0</v>
      </c>
      <c r="E336" s="121">
        <v>5</v>
      </c>
      <c r="F336" s="121"/>
      <c r="G336" s="121"/>
      <c r="H336" s="121"/>
      <c r="I336" s="68"/>
      <c r="J336" s="68"/>
      <c r="K336" s="56">
        <f t="shared" si="13"/>
        <v>5</v>
      </c>
    </row>
    <row r="337" s="3" customFormat="1" ht="21" customHeight="1" spans="1:11">
      <c r="A337" s="68" t="s">
        <v>220</v>
      </c>
      <c r="B337" s="68">
        <v>11.5</v>
      </c>
      <c r="C337" s="117" t="s">
        <v>221</v>
      </c>
      <c r="D337" s="121">
        <v>5</v>
      </c>
      <c r="E337" s="121">
        <v>0</v>
      </c>
      <c r="F337" s="121"/>
      <c r="G337" s="121"/>
      <c r="H337" s="121"/>
      <c r="I337" s="68"/>
      <c r="J337" s="68"/>
      <c r="K337" s="56">
        <f t="shared" si="13"/>
        <v>5</v>
      </c>
    </row>
    <row r="338" s="3" customFormat="1" ht="21" customHeight="1" spans="1:11">
      <c r="A338" s="68"/>
      <c r="B338" s="68"/>
      <c r="C338" s="117" t="s">
        <v>222</v>
      </c>
      <c r="D338" s="121">
        <v>5</v>
      </c>
      <c r="E338" s="121">
        <v>0</v>
      </c>
      <c r="F338" s="121"/>
      <c r="G338" s="121"/>
      <c r="H338" s="121"/>
      <c r="I338" s="68"/>
      <c r="J338" s="68"/>
      <c r="K338" s="56">
        <f t="shared" si="13"/>
        <v>5</v>
      </c>
    </row>
    <row r="339" s="3" customFormat="1" ht="21" customHeight="1" spans="1:11">
      <c r="A339" s="68"/>
      <c r="B339" s="68"/>
      <c r="C339" s="117" t="s">
        <v>223</v>
      </c>
      <c r="D339" s="121">
        <v>5</v>
      </c>
      <c r="E339" s="121">
        <v>5</v>
      </c>
      <c r="F339" s="121"/>
      <c r="G339" s="121"/>
      <c r="H339" s="121"/>
      <c r="I339" s="68"/>
      <c r="J339" s="68"/>
      <c r="K339" s="56">
        <f t="shared" si="13"/>
        <v>10</v>
      </c>
    </row>
    <row r="340" s="3" customFormat="1" ht="21" customHeight="1" spans="1:11">
      <c r="A340" s="68"/>
      <c r="B340" s="68"/>
      <c r="C340" s="117" t="s">
        <v>224</v>
      </c>
      <c r="D340" s="68">
        <v>0</v>
      </c>
      <c r="E340" s="121">
        <v>5</v>
      </c>
      <c r="F340" s="121"/>
      <c r="G340" s="121"/>
      <c r="H340" s="121"/>
      <c r="I340" s="68"/>
      <c r="J340" s="68"/>
      <c r="K340" s="56">
        <f t="shared" si="13"/>
        <v>5</v>
      </c>
    </row>
    <row r="341" s="3" customFormat="1" ht="21" customHeight="1" spans="1:11">
      <c r="A341" s="119" t="s">
        <v>225</v>
      </c>
      <c r="B341" s="119">
        <v>10.5</v>
      </c>
      <c r="C341" s="68" t="s">
        <v>226</v>
      </c>
      <c r="D341" s="121">
        <v>10</v>
      </c>
      <c r="E341" s="121">
        <v>5</v>
      </c>
      <c r="F341" s="121"/>
      <c r="G341" s="121"/>
      <c r="H341" s="121"/>
      <c r="I341" s="68"/>
      <c r="J341" s="68"/>
      <c r="K341" s="56">
        <f t="shared" si="13"/>
        <v>15</v>
      </c>
    </row>
    <row r="342" s="3" customFormat="1" ht="21" customHeight="1" spans="1:11">
      <c r="A342" s="119"/>
      <c r="B342" s="119"/>
      <c r="C342" s="68" t="s">
        <v>228</v>
      </c>
      <c r="D342" s="68">
        <v>0</v>
      </c>
      <c r="E342" s="121">
        <v>5</v>
      </c>
      <c r="F342" s="121"/>
      <c r="G342" s="121"/>
      <c r="H342" s="121"/>
      <c r="I342" s="68"/>
      <c r="J342" s="68"/>
      <c r="K342" s="56">
        <f t="shared" si="13"/>
        <v>5</v>
      </c>
    </row>
    <row r="343" s="3" customFormat="1" ht="21" customHeight="1" spans="1:11">
      <c r="A343" s="119"/>
      <c r="B343" s="119"/>
      <c r="C343" s="68" t="s">
        <v>227</v>
      </c>
      <c r="D343" s="121">
        <v>7</v>
      </c>
      <c r="E343" s="121">
        <v>0</v>
      </c>
      <c r="F343" s="121"/>
      <c r="G343" s="121"/>
      <c r="H343" s="121"/>
      <c r="I343" s="68"/>
      <c r="J343" s="68"/>
      <c r="K343" s="56">
        <f t="shared" si="13"/>
        <v>7</v>
      </c>
    </row>
    <row r="344" s="3" customFormat="1" ht="21" customHeight="1" spans="1:11">
      <c r="A344" s="119"/>
      <c r="B344" s="119"/>
      <c r="C344" s="68" t="s">
        <v>229</v>
      </c>
      <c r="D344" s="121">
        <v>5</v>
      </c>
      <c r="E344" s="121">
        <v>0</v>
      </c>
      <c r="F344" s="121"/>
      <c r="G344" s="121"/>
      <c r="H344" s="121"/>
      <c r="I344" s="68"/>
      <c r="J344" s="141"/>
      <c r="K344" s="56">
        <f t="shared" si="13"/>
        <v>5</v>
      </c>
    </row>
    <row r="345" s="3" customFormat="1" ht="21" customHeight="1" spans="1:11">
      <c r="A345" s="119"/>
      <c r="B345" s="119"/>
      <c r="C345" s="68" t="s">
        <v>240</v>
      </c>
      <c r="D345" s="121">
        <v>5</v>
      </c>
      <c r="E345" s="121">
        <v>0</v>
      </c>
      <c r="F345" s="121"/>
      <c r="G345" s="121"/>
      <c r="H345" s="121"/>
      <c r="I345" s="68"/>
      <c r="J345" s="141"/>
      <c r="K345" s="56">
        <f t="shared" si="13"/>
        <v>5</v>
      </c>
    </row>
    <row r="346" s="3" customFormat="1" ht="21" customHeight="1" spans="1:11">
      <c r="A346" s="121" t="s">
        <v>230</v>
      </c>
      <c r="B346" s="121">
        <v>10.5</v>
      </c>
      <c r="C346" s="68" t="s">
        <v>231</v>
      </c>
      <c r="D346" s="68">
        <v>10.5</v>
      </c>
      <c r="E346" s="121">
        <v>0</v>
      </c>
      <c r="F346" s="68"/>
      <c r="G346" s="68"/>
      <c r="H346" s="68"/>
      <c r="I346" s="68"/>
      <c r="J346" s="141"/>
      <c r="K346" s="56">
        <f t="shared" si="13"/>
        <v>10.5</v>
      </c>
    </row>
    <row r="347" s="3" customFormat="1" ht="21" customHeight="1" spans="1:11">
      <c r="A347" s="68" t="s">
        <v>232</v>
      </c>
      <c r="B347" s="68">
        <v>12</v>
      </c>
      <c r="C347" s="68" t="s">
        <v>233</v>
      </c>
      <c r="D347" s="68">
        <v>12</v>
      </c>
      <c r="E347" s="68">
        <v>0</v>
      </c>
      <c r="F347" s="68"/>
      <c r="G347" s="68"/>
      <c r="H347" s="68"/>
      <c r="I347" s="68"/>
      <c r="J347" s="141"/>
      <c r="K347" s="56">
        <f t="shared" si="13"/>
        <v>12</v>
      </c>
    </row>
    <row r="348" s="3" customFormat="1" ht="21" customHeight="1" spans="1:11">
      <c r="A348" s="142"/>
      <c r="B348" s="143"/>
      <c r="C348" s="143"/>
      <c r="D348" s="143"/>
      <c r="E348" s="143"/>
      <c r="F348" s="143"/>
      <c r="G348" s="143"/>
      <c r="H348" s="143"/>
      <c r="I348" s="143"/>
      <c r="J348" s="144"/>
      <c r="K348" s="68">
        <f>SUM(K327:K347)</f>
        <v>104.5</v>
      </c>
    </row>
    <row r="349" s="104" customFormat="1"/>
    <row r="350" s="104" customFormat="1"/>
    <row r="351" s="2" customFormat="1" ht="21.75" customHeight="1" spans="1:11">
      <c r="A351" s="88" t="s">
        <v>445</v>
      </c>
      <c r="B351" s="88"/>
      <c r="C351" s="88"/>
      <c r="D351" s="88"/>
      <c r="E351" s="88"/>
      <c r="F351" s="88"/>
      <c r="G351" s="88"/>
      <c r="H351" s="88"/>
      <c r="I351" s="88"/>
      <c r="J351" s="88"/>
      <c r="K351" s="88"/>
    </row>
    <row r="352" s="2" customFormat="1" ht="21.75" customHeight="1" spans="1:11">
      <c r="A352" s="91" t="s">
        <v>251</v>
      </c>
      <c r="B352" s="91"/>
      <c r="C352" s="91"/>
      <c r="D352" s="92" t="s">
        <v>459</v>
      </c>
      <c r="E352" s="91"/>
      <c r="F352" s="91"/>
      <c r="G352" s="91"/>
      <c r="H352" s="91"/>
      <c r="I352" s="91"/>
      <c r="J352" s="91"/>
      <c r="K352" s="91"/>
    </row>
    <row r="353" s="2" customFormat="1" ht="21.75" customHeight="1" spans="1:11">
      <c r="A353" s="93" t="s">
        <v>200</v>
      </c>
      <c r="B353" s="93" t="s">
        <v>201</v>
      </c>
      <c r="C353" s="94" t="s">
        <v>202</v>
      </c>
      <c r="D353" s="95" t="s">
        <v>6</v>
      </c>
      <c r="E353" s="95" t="s">
        <v>6</v>
      </c>
      <c r="F353" s="93" t="s">
        <v>6</v>
      </c>
      <c r="G353" s="93" t="s">
        <v>6</v>
      </c>
      <c r="H353" s="93" t="s">
        <v>6</v>
      </c>
      <c r="I353" s="93" t="s">
        <v>6</v>
      </c>
      <c r="J353" s="93" t="s">
        <v>203</v>
      </c>
      <c r="K353" s="93" t="s">
        <v>204</v>
      </c>
    </row>
    <row r="354" s="2" customFormat="1" ht="21.75" customHeight="1" spans="1:11">
      <c r="A354" s="13" t="s">
        <v>205</v>
      </c>
      <c r="B354" s="13">
        <v>12</v>
      </c>
      <c r="C354" s="38" t="s">
        <v>206</v>
      </c>
      <c r="D354" s="28">
        <v>30</v>
      </c>
      <c r="E354" s="28">
        <v>30</v>
      </c>
      <c r="F354" s="28">
        <v>30</v>
      </c>
      <c r="G354" s="28">
        <v>30</v>
      </c>
      <c r="H354" s="13">
        <v>10</v>
      </c>
      <c r="I354" s="153"/>
      <c r="J354" s="98"/>
      <c r="K354" s="13">
        <f t="shared" ref="K354:K374" si="14">SUM(D354:J354)</f>
        <v>130</v>
      </c>
    </row>
    <row r="355" s="2" customFormat="1" ht="21.75" customHeight="1" spans="1:11">
      <c r="A355" s="96" t="s">
        <v>207</v>
      </c>
      <c r="B355" s="13">
        <v>11.5</v>
      </c>
      <c r="C355" s="17" t="s">
        <v>208</v>
      </c>
      <c r="D355" s="154">
        <v>43</v>
      </c>
      <c r="E355" s="154">
        <v>43</v>
      </c>
      <c r="F355" s="154">
        <v>43</v>
      </c>
      <c r="G355" s="154">
        <v>43</v>
      </c>
      <c r="H355" s="13">
        <v>0</v>
      </c>
      <c r="I355" s="153"/>
      <c r="J355" s="98"/>
      <c r="K355" s="13">
        <f t="shared" si="14"/>
        <v>172</v>
      </c>
    </row>
    <row r="356" s="2" customFormat="1" ht="21.75" customHeight="1" spans="1:11">
      <c r="A356" s="96"/>
      <c r="B356" s="13"/>
      <c r="C356" s="17" t="s">
        <v>210</v>
      </c>
      <c r="D356" s="154">
        <v>43</v>
      </c>
      <c r="E356" s="154">
        <v>43</v>
      </c>
      <c r="F356" s="154">
        <v>43</v>
      </c>
      <c r="G356" s="154">
        <v>43</v>
      </c>
      <c r="H356" s="13">
        <v>10</v>
      </c>
      <c r="I356" s="153"/>
      <c r="J356" s="98"/>
      <c r="K356" s="13">
        <f t="shared" si="14"/>
        <v>182</v>
      </c>
    </row>
    <row r="357" s="2" customFormat="1" ht="21.75" customHeight="1" spans="1:11">
      <c r="A357" s="19" t="s">
        <v>211</v>
      </c>
      <c r="B357" s="28">
        <v>11.5</v>
      </c>
      <c r="C357" s="17" t="s">
        <v>212</v>
      </c>
      <c r="D357" s="154">
        <v>28.6</v>
      </c>
      <c r="E357" s="154">
        <v>28.6</v>
      </c>
      <c r="F357" s="154">
        <v>28.6</v>
      </c>
      <c r="G357" s="154">
        <v>28.6</v>
      </c>
      <c r="H357" s="13">
        <v>11.5</v>
      </c>
      <c r="I357" s="153"/>
      <c r="J357" s="98"/>
      <c r="K357" s="13">
        <f t="shared" si="14"/>
        <v>125.9</v>
      </c>
    </row>
    <row r="358" s="2" customFormat="1" ht="21.75" customHeight="1" spans="1:11">
      <c r="A358" s="155"/>
      <c r="B358" s="97"/>
      <c r="C358" s="17" t="s">
        <v>213</v>
      </c>
      <c r="D358" s="154">
        <v>28.6</v>
      </c>
      <c r="E358" s="154">
        <v>28.6</v>
      </c>
      <c r="F358" s="154">
        <v>28.6</v>
      </c>
      <c r="G358" s="154">
        <v>28.6</v>
      </c>
      <c r="H358" s="13">
        <v>11.5</v>
      </c>
      <c r="I358" s="153"/>
      <c r="J358" s="98"/>
      <c r="K358" s="13">
        <f t="shared" si="14"/>
        <v>125.9</v>
      </c>
    </row>
    <row r="359" s="2" customFormat="1" ht="21.75" customHeight="1" spans="1:11">
      <c r="A359" s="155"/>
      <c r="B359" s="97"/>
      <c r="C359" s="13" t="s">
        <v>214</v>
      </c>
      <c r="D359" s="156">
        <v>28.6</v>
      </c>
      <c r="E359" s="156">
        <v>28.6</v>
      </c>
      <c r="F359" s="156">
        <v>28.6</v>
      </c>
      <c r="G359" s="156">
        <v>28.6</v>
      </c>
      <c r="H359" s="13">
        <v>11.5</v>
      </c>
      <c r="I359" s="153"/>
      <c r="J359" s="98"/>
      <c r="K359" s="13">
        <f t="shared" si="14"/>
        <v>125.9</v>
      </c>
    </row>
    <row r="360" s="2" customFormat="1" ht="21.75" customHeight="1" spans="1:11">
      <c r="A360" s="155"/>
      <c r="B360" s="97"/>
      <c r="C360" s="17" t="s">
        <v>216</v>
      </c>
      <c r="D360" s="154">
        <v>0</v>
      </c>
      <c r="E360" s="154">
        <v>0</v>
      </c>
      <c r="F360" s="154">
        <v>0</v>
      </c>
      <c r="G360" s="154">
        <v>0</v>
      </c>
      <c r="H360" s="13">
        <v>0</v>
      </c>
      <c r="I360" s="153"/>
      <c r="J360" s="98"/>
      <c r="K360" s="13">
        <f t="shared" si="14"/>
        <v>0</v>
      </c>
    </row>
    <row r="361" s="2" customFormat="1" ht="21.75" customHeight="1" spans="1:11">
      <c r="A361" s="20"/>
      <c r="B361" s="157"/>
      <c r="C361" s="17" t="s">
        <v>215</v>
      </c>
      <c r="D361" s="154">
        <v>28.6</v>
      </c>
      <c r="E361" s="154">
        <v>28.6</v>
      </c>
      <c r="F361" s="154">
        <v>28.6</v>
      </c>
      <c r="G361" s="154">
        <v>28.6</v>
      </c>
      <c r="H361" s="13">
        <v>11.5</v>
      </c>
      <c r="I361" s="153"/>
      <c r="J361" s="98"/>
      <c r="K361" s="13">
        <f t="shared" si="14"/>
        <v>125.9</v>
      </c>
    </row>
    <row r="362" s="2" customFormat="1" ht="21.75" customHeight="1" spans="1:11">
      <c r="A362" s="13" t="s">
        <v>217</v>
      </c>
      <c r="B362" s="13">
        <v>10.5</v>
      </c>
      <c r="C362" s="13" t="s">
        <v>218</v>
      </c>
      <c r="D362" s="154">
        <v>33.4</v>
      </c>
      <c r="E362" s="154">
        <v>33.4</v>
      </c>
      <c r="F362" s="154">
        <v>33.4</v>
      </c>
      <c r="G362" s="154">
        <v>33.4</v>
      </c>
      <c r="H362" s="13">
        <v>10</v>
      </c>
      <c r="I362" s="153"/>
      <c r="J362" s="98"/>
      <c r="K362" s="13">
        <f t="shared" si="14"/>
        <v>143.6</v>
      </c>
    </row>
    <row r="363" s="2" customFormat="1" ht="21.75" customHeight="1" spans="1:11">
      <c r="A363" s="13"/>
      <c r="B363" s="13"/>
      <c r="C363" s="13" t="s">
        <v>219</v>
      </c>
      <c r="D363" s="28">
        <v>33.4</v>
      </c>
      <c r="E363" s="28">
        <v>33.4</v>
      </c>
      <c r="F363" s="28">
        <v>33.4</v>
      </c>
      <c r="G363" s="28">
        <v>33.4</v>
      </c>
      <c r="H363" s="13">
        <v>10</v>
      </c>
      <c r="I363" s="153"/>
      <c r="J363" s="98"/>
      <c r="K363" s="13">
        <f t="shared" si="14"/>
        <v>143.6</v>
      </c>
    </row>
    <row r="364" s="2" customFormat="1" ht="21.75" customHeight="1" spans="1:11">
      <c r="A364" s="13" t="s">
        <v>220</v>
      </c>
      <c r="B364" s="13">
        <v>11.5</v>
      </c>
      <c r="C364" s="17" t="s">
        <v>221</v>
      </c>
      <c r="D364" s="28">
        <v>0</v>
      </c>
      <c r="E364" s="28">
        <v>0</v>
      </c>
      <c r="F364" s="28">
        <v>0</v>
      </c>
      <c r="G364" s="28">
        <v>0</v>
      </c>
      <c r="H364" s="13">
        <v>0</v>
      </c>
      <c r="I364" s="153"/>
      <c r="J364" s="98"/>
      <c r="K364" s="13">
        <f t="shared" si="14"/>
        <v>0</v>
      </c>
    </row>
    <row r="365" s="2" customFormat="1" ht="21.75" customHeight="1" spans="1:11">
      <c r="A365" s="13"/>
      <c r="B365" s="13"/>
      <c r="C365" s="17" t="s">
        <v>222</v>
      </c>
      <c r="D365" s="28">
        <v>33.4</v>
      </c>
      <c r="E365" s="28">
        <v>33.4</v>
      </c>
      <c r="F365" s="28">
        <v>33.4</v>
      </c>
      <c r="G365" s="28">
        <v>33.4</v>
      </c>
      <c r="H365" s="13">
        <v>10</v>
      </c>
      <c r="I365" s="153"/>
      <c r="J365" s="98"/>
      <c r="K365" s="13">
        <f t="shared" si="14"/>
        <v>143.6</v>
      </c>
    </row>
    <row r="366" s="2" customFormat="1" ht="21.75" customHeight="1" spans="1:11">
      <c r="A366" s="13"/>
      <c r="B366" s="13"/>
      <c r="C366" s="17" t="s">
        <v>223</v>
      </c>
      <c r="D366" s="28">
        <v>33.4</v>
      </c>
      <c r="E366" s="28">
        <v>33.4</v>
      </c>
      <c r="F366" s="28">
        <v>33.4</v>
      </c>
      <c r="G366" s="28">
        <v>33.4</v>
      </c>
      <c r="H366" s="13">
        <v>5</v>
      </c>
      <c r="I366" s="153"/>
      <c r="J366" s="98"/>
      <c r="K366" s="13">
        <f t="shared" si="14"/>
        <v>138.6</v>
      </c>
    </row>
    <row r="367" s="2" customFormat="1" ht="21.75" customHeight="1" spans="1:11">
      <c r="A367" s="13"/>
      <c r="B367" s="13"/>
      <c r="C367" s="17" t="s">
        <v>224</v>
      </c>
      <c r="D367" s="28">
        <v>0</v>
      </c>
      <c r="E367" s="28">
        <v>0</v>
      </c>
      <c r="F367" s="28">
        <v>0</v>
      </c>
      <c r="G367" s="28">
        <v>0</v>
      </c>
      <c r="H367" s="13">
        <v>0</v>
      </c>
      <c r="I367" s="153"/>
      <c r="J367" s="98"/>
      <c r="K367" s="13">
        <f t="shared" si="14"/>
        <v>0</v>
      </c>
    </row>
    <row r="368" s="2" customFormat="1" ht="21.75" customHeight="1" spans="1:11">
      <c r="A368" s="85" t="s">
        <v>225</v>
      </c>
      <c r="B368" s="85">
        <v>10.5</v>
      </c>
      <c r="C368" s="13" t="s">
        <v>226</v>
      </c>
      <c r="D368" s="28">
        <v>33.4</v>
      </c>
      <c r="E368" s="28">
        <v>33.4</v>
      </c>
      <c r="F368" s="28">
        <v>33.4</v>
      </c>
      <c r="G368" s="28">
        <v>33.4</v>
      </c>
      <c r="H368" s="28">
        <v>0</v>
      </c>
      <c r="I368" s="153"/>
      <c r="J368" s="98"/>
      <c r="K368" s="13">
        <f t="shared" si="14"/>
        <v>133.6</v>
      </c>
    </row>
    <row r="369" s="2" customFormat="1" ht="21.75" customHeight="1" spans="1:11">
      <c r="A369" s="85"/>
      <c r="B369" s="85"/>
      <c r="C369" s="13" t="s">
        <v>228</v>
      </c>
      <c r="D369" s="28">
        <v>33.4</v>
      </c>
      <c r="E369" s="28">
        <v>33.4</v>
      </c>
      <c r="F369" s="28">
        <v>33.4</v>
      </c>
      <c r="G369" s="28">
        <v>33.4</v>
      </c>
      <c r="H369" s="13">
        <v>10</v>
      </c>
      <c r="I369" s="153"/>
      <c r="J369" s="98"/>
      <c r="K369" s="13">
        <f t="shared" si="14"/>
        <v>143.6</v>
      </c>
    </row>
    <row r="370" s="2" customFormat="1" ht="21.75" customHeight="1" spans="1:11">
      <c r="A370" s="85"/>
      <c r="B370" s="85"/>
      <c r="C370" s="13" t="s">
        <v>227</v>
      </c>
      <c r="D370" s="28">
        <v>0</v>
      </c>
      <c r="E370" s="28">
        <v>0</v>
      </c>
      <c r="F370" s="28">
        <v>0</v>
      </c>
      <c r="G370" s="28">
        <v>0</v>
      </c>
      <c r="H370" s="13">
        <v>5</v>
      </c>
      <c r="I370" s="153"/>
      <c r="J370" s="98"/>
      <c r="K370" s="13">
        <f t="shared" si="14"/>
        <v>5</v>
      </c>
    </row>
    <row r="371" s="2" customFormat="1" ht="21.75" customHeight="1" spans="1:11">
      <c r="A371" s="85"/>
      <c r="B371" s="85"/>
      <c r="C371" s="13" t="s">
        <v>229</v>
      </c>
      <c r="D371" s="28">
        <v>33.4</v>
      </c>
      <c r="E371" s="28">
        <v>33.4</v>
      </c>
      <c r="F371" s="28">
        <v>33.4</v>
      </c>
      <c r="G371" s="28">
        <v>33.4</v>
      </c>
      <c r="H371" s="13">
        <v>5</v>
      </c>
      <c r="I371" s="153"/>
      <c r="J371" s="98"/>
      <c r="K371" s="13">
        <f t="shared" si="14"/>
        <v>138.6</v>
      </c>
    </row>
    <row r="372" s="2" customFormat="1" ht="21.75" customHeight="1" spans="1:11">
      <c r="A372" s="85"/>
      <c r="B372" s="85"/>
      <c r="C372" s="13" t="s">
        <v>240</v>
      </c>
      <c r="D372" s="28">
        <v>33.4</v>
      </c>
      <c r="E372" s="28">
        <v>33.4</v>
      </c>
      <c r="F372" s="28">
        <v>33.4</v>
      </c>
      <c r="G372" s="28">
        <v>33.4</v>
      </c>
      <c r="H372" s="13">
        <v>5</v>
      </c>
      <c r="I372" s="153"/>
      <c r="J372" s="98"/>
      <c r="K372" s="13">
        <f t="shared" si="14"/>
        <v>138.6</v>
      </c>
    </row>
    <row r="373" s="2" customFormat="1" ht="21.75" customHeight="1" spans="1:11">
      <c r="A373" s="28" t="s">
        <v>230</v>
      </c>
      <c r="B373" s="28">
        <v>10.5</v>
      </c>
      <c r="C373" s="13" t="s">
        <v>231</v>
      </c>
      <c r="D373" s="13">
        <v>21</v>
      </c>
      <c r="E373" s="13">
        <v>21</v>
      </c>
      <c r="F373" s="13">
        <v>21</v>
      </c>
      <c r="G373" s="13">
        <v>21</v>
      </c>
      <c r="H373" s="13">
        <v>10</v>
      </c>
      <c r="I373" s="153"/>
      <c r="J373" s="98"/>
      <c r="K373" s="13">
        <f t="shared" si="14"/>
        <v>94</v>
      </c>
    </row>
    <row r="374" s="2" customFormat="1" ht="21.75" customHeight="1" spans="1:11">
      <c r="A374" s="13" t="s">
        <v>232</v>
      </c>
      <c r="B374" s="13">
        <v>12</v>
      </c>
      <c r="C374" s="13" t="s">
        <v>233</v>
      </c>
      <c r="D374" s="13">
        <v>24</v>
      </c>
      <c r="E374" s="13">
        <v>24</v>
      </c>
      <c r="F374" s="13">
        <v>24</v>
      </c>
      <c r="G374" s="13">
        <v>24</v>
      </c>
      <c r="H374" s="13">
        <v>12</v>
      </c>
      <c r="I374" s="153"/>
      <c r="J374" s="98"/>
      <c r="K374" s="13">
        <f t="shared" si="14"/>
        <v>108</v>
      </c>
    </row>
    <row r="375" s="2" customFormat="1" ht="21.75" customHeight="1" spans="1:11">
      <c r="A375" s="17"/>
      <c r="B375" s="29"/>
      <c r="C375" s="29"/>
      <c r="D375" s="29"/>
      <c r="E375" s="29"/>
      <c r="F375" s="29"/>
      <c r="G375" s="29"/>
      <c r="H375" s="29"/>
      <c r="I375" s="29"/>
      <c r="J375" s="29"/>
      <c r="K375" s="13">
        <f>SUM(K354:K374)</f>
        <v>2318.4</v>
      </c>
    </row>
    <row r="378" s="2" customFormat="1" ht="21.75" customHeight="1" spans="1:11">
      <c r="A378" s="88" t="s">
        <v>445</v>
      </c>
      <c r="B378" s="88"/>
      <c r="C378" s="88"/>
      <c r="D378" s="88"/>
      <c r="E378" s="88"/>
      <c r="F378" s="88"/>
      <c r="G378" s="88"/>
      <c r="H378" s="88"/>
      <c r="I378" s="88"/>
      <c r="J378" s="88"/>
      <c r="K378" s="88"/>
    </row>
    <row r="379" s="2" customFormat="1" ht="21.75" customHeight="1" spans="1:11">
      <c r="A379" s="35" t="s">
        <v>320</v>
      </c>
      <c r="B379" s="36"/>
      <c r="C379" s="36"/>
      <c r="D379" s="37" t="s">
        <v>460</v>
      </c>
      <c r="E379" s="36"/>
      <c r="F379" s="36"/>
      <c r="G379" s="36"/>
      <c r="H379" s="36"/>
      <c r="I379" s="36"/>
      <c r="J379" s="36"/>
      <c r="K379" s="36"/>
    </row>
    <row r="380" s="2" customFormat="1" ht="21.75" customHeight="1" spans="1:11">
      <c r="A380" s="27" t="s">
        <v>200</v>
      </c>
      <c r="B380" s="27" t="s">
        <v>201</v>
      </c>
      <c r="C380" s="38" t="s">
        <v>202</v>
      </c>
      <c r="D380" s="12" t="s">
        <v>6</v>
      </c>
      <c r="E380" s="12" t="s">
        <v>6</v>
      </c>
      <c r="F380" s="27" t="s">
        <v>6</v>
      </c>
      <c r="G380" s="27" t="s">
        <v>6</v>
      </c>
      <c r="H380" s="27" t="s">
        <v>6</v>
      </c>
      <c r="I380" s="27" t="s">
        <v>6</v>
      </c>
      <c r="J380" s="27" t="s">
        <v>203</v>
      </c>
      <c r="K380" s="27" t="s">
        <v>204</v>
      </c>
    </row>
    <row r="381" s="2" customFormat="1" ht="21.75" customHeight="1" spans="1:11">
      <c r="A381" s="27" t="s">
        <v>205</v>
      </c>
      <c r="B381" s="27">
        <v>12</v>
      </c>
      <c r="C381" s="38" t="s">
        <v>206</v>
      </c>
      <c r="D381" s="12">
        <v>12</v>
      </c>
      <c r="E381" s="12">
        <v>12</v>
      </c>
      <c r="F381" s="12">
        <v>10</v>
      </c>
      <c r="G381" s="12"/>
      <c r="H381" s="12"/>
      <c r="I381" s="12"/>
      <c r="J381" s="12"/>
      <c r="K381" s="27">
        <f t="shared" ref="K381:K401" si="15">SUM(D381:J381)</f>
        <v>34</v>
      </c>
    </row>
    <row r="382" s="2" customFormat="1" ht="21.75" customHeight="1" spans="1:11">
      <c r="A382" s="43" t="s">
        <v>207</v>
      </c>
      <c r="B382" s="12">
        <v>11.5</v>
      </c>
      <c r="C382" s="38" t="s">
        <v>208</v>
      </c>
      <c r="D382" s="12">
        <v>17.5</v>
      </c>
      <c r="E382" s="12">
        <v>17.5</v>
      </c>
      <c r="F382" s="12">
        <v>15</v>
      </c>
      <c r="G382" s="12"/>
      <c r="H382" s="12"/>
      <c r="I382" s="12"/>
      <c r="J382" s="12"/>
      <c r="K382" s="27">
        <f t="shared" si="15"/>
        <v>50</v>
      </c>
    </row>
    <row r="383" s="2" customFormat="1" ht="21.75" customHeight="1" spans="1:11">
      <c r="A383" s="44"/>
      <c r="B383" s="39"/>
      <c r="C383" s="38" t="s">
        <v>210</v>
      </c>
      <c r="D383" s="12">
        <v>17.5</v>
      </c>
      <c r="E383" s="12">
        <v>17.5</v>
      </c>
      <c r="F383" s="12">
        <v>15</v>
      </c>
      <c r="G383" s="12"/>
      <c r="H383" s="12"/>
      <c r="I383" s="12"/>
      <c r="J383" s="12"/>
      <c r="K383" s="27">
        <f t="shared" si="15"/>
        <v>50</v>
      </c>
    </row>
    <row r="384" s="2" customFormat="1" ht="21.75" customHeight="1" spans="1:11">
      <c r="A384" s="43" t="s">
        <v>211</v>
      </c>
      <c r="B384" s="12">
        <v>11.5</v>
      </c>
      <c r="C384" s="38" t="s">
        <v>212</v>
      </c>
      <c r="D384" s="27">
        <v>11.5</v>
      </c>
      <c r="E384" s="27">
        <v>11.5</v>
      </c>
      <c r="F384" s="27">
        <v>11</v>
      </c>
      <c r="G384" s="27"/>
      <c r="H384" s="27"/>
      <c r="I384" s="27"/>
      <c r="J384" s="27"/>
      <c r="K384" s="27">
        <f t="shared" si="15"/>
        <v>34</v>
      </c>
    </row>
    <row r="385" s="2" customFormat="1" ht="21.75" customHeight="1" spans="1:11">
      <c r="A385" s="44"/>
      <c r="B385" s="39"/>
      <c r="C385" s="38" t="s">
        <v>213</v>
      </c>
      <c r="D385" s="12">
        <v>11.5</v>
      </c>
      <c r="E385" s="12">
        <v>11.5</v>
      </c>
      <c r="F385" s="12">
        <v>11.5</v>
      </c>
      <c r="G385" s="12"/>
      <c r="H385" s="12"/>
      <c r="I385" s="12"/>
      <c r="J385" s="12"/>
      <c r="K385" s="27">
        <f t="shared" si="15"/>
        <v>34.5</v>
      </c>
    </row>
    <row r="386" s="2" customFormat="1" ht="21.75" customHeight="1" spans="1:11">
      <c r="A386" s="44"/>
      <c r="B386" s="39"/>
      <c r="C386" s="27" t="s">
        <v>214</v>
      </c>
      <c r="D386" s="27">
        <v>0</v>
      </c>
      <c r="E386" s="27">
        <v>0</v>
      </c>
      <c r="F386" s="27">
        <v>10</v>
      </c>
      <c r="G386" s="27"/>
      <c r="H386" s="27"/>
      <c r="I386" s="27"/>
      <c r="J386" s="27"/>
      <c r="K386" s="27">
        <f t="shared" si="15"/>
        <v>10</v>
      </c>
    </row>
    <row r="387" s="2" customFormat="1" ht="21.75" customHeight="1" spans="1:11">
      <c r="A387" s="44"/>
      <c r="B387" s="39"/>
      <c r="C387" s="38" t="s">
        <v>216</v>
      </c>
      <c r="D387" s="27">
        <v>0</v>
      </c>
      <c r="E387" s="27">
        <v>0</v>
      </c>
      <c r="F387" s="27">
        <v>0</v>
      </c>
      <c r="G387" s="27"/>
      <c r="H387" s="27"/>
      <c r="I387" s="27"/>
      <c r="J387" s="27"/>
      <c r="K387" s="27">
        <f t="shared" si="15"/>
        <v>0</v>
      </c>
    </row>
    <row r="388" s="2" customFormat="1" ht="21.75" customHeight="1" spans="1:11">
      <c r="A388" s="45"/>
      <c r="B388" s="46"/>
      <c r="C388" s="38" t="s">
        <v>215</v>
      </c>
      <c r="D388" s="12">
        <v>0</v>
      </c>
      <c r="E388" s="12">
        <v>0</v>
      </c>
      <c r="F388" s="12">
        <v>10</v>
      </c>
      <c r="G388" s="12"/>
      <c r="H388" s="12"/>
      <c r="I388" s="12"/>
      <c r="J388" s="12"/>
      <c r="K388" s="27">
        <f t="shared" si="15"/>
        <v>10</v>
      </c>
    </row>
    <row r="389" s="2" customFormat="1" ht="21.75" customHeight="1" spans="1:11">
      <c r="A389" s="27" t="s">
        <v>217</v>
      </c>
      <c r="B389" s="27">
        <v>10.5</v>
      </c>
      <c r="C389" s="27" t="s">
        <v>218</v>
      </c>
      <c r="D389" s="12">
        <v>10.5</v>
      </c>
      <c r="E389" s="12">
        <v>10.5</v>
      </c>
      <c r="F389" s="12">
        <v>15</v>
      </c>
      <c r="G389" s="12"/>
      <c r="H389" s="12"/>
      <c r="I389" s="12"/>
      <c r="J389" s="12"/>
      <c r="K389" s="27">
        <f t="shared" si="15"/>
        <v>36</v>
      </c>
    </row>
    <row r="390" s="2" customFormat="1" ht="21.75" customHeight="1" spans="1:11">
      <c r="A390" s="27"/>
      <c r="B390" s="27"/>
      <c r="C390" s="27" t="s">
        <v>219</v>
      </c>
      <c r="D390" s="27">
        <v>10.5</v>
      </c>
      <c r="E390" s="27">
        <v>10.5</v>
      </c>
      <c r="F390" s="27">
        <v>15</v>
      </c>
      <c r="G390" s="27"/>
      <c r="H390" s="27"/>
      <c r="I390" s="27"/>
      <c r="J390" s="27"/>
      <c r="K390" s="27">
        <f t="shared" si="15"/>
        <v>36</v>
      </c>
    </row>
    <row r="391" s="2" customFormat="1" ht="21.75" customHeight="1" spans="1:11">
      <c r="A391" s="27" t="s">
        <v>220</v>
      </c>
      <c r="B391" s="27">
        <v>11.5</v>
      </c>
      <c r="C391" s="38" t="s">
        <v>221</v>
      </c>
      <c r="D391" s="27">
        <v>0</v>
      </c>
      <c r="E391" s="27">
        <v>0</v>
      </c>
      <c r="F391" s="27">
        <v>10</v>
      </c>
      <c r="G391" s="27"/>
      <c r="H391" s="27"/>
      <c r="I391" s="27"/>
      <c r="J391" s="27"/>
      <c r="K391" s="27">
        <f t="shared" si="15"/>
        <v>10</v>
      </c>
    </row>
    <row r="392" s="2" customFormat="1" ht="21.75" customHeight="1" spans="1:11">
      <c r="A392" s="27"/>
      <c r="B392" s="27"/>
      <c r="C392" s="38" t="s">
        <v>222</v>
      </c>
      <c r="D392" s="12">
        <v>0</v>
      </c>
      <c r="E392" s="12">
        <v>0</v>
      </c>
      <c r="F392" s="12">
        <v>10</v>
      </c>
      <c r="G392" s="12"/>
      <c r="H392" s="12"/>
      <c r="I392" s="12"/>
      <c r="J392" s="12"/>
      <c r="K392" s="27">
        <f t="shared" si="15"/>
        <v>10</v>
      </c>
    </row>
    <row r="393" s="2" customFormat="1" ht="21.75" customHeight="1" spans="1:11">
      <c r="A393" s="27"/>
      <c r="B393" s="27"/>
      <c r="C393" s="38" t="s">
        <v>223</v>
      </c>
      <c r="D393" s="12">
        <v>10.5</v>
      </c>
      <c r="E393" s="12">
        <v>10.5</v>
      </c>
      <c r="F393" s="12">
        <v>5</v>
      </c>
      <c r="G393" s="12"/>
      <c r="H393" s="12"/>
      <c r="I393" s="12"/>
      <c r="J393" s="12"/>
      <c r="K393" s="27">
        <f t="shared" si="15"/>
        <v>26</v>
      </c>
    </row>
    <row r="394" s="2" customFormat="1" ht="21.75" customHeight="1" spans="1:11">
      <c r="A394" s="27"/>
      <c r="B394" s="27"/>
      <c r="C394" s="38" t="s">
        <v>224</v>
      </c>
      <c r="D394" s="27">
        <v>0</v>
      </c>
      <c r="E394" s="27">
        <v>0</v>
      </c>
      <c r="F394" s="27">
        <v>0</v>
      </c>
      <c r="G394" s="27"/>
      <c r="H394" s="27"/>
      <c r="I394" s="27"/>
      <c r="J394" s="27"/>
      <c r="K394" s="27">
        <f t="shared" si="15"/>
        <v>0</v>
      </c>
    </row>
    <row r="395" s="2" customFormat="1" ht="21.75" customHeight="1" spans="1:11">
      <c r="A395" s="39" t="s">
        <v>225</v>
      </c>
      <c r="B395" s="39">
        <v>10.5</v>
      </c>
      <c r="C395" s="27" t="s">
        <v>226</v>
      </c>
      <c r="D395" s="12">
        <v>10.5</v>
      </c>
      <c r="E395" s="12">
        <v>10.5</v>
      </c>
      <c r="F395" s="12">
        <v>5</v>
      </c>
      <c r="G395" s="12"/>
      <c r="H395" s="12"/>
      <c r="I395" s="12"/>
      <c r="J395" s="12"/>
      <c r="K395" s="27">
        <f t="shared" si="15"/>
        <v>26</v>
      </c>
    </row>
    <row r="396" s="2" customFormat="1" ht="21.75" customHeight="1" spans="1:11">
      <c r="A396" s="39"/>
      <c r="B396" s="39"/>
      <c r="C396" s="27" t="s">
        <v>228</v>
      </c>
      <c r="D396" s="12">
        <v>10.5</v>
      </c>
      <c r="E396" s="12">
        <v>10.5</v>
      </c>
      <c r="F396" s="12">
        <v>5</v>
      </c>
      <c r="G396" s="12"/>
      <c r="H396" s="12"/>
      <c r="I396" s="12"/>
      <c r="J396" s="12"/>
      <c r="K396" s="27">
        <f t="shared" si="15"/>
        <v>26</v>
      </c>
    </row>
    <row r="397" s="2" customFormat="1" ht="21.75" customHeight="1" spans="1:11">
      <c r="A397" s="39"/>
      <c r="B397" s="39"/>
      <c r="C397" s="27" t="s">
        <v>227</v>
      </c>
      <c r="D397" s="12">
        <v>10.5</v>
      </c>
      <c r="E397" s="12">
        <v>10.5</v>
      </c>
      <c r="F397" s="12">
        <v>5</v>
      </c>
      <c r="G397" s="12"/>
      <c r="H397" s="12"/>
      <c r="I397" s="12"/>
      <c r="J397" s="12"/>
      <c r="K397" s="27">
        <f t="shared" si="15"/>
        <v>26</v>
      </c>
    </row>
    <row r="398" s="2" customFormat="1" ht="21.75" customHeight="1" spans="1:11">
      <c r="A398" s="39"/>
      <c r="B398" s="39"/>
      <c r="C398" s="27" t="s">
        <v>229</v>
      </c>
      <c r="D398" s="27">
        <v>0</v>
      </c>
      <c r="E398" s="27">
        <v>0</v>
      </c>
      <c r="F398" s="27">
        <v>0</v>
      </c>
      <c r="G398" s="27"/>
      <c r="H398" s="27"/>
      <c r="I398" s="27"/>
      <c r="J398" s="27"/>
      <c r="K398" s="27">
        <f t="shared" si="15"/>
        <v>0</v>
      </c>
    </row>
    <row r="399" s="2" customFormat="1" ht="21.75" customHeight="1" spans="1:11">
      <c r="A399" s="39"/>
      <c r="B399" s="39"/>
      <c r="C399" s="27" t="s">
        <v>240</v>
      </c>
      <c r="D399" s="27">
        <v>0</v>
      </c>
      <c r="E399" s="27">
        <v>0</v>
      </c>
      <c r="F399" s="27">
        <v>0</v>
      </c>
      <c r="G399" s="27"/>
      <c r="H399" s="27"/>
      <c r="I399" s="27"/>
      <c r="J399" s="27"/>
      <c r="K399" s="27">
        <f t="shared" si="15"/>
        <v>0</v>
      </c>
    </row>
    <row r="400" s="2" customFormat="1" ht="21.75" customHeight="1" spans="1:11">
      <c r="A400" s="12" t="s">
        <v>230</v>
      </c>
      <c r="B400" s="12">
        <v>10.5</v>
      </c>
      <c r="C400" s="27" t="s">
        <v>231</v>
      </c>
      <c r="D400" s="27">
        <v>10</v>
      </c>
      <c r="E400" s="27">
        <v>10</v>
      </c>
      <c r="F400" s="27">
        <v>10</v>
      </c>
      <c r="G400" s="27"/>
      <c r="H400" s="27"/>
      <c r="I400" s="27"/>
      <c r="J400" s="27"/>
      <c r="K400" s="27">
        <f t="shared" si="15"/>
        <v>30</v>
      </c>
    </row>
    <row r="401" s="2" customFormat="1" ht="21.75" customHeight="1" spans="1:11">
      <c r="A401" s="12" t="s">
        <v>232</v>
      </c>
      <c r="B401" s="12">
        <v>12</v>
      </c>
      <c r="C401" s="12" t="s">
        <v>233</v>
      </c>
      <c r="D401" s="12">
        <v>12</v>
      </c>
      <c r="E401" s="12">
        <v>12</v>
      </c>
      <c r="F401" s="12">
        <v>12</v>
      </c>
      <c r="G401" s="12"/>
      <c r="H401" s="12"/>
      <c r="I401" s="12"/>
      <c r="J401" s="12"/>
      <c r="K401" s="27">
        <f t="shared" si="15"/>
        <v>36</v>
      </c>
    </row>
    <row r="402" s="2" customFormat="1" ht="21.75" customHeight="1" spans="1:11">
      <c r="A402" s="38"/>
      <c r="B402" s="41"/>
      <c r="C402" s="41"/>
      <c r="D402" s="41"/>
      <c r="E402" s="41"/>
      <c r="F402" s="41"/>
      <c r="G402" s="41"/>
      <c r="H402" s="41"/>
      <c r="I402" s="41"/>
      <c r="J402" s="40"/>
      <c r="K402" s="27">
        <f>SUM(K381:K401)</f>
        <v>484.5</v>
      </c>
    </row>
  </sheetData>
  <mergeCells count="209">
    <mergeCell ref="A1:K1"/>
    <mergeCell ref="A2:C2"/>
    <mergeCell ref="D2:K2"/>
    <mergeCell ref="A25:J25"/>
    <mergeCell ref="A27:K27"/>
    <mergeCell ref="A28:C28"/>
    <mergeCell ref="D28:K28"/>
    <mergeCell ref="A54:K54"/>
    <mergeCell ref="A55:C55"/>
    <mergeCell ref="D55:K55"/>
    <mergeCell ref="A82:K82"/>
    <mergeCell ref="A83:C83"/>
    <mergeCell ref="D83:K83"/>
    <mergeCell ref="A108:K108"/>
    <mergeCell ref="A109:C109"/>
    <mergeCell ref="D109:K109"/>
    <mergeCell ref="A134:K134"/>
    <mergeCell ref="A135:C135"/>
    <mergeCell ref="D135:K135"/>
    <mergeCell ref="A159:J159"/>
    <mergeCell ref="A162:K162"/>
    <mergeCell ref="A163:C163"/>
    <mergeCell ref="D163:K163"/>
    <mergeCell ref="A190:K190"/>
    <mergeCell ref="A191:C191"/>
    <mergeCell ref="D191:K191"/>
    <mergeCell ref="A217:K217"/>
    <mergeCell ref="A218:C218"/>
    <mergeCell ref="D218:K218"/>
    <mergeCell ref="A241:J241"/>
    <mergeCell ref="A244:K244"/>
    <mergeCell ref="A245:C245"/>
    <mergeCell ref="D245:K245"/>
    <mergeCell ref="A270:K270"/>
    <mergeCell ref="A271:C271"/>
    <mergeCell ref="D271:K271"/>
    <mergeCell ref="A297:K297"/>
    <mergeCell ref="A298:C298"/>
    <mergeCell ref="D298:K298"/>
    <mergeCell ref="A324:K324"/>
    <mergeCell ref="A325:C325"/>
    <mergeCell ref="D325:K325"/>
    <mergeCell ref="A351:K351"/>
    <mergeCell ref="A352:C352"/>
    <mergeCell ref="D352:K352"/>
    <mergeCell ref="A378:K378"/>
    <mergeCell ref="A379:C379"/>
    <mergeCell ref="D379:K379"/>
    <mergeCell ref="A5:A6"/>
    <mergeCell ref="A7:A8"/>
    <mergeCell ref="A9:A10"/>
    <mergeCell ref="A12:A13"/>
    <mergeCell ref="A14:A17"/>
    <mergeCell ref="A18:A21"/>
    <mergeCell ref="A31:A32"/>
    <mergeCell ref="A33:A34"/>
    <mergeCell ref="A35:A36"/>
    <mergeCell ref="A38:A39"/>
    <mergeCell ref="A40:A43"/>
    <mergeCell ref="A44:A48"/>
    <mergeCell ref="A58:A60"/>
    <mergeCell ref="A61:A62"/>
    <mergeCell ref="A63:A64"/>
    <mergeCell ref="A66:A67"/>
    <mergeCell ref="A68:A71"/>
    <mergeCell ref="A72:A74"/>
    <mergeCell ref="A86:A87"/>
    <mergeCell ref="A88:A89"/>
    <mergeCell ref="A90:A91"/>
    <mergeCell ref="A93:A94"/>
    <mergeCell ref="A95:A98"/>
    <mergeCell ref="A99:A103"/>
    <mergeCell ref="A112:A113"/>
    <mergeCell ref="A114:A118"/>
    <mergeCell ref="A119:A120"/>
    <mergeCell ref="A121:A124"/>
    <mergeCell ref="A125:A129"/>
    <mergeCell ref="A138:A139"/>
    <mergeCell ref="A140:A141"/>
    <mergeCell ref="A142:A143"/>
    <mergeCell ref="A145:A146"/>
    <mergeCell ref="A147:A150"/>
    <mergeCell ref="A151:A154"/>
    <mergeCell ref="A166:A167"/>
    <mergeCell ref="A168:A169"/>
    <mergeCell ref="A170:A171"/>
    <mergeCell ref="A173:A174"/>
    <mergeCell ref="A175:A178"/>
    <mergeCell ref="A179:A182"/>
    <mergeCell ref="A194:A195"/>
    <mergeCell ref="A196:A197"/>
    <mergeCell ref="A198:A199"/>
    <mergeCell ref="A201:A202"/>
    <mergeCell ref="A203:A206"/>
    <mergeCell ref="A207:A209"/>
    <mergeCell ref="A221:A222"/>
    <mergeCell ref="A223:A227"/>
    <mergeCell ref="A228:A229"/>
    <mergeCell ref="A230:A233"/>
    <mergeCell ref="A234:A238"/>
    <mergeCell ref="A248:A249"/>
    <mergeCell ref="A250:A251"/>
    <mergeCell ref="A252:A253"/>
    <mergeCell ref="A255:A256"/>
    <mergeCell ref="A257:A260"/>
    <mergeCell ref="A261:A265"/>
    <mergeCell ref="A274:A275"/>
    <mergeCell ref="A276:A277"/>
    <mergeCell ref="A278:A279"/>
    <mergeCell ref="A281:A282"/>
    <mergeCell ref="A283:A286"/>
    <mergeCell ref="A287:A289"/>
    <mergeCell ref="A301:A302"/>
    <mergeCell ref="A303:A304"/>
    <mergeCell ref="A305:A306"/>
    <mergeCell ref="A308:A309"/>
    <mergeCell ref="A310:A313"/>
    <mergeCell ref="A314:A318"/>
    <mergeCell ref="A328:A329"/>
    <mergeCell ref="A330:A331"/>
    <mergeCell ref="A332:A333"/>
    <mergeCell ref="A335:A336"/>
    <mergeCell ref="A337:A340"/>
    <mergeCell ref="A341:A343"/>
    <mergeCell ref="A355:A356"/>
    <mergeCell ref="A357:A361"/>
    <mergeCell ref="A362:A363"/>
    <mergeCell ref="A364:A367"/>
    <mergeCell ref="A368:A372"/>
    <mergeCell ref="A382:A383"/>
    <mergeCell ref="A384:A388"/>
    <mergeCell ref="A389:A390"/>
    <mergeCell ref="A391:A394"/>
    <mergeCell ref="A395:A399"/>
    <mergeCell ref="B5:B6"/>
    <mergeCell ref="B7:B11"/>
    <mergeCell ref="B12:B13"/>
    <mergeCell ref="B14:B17"/>
    <mergeCell ref="B18:B21"/>
    <mergeCell ref="B31:B32"/>
    <mergeCell ref="B33:B37"/>
    <mergeCell ref="B38:B39"/>
    <mergeCell ref="B40:B43"/>
    <mergeCell ref="B44:B48"/>
    <mergeCell ref="B58:B60"/>
    <mergeCell ref="B61:B65"/>
    <mergeCell ref="B66:B67"/>
    <mergeCell ref="B68:B71"/>
    <mergeCell ref="B72:B74"/>
    <mergeCell ref="B86:B87"/>
    <mergeCell ref="B88:B92"/>
    <mergeCell ref="B93:B94"/>
    <mergeCell ref="B95:B98"/>
    <mergeCell ref="B99:B103"/>
    <mergeCell ref="B112:B113"/>
    <mergeCell ref="B114:B118"/>
    <mergeCell ref="B119:B120"/>
    <mergeCell ref="B121:B124"/>
    <mergeCell ref="B125:B129"/>
    <mergeCell ref="B138:B139"/>
    <mergeCell ref="B140:B144"/>
    <mergeCell ref="B145:B146"/>
    <mergeCell ref="B147:B150"/>
    <mergeCell ref="B151:B154"/>
    <mergeCell ref="B166:B167"/>
    <mergeCell ref="B168:B172"/>
    <mergeCell ref="B173:B174"/>
    <mergeCell ref="B175:B178"/>
    <mergeCell ref="B179:B182"/>
    <mergeCell ref="B194:B195"/>
    <mergeCell ref="B196:B200"/>
    <mergeCell ref="B201:B202"/>
    <mergeCell ref="B203:B206"/>
    <mergeCell ref="B207:B209"/>
    <mergeCell ref="B221:B222"/>
    <mergeCell ref="B223:B227"/>
    <mergeCell ref="B228:B229"/>
    <mergeCell ref="B230:B233"/>
    <mergeCell ref="B234:B238"/>
    <mergeCell ref="B248:B249"/>
    <mergeCell ref="B250:B254"/>
    <mergeCell ref="B255:B256"/>
    <mergeCell ref="B257:B260"/>
    <mergeCell ref="B261:B265"/>
    <mergeCell ref="B274:B275"/>
    <mergeCell ref="B276:B280"/>
    <mergeCell ref="B281:B282"/>
    <mergeCell ref="B283:B286"/>
    <mergeCell ref="B287:B289"/>
    <mergeCell ref="B301:B302"/>
    <mergeCell ref="B303:B307"/>
    <mergeCell ref="B308:B309"/>
    <mergeCell ref="B310:B313"/>
    <mergeCell ref="B314:B318"/>
    <mergeCell ref="B328:B329"/>
    <mergeCell ref="B330:B334"/>
    <mergeCell ref="B335:B336"/>
    <mergeCell ref="B337:B340"/>
    <mergeCell ref="B341:B343"/>
    <mergeCell ref="B355:B356"/>
    <mergeCell ref="B357:B361"/>
    <mergeCell ref="B362:B363"/>
    <mergeCell ref="B364:B367"/>
    <mergeCell ref="B368:B372"/>
    <mergeCell ref="B382:B383"/>
    <mergeCell ref="B384:B388"/>
    <mergeCell ref="B389:B390"/>
    <mergeCell ref="B391:B394"/>
    <mergeCell ref="B395:B39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4"/>
  <sheetViews>
    <sheetView topLeftCell="A250" workbookViewId="0">
      <selection activeCell="H243" sqref="H243"/>
    </sheetView>
  </sheetViews>
  <sheetFormatPr defaultColWidth="9" defaultRowHeight="13.5"/>
  <sheetData>
    <row r="1" s="1" customFormat="1" ht="21" customHeight="1" spans="1:11">
      <c r="A1" s="4" t="s">
        <v>461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" customFormat="1" ht="21" customHeight="1" spans="1:11">
      <c r="A2" s="5" t="s">
        <v>235</v>
      </c>
      <c r="B2" s="5"/>
      <c r="C2" s="5"/>
      <c r="D2" s="5" t="s">
        <v>462</v>
      </c>
      <c r="E2" s="5"/>
      <c r="F2" s="5"/>
      <c r="G2" s="5"/>
      <c r="H2" s="5"/>
      <c r="I2" s="5"/>
      <c r="J2" s="5"/>
      <c r="K2" s="5"/>
    </row>
    <row r="3" s="1" customFormat="1" ht="21" customHeight="1" spans="1:11">
      <c r="A3" s="6" t="s">
        <v>200</v>
      </c>
      <c r="B3" s="6" t="s">
        <v>201</v>
      </c>
      <c r="C3" s="7" t="s">
        <v>202</v>
      </c>
      <c r="D3" s="8" t="s">
        <v>6</v>
      </c>
      <c r="E3" s="8" t="s">
        <v>6</v>
      </c>
      <c r="F3" s="6" t="s">
        <v>6</v>
      </c>
      <c r="G3" s="6" t="s">
        <v>6</v>
      </c>
      <c r="H3" s="6" t="s">
        <v>6</v>
      </c>
      <c r="I3" s="6" t="s">
        <v>6</v>
      </c>
      <c r="J3" s="6" t="s">
        <v>203</v>
      </c>
      <c r="K3" s="6" t="s">
        <v>204</v>
      </c>
    </row>
    <row r="4" s="1" customFormat="1" ht="21" customHeight="1" spans="1:11">
      <c r="A4" s="9" t="s">
        <v>205</v>
      </c>
      <c r="B4" s="9">
        <v>12</v>
      </c>
      <c r="C4" s="10" t="s">
        <v>206</v>
      </c>
      <c r="D4" s="11">
        <v>12</v>
      </c>
      <c r="E4" s="11">
        <v>12</v>
      </c>
      <c r="F4" s="11">
        <v>12</v>
      </c>
      <c r="G4" s="11">
        <v>12</v>
      </c>
      <c r="H4" s="11">
        <v>12</v>
      </c>
      <c r="I4" s="11">
        <v>12</v>
      </c>
      <c r="J4" s="12">
        <v>20</v>
      </c>
      <c r="K4" s="13">
        <f t="shared" ref="K4:K24" si="0">SUM(D4:J4)</f>
        <v>92</v>
      </c>
    </row>
    <row r="5" s="1" customFormat="1" ht="21" customHeight="1" spans="1:11">
      <c r="A5" s="14" t="s">
        <v>207</v>
      </c>
      <c r="B5" s="9">
        <v>11.5</v>
      </c>
      <c r="C5" s="15" t="s">
        <v>208</v>
      </c>
      <c r="D5" s="11">
        <v>30</v>
      </c>
      <c r="E5" s="11">
        <v>30</v>
      </c>
      <c r="F5" s="11">
        <v>30</v>
      </c>
      <c r="G5" s="11">
        <v>30</v>
      </c>
      <c r="H5" s="11">
        <v>30</v>
      </c>
      <c r="I5" s="11">
        <v>30</v>
      </c>
      <c r="J5" s="12">
        <v>20</v>
      </c>
      <c r="K5" s="13">
        <f t="shared" si="0"/>
        <v>200</v>
      </c>
    </row>
    <row r="6" s="1" customFormat="1" ht="21" customHeight="1" spans="1:11">
      <c r="A6" s="14"/>
      <c r="B6" s="9"/>
      <c r="C6" s="15" t="s">
        <v>210</v>
      </c>
      <c r="D6" s="11">
        <v>26.5</v>
      </c>
      <c r="E6" s="11">
        <v>26.5</v>
      </c>
      <c r="F6" s="11">
        <v>26.5</v>
      </c>
      <c r="G6" s="11">
        <v>26.5</v>
      </c>
      <c r="H6" s="11">
        <v>26.5</v>
      </c>
      <c r="I6" s="11">
        <v>26.5</v>
      </c>
      <c r="J6" s="12">
        <v>20</v>
      </c>
      <c r="K6" s="13">
        <f t="shared" si="0"/>
        <v>179</v>
      </c>
    </row>
    <row r="7" s="1" customFormat="1" ht="21" customHeight="1" spans="1:11">
      <c r="A7" s="16" t="s">
        <v>237</v>
      </c>
      <c r="B7" s="13">
        <v>11.5</v>
      </c>
      <c r="C7" s="17" t="s">
        <v>212</v>
      </c>
      <c r="D7" s="11">
        <v>11.5</v>
      </c>
      <c r="E7" s="11">
        <v>11.5</v>
      </c>
      <c r="F7" s="11">
        <v>11.5</v>
      </c>
      <c r="G7" s="11">
        <v>11.5</v>
      </c>
      <c r="H7" s="11">
        <v>11.5</v>
      </c>
      <c r="I7" s="11">
        <v>11.5</v>
      </c>
      <c r="J7" s="12">
        <v>20</v>
      </c>
      <c r="K7" s="13">
        <f t="shared" si="0"/>
        <v>89</v>
      </c>
    </row>
    <row r="8" s="1" customFormat="1" ht="21" customHeight="1" spans="1:11">
      <c r="A8" s="18"/>
      <c r="B8" s="13"/>
      <c r="C8" s="1" t="s">
        <v>215</v>
      </c>
      <c r="D8" s="11">
        <v>23</v>
      </c>
      <c r="E8" s="11">
        <v>23</v>
      </c>
      <c r="F8" s="11">
        <v>23</v>
      </c>
      <c r="G8" s="11">
        <v>23</v>
      </c>
      <c r="H8" s="11">
        <v>23</v>
      </c>
      <c r="I8" s="11">
        <v>23</v>
      </c>
      <c r="J8" s="12">
        <v>10</v>
      </c>
      <c r="K8" s="13">
        <f t="shared" si="0"/>
        <v>148</v>
      </c>
    </row>
    <row r="9" s="1" customFormat="1" ht="21" customHeight="1" spans="1:11">
      <c r="A9" s="19" t="s">
        <v>238</v>
      </c>
      <c r="B9" s="13"/>
      <c r="C9" s="17" t="s">
        <v>213</v>
      </c>
      <c r="D9" s="11">
        <v>23</v>
      </c>
      <c r="E9" s="11">
        <v>23</v>
      </c>
      <c r="F9" s="11">
        <v>23</v>
      </c>
      <c r="G9" s="11">
        <v>23</v>
      </c>
      <c r="H9" s="11">
        <v>23</v>
      </c>
      <c r="I9" s="11">
        <v>23</v>
      </c>
      <c r="J9" s="12">
        <v>20</v>
      </c>
      <c r="K9" s="13">
        <f t="shared" si="0"/>
        <v>158</v>
      </c>
    </row>
    <row r="10" s="1" customFormat="1" ht="21" customHeight="1" spans="1:11">
      <c r="A10" s="20"/>
      <c r="B10" s="13"/>
      <c r="C10" s="17" t="s">
        <v>216</v>
      </c>
      <c r="D10" s="11">
        <v>23</v>
      </c>
      <c r="E10" s="11">
        <v>23</v>
      </c>
      <c r="F10" s="11">
        <v>23</v>
      </c>
      <c r="G10" s="11">
        <v>23</v>
      </c>
      <c r="H10" s="11">
        <v>23</v>
      </c>
      <c r="I10" s="11">
        <v>23</v>
      </c>
      <c r="J10" s="12">
        <v>10</v>
      </c>
      <c r="K10" s="13">
        <f t="shared" si="0"/>
        <v>148</v>
      </c>
    </row>
    <row r="11" s="1" customFormat="1" ht="21" customHeight="1" spans="1:11">
      <c r="A11" s="21" t="s">
        <v>239</v>
      </c>
      <c r="B11" s="13"/>
      <c r="C11" s="13" t="s">
        <v>214</v>
      </c>
      <c r="D11" s="11">
        <v>11.5</v>
      </c>
      <c r="E11" s="11">
        <v>11.5</v>
      </c>
      <c r="F11" s="11">
        <v>11.5</v>
      </c>
      <c r="G11" s="11">
        <v>11.5</v>
      </c>
      <c r="H11" s="11">
        <v>11.5</v>
      </c>
      <c r="I11" s="11">
        <v>11.5</v>
      </c>
      <c r="J11" s="12">
        <v>0</v>
      </c>
      <c r="K11" s="13">
        <f t="shared" si="0"/>
        <v>69</v>
      </c>
    </row>
    <row r="12" s="1" customFormat="1" ht="21" customHeight="1" spans="1:11">
      <c r="A12" s="9" t="s">
        <v>217</v>
      </c>
      <c r="B12" s="9">
        <v>10.5</v>
      </c>
      <c r="C12" s="9" t="s">
        <v>218</v>
      </c>
      <c r="D12" s="22">
        <v>20</v>
      </c>
      <c r="E12" s="22">
        <v>20</v>
      </c>
      <c r="F12" s="22">
        <v>20</v>
      </c>
      <c r="G12" s="22">
        <v>20</v>
      </c>
      <c r="H12" s="22">
        <v>20</v>
      </c>
      <c r="I12" s="22">
        <v>20</v>
      </c>
      <c r="J12" s="12">
        <v>0</v>
      </c>
      <c r="K12" s="13">
        <f t="shared" si="0"/>
        <v>120</v>
      </c>
    </row>
    <row r="13" s="1" customFormat="1" ht="21" customHeight="1" spans="1:11">
      <c r="A13" s="9"/>
      <c r="B13" s="9"/>
      <c r="C13" s="9" t="s">
        <v>219</v>
      </c>
      <c r="D13" s="11">
        <v>20</v>
      </c>
      <c r="E13" s="11">
        <v>20</v>
      </c>
      <c r="F13" s="11">
        <v>20</v>
      </c>
      <c r="G13" s="11">
        <v>20</v>
      </c>
      <c r="H13" s="11">
        <v>20</v>
      </c>
      <c r="I13" s="11">
        <v>20</v>
      </c>
      <c r="J13" s="12">
        <v>0</v>
      </c>
      <c r="K13" s="13">
        <f t="shared" si="0"/>
        <v>120</v>
      </c>
    </row>
    <row r="14" s="1" customFormat="1" ht="21" customHeight="1" spans="1:11">
      <c r="A14" s="9" t="s">
        <v>220</v>
      </c>
      <c r="B14" s="9">
        <v>11.5</v>
      </c>
      <c r="C14" s="15" t="s">
        <v>221</v>
      </c>
      <c r="D14" s="11">
        <v>28</v>
      </c>
      <c r="E14" s="11">
        <v>28</v>
      </c>
      <c r="F14" s="11">
        <v>28</v>
      </c>
      <c r="G14" s="11">
        <v>28</v>
      </c>
      <c r="H14" s="11">
        <v>28</v>
      </c>
      <c r="I14" s="11">
        <v>28</v>
      </c>
      <c r="J14" s="12">
        <v>10</v>
      </c>
      <c r="K14" s="13">
        <f t="shared" si="0"/>
        <v>178</v>
      </c>
    </row>
    <row r="15" s="1" customFormat="1" ht="21" customHeight="1" spans="1:11">
      <c r="A15" s="9"/>
      <c r="B15" s="9"/>
      <c r="C15" s="15" t="s">
        <v>222</v>
      </c>
      <c r="D15" s="11">
        <v>18</v>
      </c>
      <c r="E15" s="11">
        <v>18</v>
      </c>
      <c r="F15" s="11">
        <v>18</v>
      </c>
      <c r="G15" s="11">
        <v>18</v>
      </c>
      <c r="H15" s="11">
        <v>18</v>
      </c>
      <c r="I15" s="11">
        <v>18</v>
      </c>
      <c r="J15" s="12">
        <v>10</v>
      </c>
      <c r="K15" s="13">
        <f t="shared" si="0"/>
        <v>118</v>
      </c>
    </row>
    <row r="16" s="1" customFormat="1" ht="21" customHeight="1" spans="1:11">
      <c r="A16" s="9"/>
      <c r="B16" s="9"/>
      <c r="C16" s="15" t="s">
        <v>223</v>
      </c>
      <c r="D16" s="23">
        <v>41</v>
      </c>
      <c r="E16" s="23">
        <v>41</v>
      </c>
      <c r="F16" s="23">
        <v>41</v>
      </c>
      <c r="G16" s="23">
        <v>41</v>
      </c>
      <c r="H16" s="23">
        <v>41</v>
      </c>
      <c r="I16" s="23">
        <v>41</v>
      </c>
      <c r="J16" s="12">
        <v>0</v>
      </c>
      <c r="K16" s="13">
        <f t="shared" si="0"/>
        <v>246</v>
      </c>
    </row>
    <row r="17" s="1" customFormat="1" ht="21" customHeight="1" spans="1:11">
      <c r="A17" s="9"/>
      <c r="B17" s="9"/>
      <c r="C17" s="15" t="s">
        <v>224</v>
      </c>
      <c r="D17" s="24">
        <v>157</v>
      </c>
      <c r="E17" s="24">
        <v>157</v>
      </c>
      <c r="F17" s="24">
        <v>157</v>
      </c>
      <c r="G17" s="24">
        <v>157</v>
      </c>
      <c r="H17" s="24">
        <v>157</v>
      </c>
      <c r="I17" s="24">
        <v>157</v>
      </c>
      <c r="J17" s="12">
        <v>0</v>
      </c>
      <c r="K17" s="13">
        <f t="shared" si="0"/>
        <v>942</v>
      </c>
    </row>
    <row r="18" s="1" customFormat="1" ht="21" customHeight="1" spans="1:11">
      <c r="A18" s="25" t="s">
        <v>225</v>
      </c>
      <c r="B18" s="25">
        <v>10.5</v>
      </c>
      <c r="C18" s="9" t="s">
        <v>226</v>
      </c>
      <c r="D18" s="11">
        <v>25</v>
      </c>
      <c r="E18" s="11">
        <v>25</v>
      </c>
      <c r="F18" s="11">
        <v>25</v>
      </c>
      <c r="G18" s="11">
        <v>25</v>
      </c>
      <c r="H18" s="11">
        <v>25</v>
      </c>
      <c r="I18" s="11">
        <v>25</v>
      </c>
      <c r="J18" s="12">
        <v>20</v>
      </c>
      <c r="K18" s="13">
        <f t="shared" si="0"/>
        <v>170</v>
      </c>
    </row>
    <row r="19" s="1" customFormat="1" ht="21" customHeight="1" spans="1:11">
      <c r="A19" s="25"/>
      <c r="B19" s="25"/>
      <c r="C19" s="9" t="s">
        <v>228</v>
      </c>
      <c r="D19" s="11">
        <v>50</v>
      </c>
      <c r="E19" s="11">
        <v>50</v>
      </c>
      <c r="F19" s="11">
        <v>50</v>
      </c>
      <c r="G19" s="11">
        <v>50</v>
      </c>
      <c r="H19" s="11">
        <v>50</v>
      </c>
      <c r="I19" s="11">
        <v>50</v>
      </c>
      <c r="J19" s="12">
        <v>0</v>
      </c>
      <c r="K19" s="13">
        <f t="shared" si="0"/>
        <v>300</v>
      </c>
    </row>
    <row r="20" s="1" customFormat="1" ht="21" customHeight="1" spans="1:11">
      <c r="A20" s="25"/>
      <c r="B20" s="25"/>
      <c r="C20" s="9" t="s">
        <v>227</v>
      </c>
      <c r="D20" s="11">
        <v>24.5</v>
      </c>
      <c r="E20" s="11">
        <v>24.5</v>
      </c>
      <c r="F20" s="11">
        <v>24.5</v>
      </c>
      <c r="G20" s="11">
        <v>24.5</v>
      </c>
      <c r="H20" s="11">
        <v>24.5</v>
      </c>
      <c r="I20" s="11">
        <v>24.5</v>
      </c>
      <c r="J20" s="12">
        <v>0</v>
      </c>
      <c r="K20" s="13">
        <f t="shared" si="0"/>
        <v>147</v>
      </c>
    </row>
    <row r="21" s="1" customFormat="1" ht="21" customHeight="1" spans="1:11">
      <c r="A21" s="25"/>
      <c r="B21" s="25"/>
      <c r="C21" s="9" t="s">
        <v>229</v>
      </c>
      <c r="D21" s="11">
        <v>24.5</v>
      </c>
      <c r="E21" s="11">
        <v>24.5</v>
      </c>
      <c r="F21" s="11">
        <v>24.5</v>
      </c>
      <c r="G21" s="11">
        <v>24.5</v>
      </c>
      <c r="H21" s="11">
        <v>24.5</v>
      </c>
      <c r="I21" s="11">
        <v>24.5</v>
      </c>
      <c r="J21" s="12">
        <v>10</v>
      </c>
      <c r="K21" s="13">
        <f t="shared" si="0"/>
        <v>157</v>
      </c>
    </row>
    <row r="22" s="1" customFormat="1" ht="21" customHeight="1" spans="1:11">
      <c r="A22" s="25"/>
      <c r="B22" s="25"/>
      <c r="C22" s="9" t="s">
        <v>240</v>
      </c>
      <c r="D22" s="11">
        <v>24.5</v>
      </c>
      <c r="E22" s="11">
        <v>24.5</v>
      </c>
      <c r="F22" s="11">
        <v>24.5</v>
      </c>
      <c r="G22" s="11">
        <v>24.5</v>
      </c>
      <c r="H22" s="11">
        <v>24.5</v>
      </c>
      <c r="I22" s="11">
        <v>24.5</v>
      </c>
      <c r="J22" s="12">
        <v>10</v>
      </c>
      <c r="K22" s="13">
        <f t="shared" si="0"/>
        <v>157</v>
      </c>
    </row>
    <row r="23" s="1" customFormat="1" ht="21" customHeight="1" spans="1:11">
      <c r="A23" s="26" t="s">
        <v>230</v>
      </c>
      <c r="B23" s="26">
        <v>10.5</v>
      </c>
      <c r="C23" s="9" t="s">
        <v>231</v>
      </c>
      <c r="D23" s="11">
        <v>10.5</v>
      </c>
      <c r="E23" s="11">
        <v>10.5</v>
      </c>
      <c r="F23" s="11">
        <v>10.5</v>
      </c>
      <c r="G23" s="11">
        <v>10.5</v>
      </c>
      <c r="H23" s="11">
        <v>10.5</v>
      </c>
      <c r="I23" s="11">
        <v>10.5</v>
      </c>
      <c r="J23" s="27">
        <v>10.5</v>
      </c>
      <c r="K23" s="13">
        <f t="shared" si="0"/>
        <v>73.5</v>
      </c>
    </row>
    <row r="24" s="1" customFormat="1" ht="21" customHeight="1" spans="1:11">
      <c r="A24" s="26" t="s">
        <v>232</v>
      </c>
      <c r="B24" s="26">
        <v>12</v>
      </c>
      <c r="C24" s="26" t="s">
        <v>233</v>
      </c>
      <c r="D24" s="22">
        <v>12</v>
      </c>
      <c r="E24" s="22">
        <v>12</v>
      </c>
      <c r="F24" s="22">
        <v>12</v>
      </c>
      <c r="G24" s="22">
        <v>12</v>
      </c>
      <c r="H24" s="22">
        <v>12</v>
      </c>
      <c r="I24" s="22">
        <v>12</v>
      </c>
      <c r="J24" s="27">
        <v>12</v>
      </c>
      <c r="K24" s="28">
        <f t="shared" si="0"/>
        <v>84</v>
      </c>
    </row>
    <row r="25" s="1" customFormat="1" ht="21" customHeight="1" spans="1:11">
      <c r="A25" s="17"/>
      <c r="B25" s="29"/>
      <c r="C25" s="29"/>
      <c r="D25" s="30"/>
      <c r="E25" s="30"/>
      <c r="F25" s="30"/>
      <c r="G25" s="29"/>
      <c r="H25" s="29"/>
      <c r="I25" s="29"/>
      <c r="J25" s="29"/>
      <c r="K25" s="31">
        <f>SUM(K4:K24)</f>
        <v>3895.5</v>
      </c>
    </row>
    <row r="28" s="1" customFormat="1" ht="21" customHeight="1" spans="1:11">
      <c r="A28" s="32" t="s">
        <v>461</v>
      </c>
      <c r="B28" s="33"/>
      <c r="C28" s="33"/>
      <c r="D28" s="33"/>
      <c r="E28" s="33"/>
      <c r="F28" s="33"/>
      <c r="G28" s="33"/>
      <c r="H28" s="33"/>
      <c r="I28" s="33"/>
      <c r="J28" s="33"/>
      <c r="K28" s="34"/>
    </row>
    <row r="29" s="1" customFormat="1" ht="21" customHeight="1" spans="1:11">
      <c r="A29" s="35" t="s">
        <v>253</v>
      </c>
      <c r="B29" s="36"/>
      <c r="C29" s="36"/>
      <c r="D29" s="37" t="s">
        <v>463</v>
      </c>
      <c r="E29" s="36"/>
      <c r="F29" s="36"/>
      <c r="G29" s="36"/>
      <c r="H29" s="36"/>
      <c r="I29" s="36"/>
      <c r="J29" s="36"/>
      <c r="K29" s="36"/>
    </row>
    <row r="30" s="1" customFormat="1" ht="21" customHeight="1" spans="1:11">
      <c r="A30" s="27" t="s">
        <v>200</v>
      </c>
      <c r="B30" s="27" t="s">
        <v>201</v>
      </c>
      <c r="C30" s="38" t="s">
        <v>202</v>
      </c>
      <c r="D30" s="12" t="s">
        <v>6</v>
      </c>
      <c r="E30" s="12" t="s">
        <v>6</v>
      </c>
      <c r="F30" s="27" t="s">
        <v>6</v>
      </c>
      <c r="G30" s="27" t="s">
        <v>6</v>
      </c>
      <c r="H30" s="27" t="s">
        <v>6</v>
      </c>
      <c r="I30" s="27" t="s">
        <v>6</v>
      </c>
      <c r="J30" s="27" t="s">
        <v>203</v>
      </c>
      <c r="K30" s="27" t="s">
        <v>204</v>
      </c>
    </row>
    <row r="31" s="1" customFormat="1" ht="21" customHeight="1" spans="1:11">
      <c r="A31" s="27" t="s">
        <v>205</v>
      </c>
      <c r="B31" s="27">
        <v>12</v>
      </c>
      <c r="C31" s="38" t="s">
        <v>206</v>
      </c>
      <c r="D31" s="12">
        <v>15</v>
      </c>
      <c r="E31" s="12">
        <v>15</v>
      </c>
      <c r="F31" s="12">
        <v>10</v>
      </c>
      <c r="G31" s="12"/>
      <c r="H31" s="12"/>
      <c r="I31" s="27"/>
      <c r="J31" s="27"/>
      <c r="K31" s="13">
        <f t="shared" ref="K31:K53" si="1">SUM(D31:J31)</f>
        <v>40</v>
      </c>
    </row>
    <row r="32" s="1" customFormat="1" ht="21" customHeight="1" spans="1:11">
      <c r="A32" s="21" t="s">
        <v>207</v>
      </c>
      <c r="B32" s="27">
        <v>11.5</v>
      </c>
      <c r="C32" s="38" t="s">
        <v>208</v>
      </c>
      <c r="D32" s="12">
        <v>14.3</v>
      </c>
      <c r="E32" s="12">
        <v>14.3</v>
      </c>
      <c r="F32" s="12">
        <v>10</v>
      </c>
      <c r="G32" s="12"/>
      <c r="H32" s="12"/>
      <c r="I32" s="27"/>
      <c r="J32" s="27"/>
      <c r="K32" s="13">
        <f t="shared" si="1"/>
        <v>38.6</v>
      </c>
    </row>
    <row r="33" s="1" customFormat="1" ht="21" customHeight="1" spans="1:11">
      <c r="A33" s="21"/>
      <c r="B33" s="27"/>
      <c r="C33" s="27" t="s">
        <v>209</v>
      </c>
      <c r="D33" s="12">
        <v>14.3</v>
      </c>
      <c r="E33" s="12">
        <v>14.3</v>
      </c>
      <c r="F33" s="12">
        <v>10</v>
      </c>
      <c r="G33" s="12"/>
      <c r="H33" s="12"/>
      <c r="I33" s="27"/>
      <c r="J33" s="27"/>
      <c r="K33" s="13">
        <f t="shared" si="1"/>
        <v>38.6</v>
      </c>
    </row>
    <row r="34" s="1" customFormat="1" ht="21" customHeight="1" spans="1:11">
      <c r="A34" s="21"/>
      <c r="B34" s="27"/>
      <c r="C34" s="38" t="s">
        <v>210</v>
      </c>
      <c r="D34" s="12">
        <v>14.3</v>
      </c>
      <c r="E34" s="12">
        <v>14.3</v>
      </c>
      <c r="F34" s="12">
        <v>10</v>
      </c>
      <c r="G34" s="12"/>
      <c r="H34" s="12"/>
      <c r="I34" s="27"/>
      <c r="J34" s="27"/>
      <c r="K34" s="13">
        <f t="shared" si="1"/>
        <v>38.6</v>
      </c>
    </row>
    <row r="35" s="1" customFormat="1" ht="21" customHeight="1" spans="1:11">
      <c r="A35" s="16" t="s">
        <v>237</v>
      </c>
      <c r="B35" s="13">
        <v>11.5</v>
      </c>
      <c r="C35" s="17" t="s">
        <v>212</v>
      </c>
      <c r="D35" s="12">
        <v>14.3</v>
      </c>
      <c r="E35" s="12">
        <v>14.3</v>
      </c>
      <c r="F35" s="12">
        <v>11</v>
      </c>
      <c r="G35" s="12"/>
      <c r="H35" s="12"/>
      <c r="I35" s="27"/>
      <c r="J35" s="27"/>
      <c r="K35" s="13">
        <f t="shared" si="1"/>
        <v>39.6</v>
      </c>
    </row>
    <row r="36" s="1" customFormat="1" ht="21" customHeight="1" spans="1:11">
      <c r="A36" s="18"/>
      <c r="B36" s="13"/>
      <c r="C36" s="1" t="s">
        <v>215</v>
      </c>
      <c r="D36" s="12">
        <v>14.3</v>
      </c>
      <c r="E36" s="12">
        <v>14.3</v>
      </c>
      <c r="F36" s="12">
        <v>11</v>
      </c>
      <c r="G36" s="12"/>
      <c r="H36" s="12"/>
      <c r="I36" s="27"/>
      <c r="J36" s="27"/>
      <c r="K36" s="13">
        <f t="shared" si="1"/>
        <v>39.6</v>
      </c>
    </row>
    <row r="37" s="1" customFormat="1" ht="21" customHeight="1" spans="1:11">
      <c r="A37" s="19" t="s">
        <v>238</v>
      </c>
      <c r="B37" s="13"/>
      <c r="C37" s="17" t="s">
        <v>213</v>
      </c>
      <c r="D37" s="12">
        <v>14.3</v>
      </c>
      <c r="E37" s="12">
        <v>14.3</v>
      </c>
      <c r="F37" s="12">
        <v>11</v>
      </c>
      <c r="G37" s="12"/>
      <c r="H37" s="12"/>
      <c r="I37" s="27"/>
      <c r="J37" s="27"/>
      <c r="K37" s="13">
        <f t="shared" si="1"/>
        <v>39.6</v>
      </c>
    </row>
    <row r="38" s="1" customFormat="1" ht="21" customHeight="1" spans="1:11">
      <c r="A38" s="20"/>
      <c r="B38" s="13"/>
      <c r="C38" s="17" t="s">
        <v>216</v>
      </c>
      <c r="D38" s="12">
        <v>14.3</v>
      </c>
      <c r="E38" s="12">
        <v>14.3</v>
      </c>
      <c r="F38" s="12">
        <v>11</v>
      </c>
      <c r="G38" s="12"/>
      <c r="H38" s="12"/>
      <c r="I38" s="12"/>
      <c r="J38" s="27"/>
      <c r="K38" s="13">
        <f t="shared" si="1"/>
        <v>39.6</v>
      </c>
    </row>
    <row r="39" s="1" customFormat="1" ht="21" customHeight="1" spans="1:11">
      <c r="A39" s="21" t="s">
        <v>239</v>
      </c>
      <c r="B39" s="13"/>
      <c r="C39" s="13" t="s">
        <v>214</v>
      </c>
      <c r="D39" s="12">
        <v>14.3</v>
      </c>
      <c r="E39" s="12">
        <v>14.3</v>
      </c>
      <c r="F39" s="12">
        <v>11</v>
      </c>
      <c r="G39" s="12"/>
      <c r="H39" s="12"/>
      <c r="I39" s="12"/>
      <c r="J39" s="27"/>
      <c r="K39" s="13">
        <f t="shared" si="1"/>
        <v>39.6</v>
      </c>
    </row>
    <row r="40" s="1" customFormat="1" ht="21" customHeight="1" spans="1:11">
      <c r="A40" s="27" t="s">
        <v>217</v>
      </c>
      <c r="B40" s="27">
        <v>10.5</v>
      </c>
      <c r="C40" s="27" t="s">
        <v>218</v>
      </c>
      <c r="D40" s="12">
        <v>17</v>
      </c>
      <c r="E40" s="12">
        <v>17</v>
      </c>
      <c r="F40" s="12">
        <v>10</v>
      </c>
      <c r="G40" s="12"/>
      <c r="H40" s="12"/>
      <c r="I40" s="27"/>
      <c r="J40" s="27"/>
      <c r="K40" s="13">
        <f t="shared" si="1"/>
        <v>44</v>
      </c>
    </row>
    <row r="41" s="1" customFormat="1" ht="21" customHeight="1" spans="1:11">
      <c r="A41" s="27"/>
      <c r="B41" s="27"/>
      <c r="C41" s="27" t="s">
        <v>219</v>
      </c>
      <c r="D41" s="12">
        <v>16.7</v>
      </c>
      <c r="E41" s="12">
        <v>16.7</v>
      </c>
      <c r="F41" s="12">
        <v>10</v>
      </c>
      <c r="G41" s="12"/>
      <c r="H41" s="12"/>
      <c r="I41" s="27"/>
      <c r="J41" s="27"/>
      <c r="K41" s="13">
        <f t="shared" si="1"/>
        <v>43.4</v>
      </c>
    </row>
    <row r="42" s="1" customFormat="1" ht="21" customHeight="1" spans="1:11">
      <c r="A42" s="27" t="s">
        <v>220</v>
      </c>
      <c r="B42" s="27">
        <v>11.5</v>
      </c>
      <c r="C42" s="38" t="s">
        <v>221</v>
      </c>
      <c r="D42" s="12">
        <v>16.7</v>
      </c>
      <c r="E42" s="12">
        <v>16.7</v>
      </c>
      <c r="F42" s="12">
        <v>10</v>
      </c>
      <c r="G42" s="12"/>
      <c r="H42" s="12"/>
      <c r="I42" s="27"/>
      <c r="J42" s="27"/>
      <c r="K42" s="13">
        <f t="shared" si="1"/>
        <v>43.4</v>
      </c>
    </row>
    <row r="43" s="1" customFormat="1" ht="21" customHeight="1" spans="1:11">
      <c r="A43" s="27"/>
      <c r="B43" s="27"/>
      <c r="C43" s="38" t="s">
        <v>222</v>
      </c>
      <c r="D43" s="12">
        <v>16.7</v>
      </c>
      <c r="E43" s="12">
        <v>16.7</v>
      </c>
      <c r="F43" s="12">
        <v>10</v>
      </c>
      <c r="G43" s="12"/>
      <c r="H43" s="12"/>
      <c r="I43" s="27"/>
      <c r="J43" s="27"/>
      <c r="K43" s="13">
        <f t="shared" si="1"/>
        <v>43.4</v>
      </c>
    </row>
    <row r="44" s="1" customFormat="1" ht="21" customHeight="1" spans="1:11">
      <c r="A44" s="27"/>
      <c r="B44" s="27"/>
      <c r="C44" s="38" t="s">
        <v>223</v>
      </c>
      <c r="D44" s="12">
        <v>16.7</v>
      </c>
      <c r="E44" s="12">
        <v>16.7</v>
      </c>
      <c r="F44" s="12">
        <v>5</v>
      </c>
      <c r="G44" s="12"/>
      <c r="H44" s="12"/>
      <c r="I44" s="27"/>
      <c r="J44" s="27"/>
      <c r="K44" s="13">
        <f t="shared" si="1"/>
        <v>38.4</v>
      </c>
    </row>
    <row r="45" s="1" customFormat="1" ht="21" customHeight="1" spans="1:11">
      <c r="A45" s="27"/>
      <c r="B45" s="27"/>
      <c r="C45" s="38" t="s">
        <v>224</v>
      </c>
      <c r="D45" s="12">
        <v>0</v>
      </c>
      <c r="E45" s="12">
        <v>0</v>
      </c>
      <c r="F45" s="12">
        <v>5</v>
      </c>
      <c r="G45" s="12"/>
      <c r="H45" s="12"/>
      <c r="I45" s="27"/>
      <c r="J45" s="27"/>
      <c r="K45" s="13">
        <f t="shared" si="1"/>
        <v>5</v>
      </c>
    </row>
    <row r="46" s="1" customFormat="1" ht="21" customHeight="1" spans="1:11">
      <c r="A46" s="39" t="s">
        <v>225</v>
      </c>
      <c r="B46" s="39">
        <v>10.5</v>
      </c>
      <c r="C46" s="27" t="s">
        <v>226</v>
      </c>
      <c r="D46" s="12">
        <v>16.7</v>
      </c>
      <c r="E46" s="12">
        <v>16.7</v>
      </c>
      <c r="F46" s="12">
        <v>5</v>
      </c>
      <c r="G46" s="12"/>
      <c r="H46" s="12"/>
      <c r="I46" s="27"/>
      <c r="J46" s="27"/>
      <c r="K46" s="13">
        <f t="shared" si="1"/>
        <v>38.4</v>
      </c>
    </row>
    <row r="47" s="1" customFormat="1" ht="21" customHeight="1" spans="1:11">
      <c r="A47" s="39"/>
      <c r="B47" s="39"/>
      <c r="C47" s="27" t="s">
        <v>250</v>
      </c>
      <c r="D47" s="12">
        <v>16.7</v>
      </c>
      <c r="E47" s="12">
        <v>16.7</v>
      </c>
      <c r="F47" s="12">
        <v>5</v>
      </c>
      <c r="G47" s="12"/>
      <c r="H47" s="12"/>
      <c r="I47" s="27"/>
      <c r="J47" s="27"/>
      <c r="K47" s="13">
        <f t="shared" si="1"/>
        <v>38.4</v>
      </c>
    </row>
    <row r="48" s="1" customFormat="1" ht="21" customHeight="1" spans="1:11">
      <c r="A48" s="39"/>
      <c r="B48" s="39"/>
      <c r="C48" s="27" t="s">
        <v>228</v>
      </c>
      <c r="D48" s="12">
        <v>16.7</v>
      </c>
      <c r="E48" s="12">
        <v>16.7</v>
      </c>
      <c r="F48" s="12">
        <v>5</v>
      </c>
      <c r="G48" s="12"/>
      <c r="H48" s="12"/>
      <c r="I48" s="27"/>
      <c r="J48" s="27"/>
      <c r="K48" s="13">
        <f t="shared" si="1"/>
        <v>38.4</v>
      </c>
    </row>
    <row r="49" s="1" customFormat="1" ht="21" customHeight="1" spans="1:11">
      <c r="A49" s="39"/>
      <c r="B49" s="39"/>
      <c r="C49" s="27" t="s">
        <v>227</v>
      </c>
      <c r="D49" s="12">
        <v>0</v>
      </c>
      <c r="E49" s="12">
        <v>0</v>
      </c>
      <c r="F49" s="12">
        <v>0</v>
      </c>
      <c r="G49" s="12"/>
      <c r="H49" s="12"/>
      <c r="I49" s="27"/>
      <c r="J49" s="27"/>
      <c r="K49" s="13">
        <f t="shared" si="1"/>
        <v>0</v>
      </c>
    </row>
    <row r="50" s="1" customFormat="1" ht="21" customHeight="1" spans="1:11">
      <c r="A50" s="39"/>
      <c r="B50" s="39"/>
      <c r="C50" s="27" t="s">
        <v>229</v>
      </c>
      <c r="D50" s="12">
        <v>0</v>
      </c>
      <c r="E50" s="12">
        <v>0</v>
      </c>
      <c r="F50" s="12">
        <v>0</v>
      </c>
      <c r="G50" s="12"/>
      <c r="H50" s="12"/>
      <c r="I50" s="27"/>
      <c r="J50" s="40"/>
      <c r="K50" s="13">
        <f t="shared" si="1"/>
        <v>0</v>
      </c>
    </row>
    <row r="51" s="1" customFormat="1" ht="21" customHeight="1" spans="1:11">
      <c r="A51" s="39"/>
      <c r="B51" s="39"/>
      <c r="C51" s="27" t="s">
        <v>240</v>
      </c>
      <c r="D51" s="12">
        <v>16.7</v>
      </c>
      <c r="E51" s="12">
        <v>16.7</v>
      </c>
      <c r="F51" s="12">
        <v>5</v>
      </c>
      <c r="G51" s="12"/>
      <c r="H51" s="12"/>
      <c r="I51" s="27"/>
      <c r="J51" s="40"/>
      <c r="K51" s="13">
        <f t="shared" si="1"/>
        <v>38.4</v>
      </c>
    </row>
    <row r="52" s="1" customFormat="1" ht="21" customHeight="1" spans="1:11">
      <c r="A52" s="12" t="s">
        <v>230</v>
      </c>
      <c r="B52" s="12">
        <v>10.5</v>
      </c>
      <c r="C52" s="27" t="s">
        <v>231</v>
      </c>
      <c r="D52" s="27">
        <v>10</v>
      </c>
      <c r="E52" s="27">
        <v>10</v>
      </c>
      <c r="F52" s="27">
        <v>10</v>
      </c>
      <c r="G52" s="27"/>
      <c r="H52" s="27"/>
      <c r="I52" s="27"/>
      <c r="J52" s="40"/>
      <c r="K52" s="13">
        <f t="shared" si="1"/>
        <v>30</v>
      </c>
    </row>
    <row r="53" s="1" customFormat="1" ht="21" customHeight="1" spans="1:11">
      <c r="A53" s="27" t="s">
        <v>232</v>
      </c>
      <c r="B53" s="27">
        <v>12</v>
      </c>
      <c r="C53" s="27" t="s">
        <v>233</v>
      </c>
      <c r="D53" s="27">
        <v>12</v>
      </c>
      <c r="E53" s="27">
        <v>12</v>
      </c>
      <c r="F53" s="27">
        <v>12</v>
      </c>
      <c r="G53" s="27"/>
      <c r="H53" s="27"/>
      <c r="I53" s="27"/>
      <c r="J53" s="40"/>
      <c r="K53" s="13">
        <f t="shared" si="1"/>
        <v>36</v>
      </c>
    </row>
    <row r="54" s="1" customFormat="1" ht="21" customHeight="1" spans="1:11">
      <c r="A54" s="38"/>
      <c r="B54" s="41"/>
      <c r="C54" s="41"/>
      <c r="D54" s="41"/>
      <c r="E54" s="41"/>
      <c r="F54" s="30"/>
      <c r="G54" s="41"/>
      <c r="H54" s="41"/>
      <c r="I54" s="41"/>
      <c r="J54" s="41"/>
      <c r="K54" s="31">
        <f>SUM(K31:K53)</f>
        <v>791</v>
      </c>
    </row>
    <row r="56" s="2" customFormat="1" ht="21.75" customHeight="1" spans="1:11">
      <c r="A56" s="42" t="s">
        <v>461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="2" customFormat="1" ht="21.75" customHeight="1" spans="1:11">
      <c r="A57" s="35" t="s">
        <v>235</v>
      </c>
      <c r="B57" s="36"/>
      <c r="C57" s="36"/>
      <c r="D57" s="37" t="s">
        <v>464</v>
      </c>
      <c r="E57" s="36"/>
      <c r="F57" s="36"/>
      <c r="G57" s="36"/>
      <c r="H57" s="36"/>
      <c r="I57" s="36"/>
      <c r="J57" s="36"/>
      <c r="K57" s="36"/>
    </row>
    <row r="58" s="2" customFormat="1" ht="21.75" customHeight="1" spans="1:11">
      <c r="A58" s="27" t="s">
        <v>200</v>
      </c>
      <c r="B58" s="27" t="s">
        <v>201</v>
      </c>
      <c r="C58" s="38" t="s">
        <v>202</v>
      </c>
      <c r="D58" s="12" t="s">
        <v>6</v>
      </c>
      <c r="E58" s="12" t="s">
        <v>6</v>
      </c>
      <c r="F58" s="27" t="s">
        <v>6</v>
      </c>
      <c r="G58" s="27" t="s">
        <v>6</v>
      </c>
      <c r="H58" s="27" t="s">
        <v>6</v>
      </c>
      <c r="I58" s="27" t="s">
        <v>6</v>
      </c>
      <c r="J58" s="27" t="s">
        <v>203</v>
      </c>
      <c r="K58" s="27" t="s">
        <v>204</v>
      </c>
    </row>
    <row r="59" s="2" customFormat="1" ht="21.75" customHeight="1" spans="1:11">
      <c r="A59" s="27" t="s">
        <v>205</v>
      </c>
      <c r="B59" s="27">
        <v>12</v>
      </c>
      <c r="C59" s="38" t="s">
        <v>206</v>
      </c>
      <c r="D59" s="11">
        <v>12</v>
      </c>
      <c r="E59" s="11">
        <v>12</v>
      </c>
      <c r="F59" s="11">
        <v>12</v>
      </c>
      <c r="G59" s="11">
        <v>10</v>
      </c>
      <c r="H59" s="11">
        <v>10</v>
      </c>
      <c r="I59" s="27"/>
      <c r="J59" s="27"/>
      <c r="K59" s="27">
        <f t="shared" ref="K59:K79" si="2">SUM(D59:J59)</f>
        <v>56</v>
      </c>
    </row>
    <row r="60" s="2" customFormat="1" ht="21.75" customHeight="1" spans="1:11">
      <c r="A60" s="43" t="s">
        <v>207</v>
      </c>
      <c r="B60" s="12">
        <v>11.5</v>
      </c>
      <c r="C60" s="38" t="s">
        <v>208</v>
      </c>
      <c r="D60" s="11">
        <v>17.5</v>
      </c>
      <c r="E60" s="11">
        <v>17.5</v>
      </c>
      <c r="F60" s="11">
        <v>17.5</v>
      </c>
      <c r="G60" s="11">
        <v>10</v>
      </c>
      <c r="H60" s="11">
        <v>5</v>
      </c>
      <c r="I60" s="27"/>
      <c r="J60" s="27"/>
      <c r="K60" s="27">
        <f t="shared" si="2"/>
        <v>67.5</v>
      </c>
    </row>
    <row r="61" s="2" customFormat="1" ht="21.75" customHeight="1" spans="1:11">
      <c r="A61" s="44"/>
      <c r="B61" s="39"/>
      <c r="C61" s="38" t="s">
        <v>210</v>
      </c>
      <c r="D61" s="11">
        <v>17.5</v>
      </c>
      <c r="E61" s="11">
        <v>17.5</v>
      </c>
      <c r="F61" s="11">
        <v>17.5</v>
      </c>
      <c r="G61" s="11">
        <v>15</v>
      </c>
      <c r="H61" s="11">
        <v>5</v>
      </c>
      <c r="I61" s="27"/>
      <c r="J61" s="27"/>
      <c r="K61" s="27">
        <f t="shared" si="2"/>
        <v>72.5</v>
      </c>
    </row>
    <row r="62" s="2" customFormat="1" ht="21.75" customHeight="1" spans="1:11">
      <c r="A62" s="43" t="s">
        <v>211</v>
      </c>
      <c r="B62" s="12">
        <v>11.5</v>
      </c>
      <c r="C62" s="38" t="s">
        <v>212</v>
      </c>
      <c r="D62" s="11">
        <v>11.5</v>
      </c>
      <c r="E62" s="11">
        <v>11.5</v>
      </c>
      <c r="F62" s="11">
        <v>11.5</v>
      </c>
      <c r="G62" s="11">
        <v>11</v>
      </c>
      <c r="H62" s="11">
        <v>10</v>
      </c>
      <c r="I62" s="27"/>
      <c r="J62" s="27"/>
      <c r="K62" s="27">
        <f t="shared" si="2"/>
        <v>55.5</v>
      </c>
    </row>
    <row r="63" s="2" customFormat="1" ht="21.75" customHeight="1" spans="1:11">
      <c r="A63" s="44"/>
      <c r="B63" s="39"/>
      <c r="C63" s="38" t="s">
        <v>213</v>
      </c>
      <c r="D63" s="11">
        <v>11.5</v>
      </c>
      <c r="E63" s="11">
        <v>11.5</v>
      </c>
      <c r="F63" s="11">
        <v>11.5</v>
      </c>
      <c r="G63" s="11">
        <v>11</v>
      </c>
      <c r="H63" s="11">
        <v>5</v>
      </c>
      <c r="I63" s="27"/>
      <c r="J63" s="27"/>
      <c r="K63" s="27">
        <f t="shared" si="2"/>
        <v>50.5</v>
      </c>
    </row>
    <row r="64" s="2" customFormat="1" ht="21.75" customHeight="1" spans="1:11">
      <c r="A64" s="44"/>
      <c r="B64" s="39"/>
      <c r="C64" s="27" t="s">
        <v>214</v>
      </c>
      <c r="D64" s="11">
        <v>11.5</v>
      </c>
      <c r="E64" s="11">
        <v>11.5</v>
      </c>
      <c r="F64" s="11">
        <v>11.5</v>
      </c>
      <c r="G64" s="11">
        <v>11</v>
      </c>
      <c r="H64" s="11">
        <v>5</v>
      </c>
      <c r="I64" s="27"/>
      <c r="J64" s="27"/>
      <c r="K64" s="27">
        <f t="shared" si="2"/>
        <v>50.5</v>
      </c>
    </row>
    <row r="65" s="2" customFormat="1" ht="21.75" customHeight="1" spans="1:11">
      <c r="A65" s="44"/>
      <c r="B65" s="39"/>
      <c r="C65" s="38" t="s">
        <v>216</v>
      </c>
      <c r="D65" s="11">
        <v>11.5</v>
      </c>
      <c r="E65" s="11">
        <v>11.5</v>
      </c>
      <c r="F65" s="11">
        <v>11.5</v>
      </c>
      <c r="G65" s="11">
        <v>11</v>
      </c>
      <c r="H65" s="11">
        <v>10</v>
      </c>
      <c r="I65" s="12"/>
      <c r="J65" s="27"/>
      <c r="K65" s="27">
        <f t="shared" si="2"/>
        <v>55.5</v>
      </c>
    </row>
    <row r="66" s="2" customFormat="1" ht="21.75" customHeight="1" spans="1:11">
      <c r="A66" s="45"/>
      <c r="B66" s="46"/>
      <c r="C66" s="38" t="s">
        <v>215</v>
      </c>
      <c r="D66" s="11">
        <v>11.5</v>
      </c>
      <c r="E66" s="11">
        <v>11.5</v>
      </c>
      <c r="F66" s="11">
        <v>11.5</v>
      </c>
      <c r="G66" s="11">
        <v>11</v>
      </c>
      <c r="H66" s="11">
        <v>10</v>
      </c>
      <c r="I66" s="12"/>
      <c r="J66" s="27"/>
      <c r="K66" s="27">
        <f t="shared" si="2"/>
        <v>55.5</v>
      </c>
    </row>
    <row r="67" s="2" customFormat="1" ht="21.75" customHeight="1" spans="1:11">
      <c r="A67" s="27" t="s">
        <v>217</v>
      </c>
      <c r="B67" s="27">
        <v>10.5</v>
      </c>
      <c r="C67" s="27" t="s">
        <v>218</v>
      </c>
      <c r="D67" s="11">
        <v>10</v>
      </c>
      <c r="E67" s="11">
        <v>10</v>
      </c>
      <c r="F67" s="11">
        <v>10</v>
      </c>
      <c r="G67" s="11">
        <v>5</v>
      </c>
      <c r="H67" s="11">
        <v>5</v>
      </c>
      <c r="I67" s="27"/>
      <c r="J67" s="27"/>
      <c r="K67" s="27">
        <f t="shared" si="2"/>
        <v>40</v>
      </c>
    </row>
    <row r="68" s="2" customFormat="1" ht="21.75" customHeight="1" spans="1:11">
      <c r="A68" s="27"/>
      <c r="B68" s="27"/>
      <c r="C68" s="27" t="s">
        <v>219</v>
      </c>
      <c r="D68" s="11">
        <v>40</v>
      </c>
      <c r="E68" s="11">
        <v>40</v>
      </c>
      <c r="F68" s="11">
        <v>40</v>
      </c>
      <c r="G68" s="11">
        <v>0</v>
      </c>
      <c r="H68" s="11">
        <v>0</v>
      </c>
      <c r="I68" s="27"/>
      <c r="J68" s="27"/>
      <c r="K68" s="27">
        <f t="shared" si="2"/>
        <v>120</v>
      </c>
    </row>
    <row r="69" s="2" customFormat="1" ht="21.75" customHeight="1" spans="1:11">
      <c r="A69" s="27" t="s">
        <v>220</v>
      </c>
      <c r="B69" s="27">
        <v>11.5</v>
      </c>
      <c r="C69" s="38" t="s">
        <v>221</v>
      </c>
      <c r="D69" s="11">
        <v>19.5</v>
      </c>
      <c r="E69" s="11">
        <v>19.5</v>
      </c>
      <c r="F69" s="11">
        <v>19.5</v>
      </c>
      <c r="G69" s="11">
        <v>5</v>
      </c>
      <c r="H69" s="11">
        <v>5</v>
      </c>
      <c r="I69" s="27"/>
      <c r="J69" s="27"/>
      <c r="K69" s="27">
        <f t="shared" si="2"/>
        <v>68.5</v>
      </c>
    </row>
    <row r="70" s="2" customFormat="1" ht="21.75" customHeight="1" spans="1:11">
      <c r="A70" s="27"/>
      <c r="B70" s="27"/>
      <c r="C70" s="38" t="s">
        <v>222</v>
      </c>
      <c r="D70" s="11">
        <v>19.5</v>
      </c>
      <c r="E70" s="11">
        <v>19.5</v>
      </c>
      <c r="F70" s="11">
        <v>19.5</v>
      </c>
      <c r="G70" s="11">
        <v>5</v>
      </c>
      <c r="H70" s="11">
        <v>5</v>
      </c>
      <c r="I70" s="27"/>
      <c r="J70" s="27"/>
      <c r="K70" s="27">
        <f t="shared" si="2"/>
        <v>68.5</v>
      </c>
    </row>
    <row r="71" s="2" customFormat="1" ht="21.75" customHeight="1" spans="1:11">
      <c r="A71" s="27"/>
      <c r="B71" s="27"/>
      <c r="C71" s="38" t="s">
        <v>223</v>
      </c>
      <c r="D71" s="11">
        <v>50</v>
      </c>
      <c r="E71" s="11">
        <v>50</v>
      </c>
      <c r="F71" s="11">
        <v>50</v>
      </c>
      <c r="G71" s="23">
        <v>0</v>
      </c>
      <c r="H71" s="23">
        <v>0</v>
      </c>
      <c r="I71" s="27"/>
      <c r="J71" s="27"/>
      <c r="K71" s="27">
        <f t="shared" si="2"/>
        <v>150</v>
      </c>
    </row>
    <row r="72" s="2" customFormat="1" ht="21.75" customHeight="1" spans="1:11">
      <c r="A72" s="27"/>
      <c r="B72" s="27"/>
      <c r="C72" s="38" t="s">
        <v>224</v>
      </c>
      <c r="D72" s="24">
        <v>73.5</v>
      </c>
      <c r="E72" s="24">
        <v>73.5</v>
      </c>
      <c r="F72" s="24">
        <v>73.5</v>
      </c>
      <c r="G72" s="24">
        <v>5</v>
      </c>
      <c r="H72" s="24">
        <v>5</v>
      </c>
      <c r="I72" s="27"/>
      <c r="J72" s="27"/>
      <c r="K72" s="27">
        <f t="shared" si="2"/>
        <v>230.5</v>
      </c>
    </row>
    <row r="73" s="2" customFormat="1" ht="21.75" customHeight="1" spans="1:11">
      <c r="A73" s="39" t="s">
        <v>225</v>
      </c>
      <c r="B73" s="39">
        <v>10.5</v>
      </c>
      <c r="C73" s="27" t="s">
        <v>226</v>
      </c>
      <c r="D73" s="11">
        <v>23</v>
      </c>
      <c r="E73" s="11">
        <v>23</v>
      </c>
      <c r="F73" s="11">
        <v>23</v>
      </c>
      <c r="G73" s="11">
        <v>10</v>
      </c>
      <c r="H73" s="11">
        <v>10</v>
      </c>
      <c r="I73" s="27"/>
      <c r="J73" s="27"/>
      <c r="K73" s="27">
        <f t="shared" si="2"/>
        <v>89</v>
      </c>
    </row>
    <row r="74" s="2" customFormat="1" ht="21.75" customHeight="1" spans="1:11">
      <c r="A74" s="39"/>
      <c r="B74" s="39"/>
      <c r="C74" s="27" t="s">
        <v>228</v>
      </c>
      <c r="D74" s="11">
        <v>40</v>
      </c>
      <c r="E74" s="11">
        <v>40</v>
      </c>
      <c r="F74" s="11">
        <v>40</v>
      </c>
      <c r="G74" s="11">
        <v>0</v>
      </c>
      <c r="H74" s="11">
        <v>0</v>
      </c>
      <c r="I74" s="27"/>
      <c r="J74" s="27"/>
      <c r="K74" s="27">
        <f t="shared" si="2"/>
        <v>120</v>
      </c>
    </row>
    <row r="75" s="2" customFormat="1" ht="21.75" customHeight="1" spans="1:11">
      <c r="A75" s="39"/>
      <c r="B75" s="39"/>
      <c r="C75" s="27" t="s">
        <v>227</v>
      </c>
      <c r="D75" s="11">
        <v>40</v>
      </c>
      <c r="E75" s="11">
        <v>40</v>
      </c>
      <c r="F75" s="11">
        <v>40</v>
      </c>
      <c r="G75" s="11">
        <v>0</v>
      </c>
      <c r="H75" s="11">
        <v>0</v>
      </c>
      <c r="I75" s="27"/>
      <c r="J75" s="27"/>
      <c r="K75" s="27">
        <f t="shared" si="2"/>
        <v>120</v>
      </c>
    </row>
    <row r="76" s="2" customFormat="1" ht="21.75" customHeight="1" spans="1:11">
      <c r="A76" s="39"/>
      <c r="B76" s="39"/>
      <c r="C76" s="27" t="s">
        <v>229</v>
      </c>
      <c r="D76" s="11">
        <v>11.5</v>
      </c>
      <c r="E76" s="11">
        <v>11.5</v>
      </c>
      <c r="F76" s="11">
        <v>11.5</v>
      </c>
      <c r="G76" s="11">
        <v>5</v>
      </c>
      <c r="H76" s="11">
        <v>5</v>
      </c>
      <c r="I76" s="27"/>
      <c r="J76" s="40"/>
      <c r="K76" s="27">
        <f t="shared" si="2"/>
        <v>44.5</v>
      </c>
    </row>
    <row r="77" s="2" customFormat="1" ht="21.75" customHeight="1" spans="1:11">
      <c r="A77" s="39"/>
      <c r="B77" s="39"/>
      <c r="C77" s="27" t="s">
        <v>240</v>
      </c>
      <c r="D77" s="11">
        <v>11.5</v>
      </c>
      <c r="E77" s="11">
        <v>11.5</v>
      </c>
      <c r="F77" s="11">
        <v>11.5</v>
      </c>
      <c r="G77" s="11">
        <v>5</v>
      </c>
      <c r="H77" s="11">
        <v>5</v>
      </c>
      <c r="I77" s="27"/>
      <c r="J77" s="40"/>
      <c r="K77" s="27">
        <f t="shared" si="2"/>
        <v>44.5</v>
      </c>
    </row>
    <row r="78" s="2" customFormat="1" ht="21.75" customHeight="1" spans="1:11">
      <c r="A78" s="12" t="s">
        <v>230</v>
      </c>
      <c r="B78" s="12">
        <v>10.5</v>
      </c>
      <c r="C78" s="27" t="s">
        <v>231</v>
      </c>
      <c r="D78" s="11">
        <v>10.5</v>
      </c>
      <c r="E78" s="11">
        <v>10.5</v>
      </c>
      <c r="F78" s="11">
        <v>10.5</v>
      </c>
      <c r="G78" s="11">
        <v>10.5</v>
      </c>
      <c r="H78" s="11">
        <v>10.5</v>
      </c>
      <c r="I78" s="27"/>
      <c r="J78" s="40"/>
      <c r="K78" s="27">
        <f t="shared" si="2"/>
        <v>52.5</v>
      </c>
    </row>
    <row r="79" s="2" customFormat="1" ht="21.75" customHeight="1" spans="1:11">
      <c r="A79" s="27" t="s">
        <v>232</v>
      </c>
      <c r="B79" s="27">
        <v>12</v>
      </c>
      <c r="C79" s="27" t="s">
        <v>233</v>
      </c>
      <c r="D79" s="22">
        <v>12</v>
      </c>
      <c r="E79" s="22">
        <v>12</v>
      </c>
      <c r="F79" s="22">
        <v>12</v>
      </c>
      <c r="G79" s="22">
        <v>12</v>
      </c>
      <c r="H79" s="22">
        <v>12</v>
      </c>
      <c r="I79" s="27"/>
      <c r="J79" s="40"/>
      <c r="K79" s="27">
        <f t="shared" si="2"/>
        <v>60</v>
      </c>
    </row>
    <row r="80" s="2" customFormat="1" ht="21.75" customHeight="1" spans="1:11">
      <c r="A80" s="38"/>
      <c r="B80" s="41"/>
      <c r="C80" s="41"/>
      <c r="D80" s="41"/>
      <c r="E80" s="41"/>
      <c r="F80" s="41"/>
      <c r="G80" s="41"/>
      <c r="H80" s="41"/>
      <c r="I80" s="41"/>
      <c r="J80" s="40"/>
      <c r="K80" s="47">
        <f>SUM(K59:K79)</f>
        <v>1671.5</v>
      </c>
    </row>
    <row r="84" s="2" customFormat="1" ht="24" customHeight="1" spans="1:11">
      <c r="A84" s="48" t="s">
        <v>461</v>
      </c>
      <c r="B84" s="49"/>
      <c r="C84" s="49"/>
      <c r="D84" s="49"/>
      <c r="E84" s="49"/>
      <c r="F84" s="49"/>
      <c r="G84" s="49"/>
      <c r="H84" s="49"/>
      <c r="I84" s="49"/>
      <c r="J84" s="49"/>
      <c r="K84" s="50"/>
    </row>
    <row r="85" s="2" customFormat="1" ht="24" customHeight="1" spans="1:11">
      <c r="A85" s="51" t="s">
        <v>257</v>
      </c>
      <c r="B85" s="52"/>
      <c r="C85" s="52"/>
      <c r="D85" s="53" t="s">
        <v>465</v>
      </c>
      <c r="E85" s="52"/>
      <c r="F85" s="52"/>
      <c r="G85" s="52"/>
      <c r="H85" s="52"/>
      <c r="I85" s="52"/>
      <c r="J85" s="52"/>
      <c r="K85" s="52"/>
    </row>
    <row r="86" s="2" customFormat="1" ht="24" customHeight="1" spans="1:11">
      <c r="A86" s="47" t="s">
        <v>200</v>
      </c>
      <c r="B86" s="47" t="s">
        <v>201</v>
      </c>
      <c r="C86" s="54" t="s">
        <v>202</v>
      </c>
      <c r="D86" s="55" t="s">
        <v>6</v>
      </c>
      <c r="E86" s="55" t="s">
        <v>6</v>
      </c>
      <c r="F86" s="47" t="s">
        <v>6</v>
      </c>
      <c r="G86" s="47" t="s">
        <v>6</v>
      </c>
      <c r="H86" s="47" t="s">
        <v>6</v>
      </c>
      <c r="I86" s="47" t="s">
        <v>6</v>
      </c>
      <c r="J86" s="47" t="s">
        <v>203</v>
      </c>
      <c r="K86" s="47" t="s">
        <v>204</v>
      </c>
    </row>
    <row r="87" s="2" customFormat="1" ht="24" customHeight="1" spans="1:11">
      <c r="A87" s="55" t="s">
        <v>205</v>
      </c>
      <c r="B87" s="47">
        <v>12</v>
      </c>
      <c r="C87" s="54" t="s">
        <v>206</v>
      </c>
      <c r="D87" s="12">
        <v>12</v>
      </c>
      <c r="E87" s="12">
        <v>5</v>
      </c>
      <c r="F87" s="13"/>
      <c r="G87" s="55"/>
      <c r="H87" s="55"/>
      <c r="I87" s="47"/>
      <c r="J87" s="47"/>
      <c r="K87" s="56">
        <f t="shared" ref="K87:K107" si="3">SUM(D87:J87)</f>
        <v>17</v>
      </c>
    </row>
    <row r="88" s="2" customFormat="1" ht="24" customHeight="1" spans="1:11">
      <c r="A88" s="57" t="s">
        <v>207</v>
      </c>
      <c r="B88" s="58">
        <v>11.5</v>
      </c>
      <c r="C88" s="54" t="s">
        <v>208</v>
      </c>
      <c r="D88" s="12">
        <v>11.5</v>
      </c>
      <c r="E88" s="12">
        <v>5</v>
      </c>
      <c r="F88" s="13"/>
      <c r="G88" s="55"/>
      <c r="H88" s="55"/>
      <c r="I88" s="47"/>
      <c r="J88" s="47"/>
      <c r="K88" s="56">
        <f t="shared" si="3"/>
        <v>16.5</v>
      </c>
    </row>
    <row r="89" s="2" customFormat="1" ht="24" customHeight="1" spans="1:11">
      <c r="A89" s="57"/>
      <c r="B89" s="58"/>
      <c r="C89" s="54" t="s">
        <v>210</v>
      </c>
      <c r="D89" s="12">
        <v>23</v>
      </c>
      <c r="E89" s="12">
        <v>5</v>
      </c>
      <c r="F89" s="13"/>
      <c r="G89" s="55"/>
      <c r="H89" s="55"/>
      <c r="I89" s="47"/>
      <c r="J89" s="47"/>
      <c r="K89" s="56">
        <f t="shared" si="3"/>
        <v>28</v>
      </c>
    </row>
    <row r="90" s="2" customFormat="1" ht="24" customHeight="1" spans="1:11">
      <c r="A90" s="59" t="s">
        <v>237</v>
      </c>
      <c r="B90" s="60">
        <v>11.5</v>
      </c>
      <c r="C90" s="61" t="s">
        <v>212</v>
      </c>
      <c r="D90" s="27">
        <v>11.5</v>
      </c>
      <c r="E90" s="12">
        <v>5</v>
      </c>
      <c r="F90" s="13"/>
      <c r="G90" s="55"/>
      <c r="H90" s="55"/>
      <c r="I90" s="47"/>
      <c r="J90" s="47"/>
      <c r="K90" s="56">
        <f t="shared" si="3"/>
        <v>16.5</v>
      </c>
    </row>
    <row r="91" s="2" customFormat="1" ht="24" customHeight="1" spans="1:11">
      <c r="A91" s="59"/>
      <c r="B91" s="60"/>
      <c r="C91" s="3" t="s">
        <v>215</v>
      </c>
      <c r="D91" s="27">
        <v>10</v>
      </c>
      <c r="E91" s="12">
        <v>0</v>
      </c>
      <c r="F91" s="13"/>
      <c r="G91" s="55"/>
      <c r="H91" s="55"/>
      <c r="I91" s="47"/>
      <c r="J91" s="47"/>
      <c r="K91" s="56">
        <f t="shared" si="3"/>
        <v>10</v>
      </c>
    </row>
    <row r="92" s="2" customFormat="1" ht="24" customHeight="1" spans="1:11">
      <c r="A92" s="62" t="s">
        <v>238</v>
      </c>
      <c r="B92" s="60"/>
      <c r="C92" s="61" t="s">
        <v>213</v>
      </c>
      <c r="D92" s="27">
        <v>11.5</v>
      </c>
      <c r="E92" s="12"/>
      <c r="F92" s="13"/>
      <c r="G92" s="55"/>
      <c r="H92" s="55"/>
      <c r="I92" s="47"/>
      <c r="J92" s="47"/>
      <c r="K92" s="56">
        <f t="shared" si="3"/>
        <v>11.5</v>
      </c>
    </row>
    <row r="93" s="2" customFormat="1" ht="24" customHeight="1" spans="1:11">
      <c r="A93" s="62"/>
      <c r="B93" s="60"/>
      <c r="C93" s="61" t="s">
        <v>216</v>
      </c>
      <c r="D93" s="27">
        <v>10</v>
      </c>
      <c r="E93" s="12">
        <v>5</v>
      </c>
      <c r="F93" s="13"/>
      <c r="G93" s="55"/>
      <c r="H93" s="55"/>
      <c r="I93" s="55"/>
      <c r="J93" s="47"/>
      <c r="K93" s="56">
        <f t="shared" si="3"/>
        <v>15</v>
      </c>
    </row>
    <row r="94" s="2" customFormat="1" ht="24" customHeight="1" spans="1:11">
      <c r="A94" s="57" t="s">
        <v>239</v>
      </c>
      <c r="B94" s="60"/>
      <c r="C94" s="56" t="s">
        <v>214</v>
      </c>
      <c r="D94" s="27">
        <v>10</v>
      </c>
      <c r="E94" s="12">
        <v>0</v>
      </c>
      <c r="F94" s="13"/>
      <c r="G94" s="55"/>
      <c r="H94" s="55"/>
      <c r="I94" s="55"/>
      <c r="J94" s="47"/>
      <c r="K94" s="56">
        <f t="shared" si="3"/>
        <v>10</v>
      </c>
    </row>
    <row r="95" s="2" customFormat="1" ht="24" customHeight="1" spans="1:11">
      <c r="A95" s="63" t="s">
        <v>217</v>
      </c>
      <c r="B95" s="47">
        <v>10.5</v>
      </c>
      <c r="C95" s="47" t="s">
        <v>218</v>
      </c>
      <c r="D95" s="27">
        <v>10</v>
      </c>
      <c r="E95" s="12">
        <v>0</v>
      </c>
      <c r="F95" s="13"/>
      <c r="G95" s="55"/>
      <c r="H95" s="55"/>
      <c r="I95" s="47"/>
      <c r="J95" s="47"/>
      <c r="K95" s="56">
        <f t="shared" si="3"/>
        <v>10</v>
      </c>
    </row>
    <row r="96" s="2" customFormat="1" ht="24" customHeight="1" spans="1:11">
      <c r="A96" s="47"/>
      <c r="B96" s="47"/>
      <c r="C96" s="47" t="s">
        <v>219</v>
      </c>
      <c r="D96" s="27">
        <v>10</v>
      </c>
      <c r="E96" s="12">
        <v>0</v>
      </c>
      <c r="F96" s="13"/>
      <c r="G96" s="55"/>
      <c r="H96" s="55"/>
      <c r="I96" s="47"/>
      <c r="J96" s="47"/>
      <c r="K96" s="56">
        <f t="shared" si="3"/>
        <v>10</v>
      </c>
    </row>
    <row r="97" s="2" customFormat="1" ht="24" customHeight="1" spans="1:11">
      <c r="A97" s="47" t="s">
        <v>220</v>
      </c>
      <c r="B97" s="47">
        <v>11.5</v>
      </c>
      <c r="C97" s="54" t="s">
        <v>221</v>
      </c>
      <c r="D97" s="12">
        <v>20</v>
      </c>
      <c r="E97" s="12">
        <v>5</v>
      </c>
      <c r="F97" s="13"/>
      <c r="G97" s="55"/>
      <c r="H97" s="55"/>
      <c r="I97" s="47"/>
      <c r="J97" s="47"/>
      <c r="K97" s="56">
        <f t="shared" si="3"/>
        <v>25</v>
      </c>
    </row>
    <row r="98" s="2" customFormat="1" ht="24" customHeight="1" spans="1:11">
      <c r="A98" s="47"/>
      <c r="B98" s="47"/>
      <c r="C98" s="54" t="s">
        <v>222</v>
      </c>
      <c r="D98" s="12">
        <v>10</v>
      </c>
      <c r="E98" s="12">
        <v>0</v>
      </c>
      <c r="F98" s="13"/>
      <c r="G98" s="55"/>
      <c r="H98" s="55"/>
      <c r="I98" s="47"/>
      <c r="J98" s="47"/>
      <c r="K98" s="56">
        <f t="shared" si="3"/>
        <v>10</v>
      </c>
    </row>
    <row r="99" s="2" customFormat="1" ht="24" customHeight="1" spans="1:11">
      <c r="A99" s="47"/>
      <c r="B99" s="47"/>
      <c r="C99" s="54" t="s">
        <v>223</v>
      </c>
      <c r="D99" s="12">
        <v>10</v>
      </c>
      <c r="E99" s="12">
        <v>5</v>
      </c>
      <c r="F99" s="13"/>
      <c r="G99" s="55"/>
      <c r="H99" s="55"/>
      <c r="I99" s="47"/>
      <c r="J99" s="47"/>
      <c r="K99" s="56">
        <f t="shared" si="3"/>
        <v>15</v>
      </c>
    </row>
    <row r="100" s="2" customFormat="1" ht="24" customHeight="1" spans="1:11">
      <c r="A100" s="47"/>
      <c r="B100" s="47"/>
      <c r="C100" s="54" t="s">
        <v>224</v>
      </c>
      <c r="D100" s="12">
        <v>78</v>
      </c>
      <c r="E100" s="12">
        <v>5</v>
      </c>
      <c r="F100" s="13"/>
      <c r="G100" s="55"/>
      <c r="H100" s="55"/>
      <c r="I100" s="47"/>
      <c r="J100" s="47"/>
      <c r="K100" s="56">
        <f t="shared" si="3"/>
        <v>83</v>
      </c>
    </row>
    <row r="101" s="2" customFormat="1" ht="24" customHeight="1" spans="1:11">
      <c r="A101" s="64" t="s">
        <v>225</v>
      </c>
      <c r="B101" s="64">
        <v>10.5</v>
      </c>
      <c r="C101" s="47" t="s">
        <v>226</v>
      </c>
      <c r="D101" s="12">
        <v>6</v>
      </c>
      <c r="E101" s="12">
        <v>5</v>
      </c>
      <c r="F101" s="28"/>
      <c r="G101" s="55"/>
      <c r="H101" s="55"/>
      <c r="I101" s="47"/>
      <c r="J101" s="47"/>
      <c r="K101" s="56">
        <f t="shared" si="3"/>
        <v>11</v>
      </c>
    </row>
    <row r="102" s="2" customFormat="1" ht="24" customHeight="1" spans="1:11">
      <c r="A102" s="64"/>
      <c r="B102" s="64"/>
      <c r="C102" s="47" t="s">
        <v>228</v>
      </c>
      <c r="D102" s="12">
        <v>6</v>
      </c>
      <c r="E102" s="12">
        <v>0</v>
      </c>
      <c r="F102" s="13"/>
      <c r="G102" s="55"/>
      <c r="H102" s="55"/>
      <c r="I102" s="47"/>
      <c r="J102" s="47"/>
      <c r="K102" s="56">
        <f t="shared" si="3"/>
        <v>6</v>
      </c>
    </row>
    <row r="103" s="2" customFormat="1" ht="24" customHeight="1" spans="1:11">
      <c r="A103" s="64"/>
      <c r="B103" s="64"/>
      <c r="C103" s="47" t="s">
        <v>227</v>
      </c>
      <c r="D103" s="12">
        <v>5</v>
      </c>
      <c r="E103" s="12">
        <v>0</v>
      </c>
      <c r="F103" s="13"/>
      <c r="G103" s="55"/>
      <c r="H103" s="55"/>
      <c r="I103" s="47"/>
      <c r="J103" s="47"/>
      <c r="K103" s="56">
        <f t="shared" si="3"/>
        <v>5</v>
      </c>
    </row>
    <row r="104" s="2" customFormat="1" ht="24" customHeight="1" spans="1:11">
      <c r="A104" s="64"/>
      <c r="B104" s="64"/>
      <c r="C104" s="47" t="s">
        <v>229</v>
      </c>
      <c r="D104" s="12">
        <v>6</v>
      </c>
      <c r="E104" s="12">
        <v>5</v>
      </c>
      <c r="F104" s="13"/>
      <c r="G104" s="55"/>
      <c r="H104" s="55"/>
      <c r="I104" s="47"/>
      <c r="J104" s="58"/>
      <c r="K104" s="56">
        <f t="shared" si="3"/>
        <v>11</v>
      </c>
    </row>
    <row r="105" s="2" customFormat="1" ht="24" customHeight="1" spans="1:11">
      <c r="A105" s="64"/>
      <c r="B105" s="64"/>
      <c r="C105" s="47" t="s">
        <v>240</v>
      </c>
      <c r="D105" s="12">
        <v>6</v>
      </c>
      <c r="E105" s="12">
        <v>5</v>
      </c>
      <c r="F105" s="13"/>
      <c r="G105" s="55"/>
      <c r="H105" s="55"/>
      <c r="I105" s="47"/>
      <c r="J105" s="58"/>
      <c r="K105" s="56">
        <f t="shared" si="3"/>
        <v>11</v>
      </c>
    </row>
    <row r="106" s="2" customFormat="1" ht="24" customHeight="1" spans="1:11">
      <c r="A106" s="55" t="s">
        <v>230</v>
      </c>
      <c r="B106" s="55">
        <v>10.5</v>
      </c>
      <c r="C106" s="47" t="s">
        <v>231</v>
      </c>
      <c r="D106" s="27">
        <v>10.5</v>
      </c>
      <c r="E106" s="27">
        <v>10.5</v>
      </c>
      <c r="F106" s="13"/>
      <c r="G106" s="47"/>
      <c r="H106" s="47"/>
      <c r="I106" s="47"/>
      <c r="J106" s="58"/>
      <c r="K106" s="56">
        <f t="shared" si="3"/>
        <v>21</v>
      </c>
    </row>
    <row r="107" s="2" customFormat="1" ht="24" customHeight="1" spans="1:11">
      <c r="A107" s="47" t="s">
        <v>232</v>
      </c>
      <c r="B107" s="47">
        <v>12</v>
      </c>
      <c r="C107" s="47" t="s">
        <v>233</v>
      </c>
      <c r="D107" s="27">
        <v>12</v>
      </c>
      <c r="E107" s="27">
        <v>12</v>
      </c>
      <c r="F107" s="13"/>
      <c r="G107" s="47"/>
      <c r="H107" s="47"/>
      <c r="I107" s="47"/>
      <c r="J107" s="58"/>
      <c r="K107" s="56">
        <f t="shared" si="3"/>
        <v>24</v>
      </c>
    </row>
    <row r="108" s="2" customFormat="1" ht="24" customHeight="1" spans="1:11">
      <c r="A108" s="54"/>
      <c r="B108" s="65"/>
      <c r="C108" s="65"/>
      <c r="D108" s="66">
        <f>SUM(D87:D107)</f>
        <v>289</v>
      </c>
      <c r="E108" s="66">
        <f>SUM(E87:E107)</f>
        <v>77.5</v>
      </c>
      <c r="F108" s="66"/>
      <c r="G108" s="65"/>
      <c r="H108" s="65"/>
      <c r="I108" s="65"/>
      <c r="J108" s="67"/>
      <c r="K108" s="68">
        <f>SUM(K87:K107)</f>
        <v>366.5</v>
      </c>
    </row>
    <row r="109" ht="26" customHeight="1" spans="1:1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</row>
    <row r="110" ht="26" customHeight="1" spans="1:1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</row>
    <row r="111" ht="26" customHeight="1" spans="1:11">
      <c r="A111" s="42" t="s">
        <v>371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</row>
    <row r="112" ht="26" customHeight="1" spans="1:11">
      <c r="A112" s="70" t="s">
        <v>257</v>
      </c>
      <c r="B112" s="27"/>
      <c r="C112" s="27"/>
      <c r="D112" s="37" t="s">
        <v>466</v>
      </c>
      <c r="E112" s="36"/>
      <c r="F112" s="36"/>
      <c r="G112" s="36"/>
      <c r="H112" s="36"/>
      <c r="I112" s="36"/>
      <c r="J112" s="36"/>
      <c r="K112" s="36"/>
    </row>
    <row r="113" ht="26" customHeight="1" spans="1:11">
      <c r="A113" s="27" t="s">
        <v>200</v>
      </c>
      <c r="B113" s="27" t="s">
        <v>201</v>
      </c>
      <c r="C113" s="38" t="s">
        <v>202</v>
      </c>
      <c r="D113" s="12" t="s">
        <v>6</v>
      </c>
      <c r="E113" s="12" t="s">
        <v>6</v>
      </c>
      <c r="F113" s="27" t="s">
        <v>6</v>
      </c>
      <c r="G113" s="27" t="s">
        <v>6</v>
      </c>
      <c r="H113" s="27" t="s">
        <v>6</v>
      </c>
      <c r="I113" s="27" t="s">
        <v>6</v>
      </c>
      <c r="J113" s="27" t="s">
        <v>203</v>
      </c>
      <c r="K113" s="27" t="s">
        <v>204</v>
      </c>
    </row>
    <row r="114" ht="26" customHeight="1" spans="1:11">
      <c r="A114" s="27" t="s">
        <v>205</v>
      </c>
      <c r="B114" s="27">
        <v>12</v>
      </c>
      <c r="C114" s="38" t="s">
        <v>206</v>
      </c>
      <c r="D114" s="12"/>
      <c r="E114" s="12">
        <v>20</v>
      </c>
      <c r="F114" s="12"/>
      <c r="G114" s="12"/>
      <c r="H114" s="12"/>
      <c r="I114" s="12"/>
      <c r="J114" s="12"/>
      <c r="K114" s="27">
        <f t="shared" ref="K114:K134" si="4">SUM(D114:J114)</f>
        <v>20</v>
      </c>
    </row>
    <row r="115" ht="26" customHeight="1" spans="1:11">
      <c r="A115" s="21" t="s">
        <v>207</v>
      </c>
      <c r="B115" s="27">
        <v>11.5</v>
      </c>
      <c r="C115" s="38" t="s">
        <v>208</v>
      </c>
      <c r="D115" s="12"/>
      <c r="E115" s="12">
        <v>30</v>
      </c>
      <c r="F115" s="12"/>
      <c r="G115" s="12"/>
      <c r="H115" s="12"/>
      <c r="I115" s="12"/>
      <c r="J115" s="12"/>
      <c r="K115" s="27">
        <f t="shared" si="4"/>
        <v>30</v>
      </c>
    </row>
    <row r="116" ht="26" customHeight="1" spans="1:11">
      <c r="A116" s="21"/>
      <c r="B116" s="27"/>
      <c r="C116" s="38" t="s">
        <v>210</v>
      </c>
      <c r="D116" s="12"/>
      <c r="E116" s="12">
        <v>30</v>
      </c>
      <c r="F116" s="12"/>
      <c r="G116" s="12"/>
      <c r="H116" s="12"/>
      <c r="I116" s="12"/>
      <c r="J116" s="12"/>
      <c r="K116" s="27">
        <f t="shared" si="4"/>
        <v>30</v>
      </c>
    </row>
    <row r="117" ht="26" customHeight="1" spans="1:11">
      <c r="A117" s="16" t="s">
        <v>237</v>
      </c>
      <c r="B117" s="13">
        <v>11.5</v>
      </c>
      <c r="C117" s="17" t="s">
        <v>212</v>
      </c>
      <c r="D117" s="27"/>
      <c r="E117" s="12">
        <v>22</v>
      </c>
      <c r="F117" s="12"/>
      <c r="G117" s="27"/>
      <c r="H117" s="27"/>
      <c r="I117" s="27"/>
      <c r="J117" s="12"/>
      <c r="K117" s="27">
        <f t="shared" si="4"/>
        <v>22</v>
      </c>
    </row>
    <row r="118" ht="26" customHeight="1" spans="1:11">
      <c r="A118" s="18"/>
      <c r="B118" s="13"/>
      <c r="C118" s="1" t="s">
        <v>215</v>
      </c>
      <c r="D118" s="27"/>
      <c r="E118" s="12">
        <v>0</v>
      </c>
      <c r="F118" s="12"/>
      <c r="G118" s="12"/>
      <c r="H118" s="12"/>
      <c r="I118" s="12"/>
      <c r="J118" s="12"/>
      <c r="K118" s="27">
        <f t="shared" si="4"/>
        <v>0</v>
      </c>
    </row>
    <row r="119" ht="26" customHeight="1" spans="1:11">
      <c r="A119" s="19" t="s">
        <v>238</v>
      </c>
      <c r="B119" s="13"/>
      <c r="C119" s="17" t="s">
        <v>213</v>
      </c>
      <c r="D119" s="27"/>
      <c r="E119" s="12">
        <v>22</v>
      </c>
      <c r="F119" s="12"/>
      <c r="G119" s="27"/>
      <c r="H119" s="27"/>
      <c r="I119" s="27"/>
      <c r="J119" s="12"/>
      <c r="K119" s="27">
        <f t="shared" si="4"/>
        <v>22</v>
      </c>
    </row>
    <row r="120" ht="26" customHeight="1" spans="1:11">
      <c r="A120" s="20"/>
      <c r="B120" s="13"/>
      <c r="C120" s="17" t="s">
        <v>216</v>
      </c>
      <c r="D120" s="27"/>
      <c r="E120" s="12">
        <v>0</v>
      </c>
      <c r="F120" s="12"/>
      <c r="G120" s="27"/>
      <c r="H120" s="27"/>
      <c r="I120" s="27"/>
      <c r="J120" s="12"/>
      <c r="K120" s="27">
        <f t="shared" si="4"/>
        <v>0</v>
      </c>
    </row>
    <row r="121" ht="26" customHeight="1" spans="1:11">
      <c r="A121" s="21" t="s">
        <v>239</v>
      </c>
      <c r="B121" s="13"/>
      <c r="C121" s="13" t="s">
        <v>214</v>
      </c>
      <c r="D121" s="27"/>
      <c r="E121" s="12">
        <v>0</v>
      </c>
      <c r="F121" s="12"/>
      <c r="G121" s="12"/>
      <c r="H121" s="12"/>
      <c r="I121" s="12"/>
      <c r="J121" s="12"/>
      <c r="K121" s="27">
        <f t="shared" si="4"/>
        <v>0</v>
      </c>
    </row>
    <row r="122" ht="26" customHeight="1" spans="1:11">
      <c r="A122" s="27" t="s">
        <v>217</v>
      </c>
      <c r="B122" s="27">
        <v>10.5</v>
      </c>
      <c r="C122" s="27" t="s">
        <v>218</v>
      </c>
      <c r="D122" s="27"/>
      <c r="E122" s="12">
        <v>0</v>
      </c>
      <c r="F122" s="12"/>
      <c r="G122" s="27"/>
      <c r="H122" s="27"/>
      <c r="I122" s="27"/>
      <c r="J122" s="12"/>
      <c r="K122" s="27">
        <f t="shared" si="4"/>
        <v>0</v>
      </c>
    </row>
    <row r="123" ht="26" customHeight="1" spans="1:11">
      <c r="A123" s="27"/>
      <c r="B123" s="27"/>
      <c r="C123" s="27" t="s">
        <v>219</v>
      </c>
      <c r="D123" s="27"/>
      <c r="E123" s="12">
        <v>0</v>
      </c>
      <c r="F123" s="12"/>
      <c r="G123" s="27"/>
      <c r="H123" s="27"/>
      <c r="I123" s="27"/>
      <c r="J123" s="12"/>
      <c r="K123" s="27">
        <f t="shared" si="4"/>
        <v>0</v>
      </c>
    </row>
    <row r="124" ht="26" customHeight="1" spans="1:11">
      <c r="A124" s="27" t="s">
        <v>220</v>
      </c>
      <c r="B124" s="27">
        <v>11.5</v>
      </c>
      <c r="C124" s="38" t="s">
        <v>221</v>
      </c>
      <c r="D124" s="12">
        <v>20</v>
      </c>
      <c r="E124" s="12">
        <v>10</v>
      </c>
      <c r="F124" s="12"/>
      <c r="G124" s="12"/>
      <c r="H124" s="12"/>
      <c r="I124" s="12"/>
      <c r="J124" s="12"/>
      <c r="K124" s="27">
        <f t="shared" si="4"/>
        <v>30</v>
      </c>
    </row>
    <row r="125" ht="26" customHeight="1" spans="1:11">
      <c r="A125" s="27"/>
      <c r="B125" s="27"/>
      <c r="C125" s="38" t="s">
        <v>222</v>
      </c>
      <c r="D125" s="12">
        <v>10</v>
      </c>
      <c r="E125" s="12">
        <v>10</v>
      </c>
      <c r="F125" s="12"/>
      <c r="G125" s="12"/>
      <c r="H125" s="12"/>
      <c r="I125" s="12"/>
      <c r="J125" s="12"/>
      <c r="K125" s="27">
        <f t="shared" si="4"/>
        <v>20</v>
      </c>
    </row>
    <row r="126" ht="26" customHeight="1" spans="1:11">
      <c r="A126" s="27"/>
      <c r="B126" s="27"/>
      <c r="C126" s="38" t="s">
        <v>223</v>
      </c>
      <c r="D126" s="12">
        <v>0</v>
      </c>
      <c r="E126" s="12">
        <v>0</v>
      </c>
      <c r="F126" s="12"/>
      <c r="G126" s="12"/>
      <c r="H126" s="12"/>
      <c r="I126" s="12"/>
      <c r="J126" s="12"/>
      <c r="K126" s="27">
        <f t="shared" si="4"/>
        <v>0</v>
      </c>
    </row>
    <row r="127" ht="26" customHeight="1" spans="1:11">
      <c r="A127" s="27"/>
      <c r="B127" s="27"/>
      <c r="C127" s="38" t="s">
        <v>224</v>
      </c>
      <c r="D127" s="12">
        <v>60</v>
      </c>
      <c r="E127" s="12">
        <v>0</v>
      </c>
      <c r="F127" s="12"/>
      <c r="G127" s="12"/>
      <c r="H127" s="12"/>
      <c r="I127" s="12"/>
      <c r="J127" s="12"/>
      <c r="K127" s="27">
        <f t="shared" si="4"/>
        <v>60</v>
      </c>
    </row>
    <row r="128" ht="26" customHeight="1" spans="1:11">
      <c r="A128" s="39" t="s">
        <v>225</v>
      </c>
      <c r="B128" s="39">
        <v>10.5</v>
      </c>
      <c r="C128" s="27" t="s">
        <v>226</v>
      </c>
      <c r="D128" s="12">
        <v>12</v>
      </c>
      <c r="E128" s="12">
        <v>20</v>
      </c>
      <c r="F128" s="12"/>
      <c r="G128" s="12"/>
      <c r="H128" s="12"/>
      <c r="I128" s="12"/>
      <c r="J128" s="12"/>
      <c r="K128" s="27">
        <f t="shared" si="4"/>
        <v>32</v>
      </c>
    </row>
    <row r="129" ht="26" customHeight="1" spans="1:11">
      <c r="A129" s="39"/>
      <c r="B129" s="39"/>
      <c r="C129" s="27" t="s">
        <v>228</v>
      </c>
      <c r="D129" s="12">
        <v>10</v>
      </c>
      <c r="E129" s="12">
        <v>0</v>
      </c>
      <c r="F129" s="12"/>
      <c r="G129" s="12"/>
      <c r="H129" s="12"/>
      <c r="I129" s="12"/>
      <c r="J129" s="12"/>
      <c r="K129" s="27">
        <f t="shared" si="4"/>
        <v>10</v>
      </c>
    </row>
    <row r="130" ht="26" customHeight="1" spans="1:11">
      <c r="A130" s="39"/>
      <c r="B130" s="39"/>
      <c r="C130" s="27" t="s">
        <v>289</v>
      </c>
      <c r="D130" s="12">
        <v>5</v>
      </c>
      <c r="E130" s="12">
        <v>0</v>
      </c>
      <c r="F130" s="12"/>
      <c r="G130" s="12"/>
      <c r="H130" s="12"/>
      <c r="I130" s="12"/>
      <c r="J130" s="12"/>
      <c r="K130" s="27">
        <f t="shared" si="4"/>
        <v>5</v>
      </c>
    </row>
    <row r="131" ht="26" customHeight="1" spans="1:11">
      <c r="A131" s="39"/>
      <c r="B131" s="39"/>
      <c r="C131" s="27" t="s">
        <v>229</v>
      </c>
      <c r="D131" s="12">
        <v>6</v>
      </c>
      <c r="E131" s="12">
        <v>10</v>
      </c>
      <c r="F131" s="12"/>
      <c r="G131" s="12"/>
      <c r="H131" s="12"/>
      <c r="I131" s="12"/>
      <c r="J131" s="12"/>
      <c r="K131" s="27">
        <f t="shared" si="4"/>
        <v>16</v>
      </c>
    </row>
    <row r="132" ht="26" customHeight="1" spans="1:11">
      <c r="A132" s="39"/>
      <c r="B132" s="39"/>
      <c r="C132" s="27" t="s">
        <v>240</v>
      </c>
      <c r="D132" s="12">
        <v>6</v>
      </c>
      <c r="E132" s="12">
        <v>10</v>
      </c>
      <c r="F132" s="12"/>
      <c r="G132" s="12"/>
      <c r="H132" s="12"/>
      <c r="I132" s="12"/>
      <c r="J132" s="12"/>
      <c r="K132" s="27">
        <f t="shared" si="4"/>
        <v>16</v>
      </c>
    </row>
    <row r="133" ht="26" customHeight="1" spans="1:11">
      <c r="A133" s="12" t="s">
        <v>230</v>
      </c>
      <c r="B133" s="12">
        <v>10.5</v>
      </c>
      <c r="C133" s="27" t="s">
        <v>231</v>
      </c>
      <c r="D133" s="27">
        <v>10.5</v>
      </c>
      <c r="E133" s="27">
        <v>20</v>
      </c>
      <c r="F133" s="27"/>
      <c r="G133" s="12"/>
      <c r="H133" s="12"/>
      <c r="I133" s="12"/>
      <c r="J133" s="27"/>
      <c r="K133" s="27">
        <f t="shared" si="4"/>
        <v>30.5</v>
      </c>
    </row>
    <row r="134" ht="26" customHeight="1" spans="1:11">
      <c r="A134" s="27" t="s">
        <v>232</v>
      </c>
      <c r="B134" s="27">
        <v>12</v>
      </c>
      <c r="C134" s="27" t="s">
        <v>233</v>
      </c>
      <c r="D134" s="27">
        <v>12</v>
      </c>
      <c r="E134" s="27">
        <v>20</v>
      </c>
      <c r="F134" s="27"/>
      <c r="G134" s="27"/>
      <c r="H134" s="27"/>
      <c r="I134" s="27"/>
      <c r="J134" s="27"/>
      <c r="K134" s="27">
        <f t="shared" si="4"/>
        <v>32</v>
      </c>
    </row>
    <row r="135" ht="26" customHeight="1" spans="1:11">
      <c r="A135" s="38"/>
      <c r="B135" s="41"/>
      <c r="C135" s="41"/>
      <c r="D135" s="41"/>
      <c r="E135" s="41"/>
      <c r="F135" s="41"/>
      <c r="G135" s="41"/>
      <c r="H135" s="41"/>
      <c r="I135" s="41"/>
      <c r="J135" s="40"/>
      <c r="K135" s="27">
        <f>SUM(K114:K134)</f>
        <v>375.5</v>
      </c>
    </row>
    <row r="138" s="3" customFormat="1" ht="21" customHeight="1" spans="1:11">
      <c r="A138" s="71" t="s">
        <v>467</v>
      </c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s="3" customFormat="1" ht="21" customHeight="1" spans="1:11">
      <c r="A139" s="72" t="s">
        <v>247</v>
      </c>
      <c r="B139" s="72"/>
      <c r="C139" s="72"/>
      <c r="D139" s="73" t="s">
        <v>468</v>
      </c>
      <c r="E139" s="72"/>
      <c r="F139" s="72"/>
      <c r="G139" s="72"/>
      <c r="H139" s="72"/>
      <c r="I139" s="72"/>
      <c r="J139" s="72"/>
      <c r="K139" s="72"/>
    </row>
    <row r="140" s="3" customFormat="1" ht="21" customHeight="1" spans="1:11">
      <c r="A140" s="74" t="s">
        <v>200</v>
      </c>
      <c r="B140" s="74" t="s">
        <v>201</v>
      </c>
      <c r="C140" s="75" t="s">
        <v>202</v>
      </c>
      <c r="D140" s="76" t="s">
        <v>6</v>
      </c>
      <c r="E140" s="76" t="s">
        <v>6</v>
      </c>
      <c r="F140" s="74" t="s">
        <v>6</v>
      </c>
      <c r="G140" s="74" t="s">
        <v>6</v>
      </c>
      <c r="H140" s="74" t="s">
        <v>6</v>
      </c>
      <c r="I140" s="74" t="s">
        <v>6</v>
      </c>
      <c r="J140" s="74" t="s">
        <v>203</v>
      </c>
      <c r="K140" s="74" t="s">
        <v>204</v>
      </c>
    </row>
    <row r="141" s="3" customFormat="1" ht="21" customHeight="1" spans="1:11">
      <c r="A141" s="56" t="s">
        <v>205</v>
      </c>
      <c r="B141" s="56">
        <v>12</v>
      </c>
      <c r="C141" s="54" t="s">
        <v>206</v>
      </c>
      <c r="D141" s="55">
        <v>12</v>
      </c>
      <c r="E141" s="55">
        <v>20</v>
      </c>
      <c r="F141" s="55">
        <v>12</v>
      </c>
      <c r="G141" s="55"/>
      <c r="H141" s="77"/>
      <c r="I141" s="58"/>
      <c r="J141" s="47"/>
      <c r="K141" s="56">
        <f t="shared" ref="K141:K161" si="5">SUM(D141:J141)</f>
        <v>44</v>
      </c>
    </row>
    <row r="142" s="3" customFormat="1" ht="21" customHeight="1" spans="1:11">
      <c r="A142" s="78" t="s">
        <v>207</v>
      </c>
      <c r="B142" s="56">
        <v>11.5</v>
      </c>
      <c r="C142" s="61" t="s">
        <v>208</v>
      </c>
      <c r="D142" s="55">
        <v>11.5</v>
      </c>
      <c r="E142" s="55">
        <v>25</v>
      </c>
      <c r="F142" s="55">
        <v>11.5</v>
      </c>
      <c r="G142" s="55"/>
      <c r="H142" s="77"/>
      <c r="I142" s="58"/>
      <c r="J142" s="47"/>
      <c r="K142" s="56">
        <f t="shared" si="5"/>
        <v>48</v>
      </c>
    </row>
    <row r="143" s="3" customFormat="1" ht="21" customHeight="1" spans="1:11">
      <c r="A143" s="78"/>
      <c r="B143" s="56"/>
      <c r="C143" s="61" t="s">
        <v>210</v>
      </c>
      <c r="D143" s="55">
        <v>11.5</v>
      </c>
      <c r="E143" s="55">
        <v>15</v>
      </c>
      <c r="F143" s="55">
        <v>11.5</v>
      </c>
      <c r="G143" s="55"/>
      <c r="H143" s="77"/>
      <c r="I143" s="58"/>
      <c r="J143" s="47"/>
      <c r="K143" s="56">
        <f t="shared" si="5"/>
        <v>38</v>
      </c>
    </row>
    <row r="144" s="3" customFormat="1" ht="21" customHeight="1" spans="1:11">
      <c r="A144" s="79" t="s">
        <v>237</v>
      </c>
      <c r="B144" s="56">
        <v>11.5</v>
      </c>
      <c r="C144" s="61" t="s">
        <v>212</v>
      </c>
      <c r="D144" s="55">
        <v>10</v>
      </c>
      <c r="E144" s="55">
        <v>15</v>
      </c>
      <c r="F144" s="55">
        <v>10</v>
      </c>
      <c r="G144" s="55"/>
      <c r="H144" s="77"/>
      <c r="I144" s="58"/>
      <c r="J144" s="47"/>
      <c r="K144" s="56">
        <f t="shared" si="5"/>
        <v>35</v>
      </c>
    </row>
    <row r="145" s="3" customFormat="1" ht="21" customHeight="1" spans="1:11">
      <c r="A145" s="80"/>
      <c r="B145" s="56"/>
      <c r="C145" s="3" t="s">
        <v>215</v>
      </c>
      <c r="D145" s="55">
        <v>15</v>
      </c>
      <c r="E145" s="55">
        <v>10</v>
      </c>
      <c r="F145" s="55">
        <v>10</v>
      </c>
      <c r="G145" s="55"/>
      <c r="H145" s="77"/>
      <c r="I145" s="58"/>
      <c r="J145" s="47"/>
      <c r="K145" s="56">
        <f t="shared" si="5"/>
        <v>35</v>
      </c>
    </row>
    <row r="146" s="3" customFormat="1" ht="21" customHeight="1" spans="1:11">
      <c r="A146" s="81" t="s">
        <v>238</v>
      </c>
      <c r="B146" s="56"/>
      <c r="C146" s="61" t="s">
        <v>213</v>
      </c>
      <c r="D146" s="55">
        <v>10</v>
      </c>
      <c r="E146" s="55">
        <v>10</v>
      </c>
      <c r="F146" s="55">
        <v>10</v>
      </c>
      <c r="G146" s="55"/>
      <c r="H146" s="77"/>
      <c r="I146" s="58"/>
      <c r="J146" s="47"/>
      <c r="K146" s="56">
        <f t="shared" si="5"/>
        <v>30</v>
      </c>
    </row>
    <row r="147" s="3" customFormat="1" ht="21" customHeight="1" spans="1:11">
      <c r="A147" s="82"/>
      <c r="B147" s="56"/>
      <c r="C147" s="61" t="s">
        <v>216</v>
      </c>
      <c r="D147" s="55">
        <v>10</v>
      </c>
      <c r="E147" s="55">
        <v>10</v>
      </c>
      <c r="F147" s="55">
        <v>10</v>
      </c>
      <c r="G147" s="55"/>
      <c r="H147" s="77"/>
      <c r="I147" s="83"/>
      <c r="J147" s="47"/>
      <c r="K147" s="56">
        <f t="shared" si="5"/>
        <v>30</v>
      </c>
    </row>
    <row r="148" s="3" customFormat="1" ht="21" customHeight="1" spans="1:11">
      <c r="A148" s="84" t="s">
        <v>239</v>
      </c>
      <c r="B148" s="56"/>
      <c r="C148" s="56" t="s">
        <v>214</v>
      </c>
      <c r="D148" s="55">
        <v>10</v>
      </c>
      <c r="E148" s="55">
        <v>10</v>
      </c>
      <c r="F148" s="55">
        <v>10</v>
      </c>
      <c r="G148" s="55"/>
      <c r="H148" s="77"/>
      <c r="I148" s="83"/>
      <c r="J148" s="47"/>
      <c r="K148" s="56">
        <f t="shared" si="5"/>
        <v>30</v>
      </c>
    </row>
    <row r="149" s="3" customFormat="1" ht="21" customHeight="1" spans="1:11">
      <c r="A149" s="56" t="s">
        <v>217</v>
      </c>
      <c r="B149" s="56">
        <v>10.5</v>
      </c>
      <c r="C149" s="56" t="s">
        <v>218</v>
      </c>
      <c r="D149" s="55">
        <v>15</v>
      </c>
      <c r="E149" s="55">
        <v>10</v>
      </c>
      <c r="F149" s="55">
        <v>10</v>
      </c>
      <c r="G149" s="55"/>
      <c r="H149" s="77"/>
      <c r="I149" s="58"/>
      <c r="J149" s="47"/>
      <c r="K149" s="56">
        <f t="shared" si="5"/>
        <v>35</v>
      </c>
    </row>
    <row r="150" s="3" customFormat="1" ht="21" customHeight="1" spans="1:11">
      <c r="A150" s="56"/>
      <c r="B150" s="56"/>
      <c r="C150" s="56" t="s">
        <v>219</v>
      </c>
      <c r="D150" s="55">
        <v>15</v>
      </c>
      <c r="E150" s="55">
        <v>10</v>
      </c>
      <c r="F150" s="55">
        <v>10</v>
      </c>
      <c r="G150" s="55"/>
      <c r="H150" s="77"/>
      <c r="I150" s="58"/>
      <c r="J150" s="47"/>
      <c r="K150" s="56">
        <f t="shared" si="5"/>
        <v>35</v>
      </c>
    </row>
    <row r="151" s="3" customFormat="1" ht="21" customHeight="1" spans="1:11">
      <c r="A151" s="56" t="s">
        <v>220</v>
      </c>
      <c r="B151" s="56">
        <v>11.5</v>
      </c>
      <c r="C151" s="61" t="s">
        <v>221</v>
      </c>
      <c r="D151" s="55">
        <v>28</v>
      </c>
      <c r="E151" s="55">
        <v>10</v>
      </c>
      <c r="F151" s="55">
        <v>10</v>
      </c>
      <c r="G151" s="55"/>
      <c r="H151" s="77"/>
      <c r="I151" s="58"/>
      <c r="J151" s="47"/>
      <c r="K151" s="56">
        <f t="shared" si="5"/>
        <v>48</v>
      </c>
    </row>
    <row r="152" s="3" customFormat="1" ht="21" customHeight="1" spans="1:11">
      <c r="A152" s="56"/>
      <c r="B152" s="56"/>
      <c r="C152" s="61" t="s">
        <v>222</v>
      </c>
      <c r="D152" s="47">
        <v>24</v>
      </c>
      <c r="E152" s="55">
        <v>10</v>
      </c>
      <c r="F152" s="55">
        <v>10</v>
      </c>
      <c r="G152" s="55"/>
      <c r="H152" s="77"/>
      <c r="I152" s="58"/>
      <c r="J152" s="47"/>
      <c r="K152" s="56">
        <f t="shared" si="5"/>
        <v>44</v>
      </c>
    </row>
    <row r="153" s="3" customFormat="1" ht="21" customHeight="1" spans="1:11">
      <c r="A153" s="56"/>
      <c r="B153" s="56"/>
      <c r="C153" s="61" t="s">
        <v>223</v>
      </c>
      <c r="D153" s="47">
        <v>26</v>
      </c>
      <c r="E153" s="55">
        <v>10</v>
      </c>
      <c r="F153" s="55">
        <v>10</v>
      </c>
      <c r="G153" s="55"/>
      <c r="H153" s="77"/>
      <c r="I153" s="58"/>
      <c r="J153" s="47"/>
      <c r="K153" s="56">
        <f t="shared" si="5"/>
        <v>46</v>
      </c>
    </row>
    <row r="154" s="3" customFormat="1" ht="21" customHeight="1" spans="1:11">
      <c r="A154" s="56"/>
      <c r="B154" s="56"/>
      <c r="C154" s="61" t="s">
        <v>224</v>
      </c>
      <c r="D154" s="47">
        <v>34</v>
      </c>
      <c r="E154" s="55">
        <v>10</v>
      </c>
      <c r="F154" s="55">
        <v>10</v>
      </c>
      <c r="G154" s="55"/>
      <c r="H154" s="77"/>
      <c r="I154" s="58"/>
      <c r="J154" s="47"/>
      <c r="K154" s="56">
        <f t="shared" si="5"/>
        <v>54</v>
      </c>
    </row>
    <row r="155" s="3" customFormat="1" ht="21" customHeight="1" spans="1:11">
      <c r="A155" s="85" t="s">
        <v>225</v>
      </c>
      <c r="B155" s="85">
        <v>10.5</v>
      </c>
      <c r="C155" s="56" t="s">
        <v>226</v>
      </c>
      <c r="D155" s="55">
        <v>50</v>
      </c>
      <c r="E155" s="55">
        <v>10</v>
      </c>
      <c r="F155" s="55">
        <v>10</v>
      </c>
      <c r="G155" s="55"/>
      <c r="H155" s="77"/>
      <c r="I155" s="58"/>
      <c r="J155" s="47"/>
      <c r="K155" s="56">
        <f t="shared" si="5"/>
        <v>70</v>
      </c>
    </row>
    <row r="156" s="3" customFormat="1" ht="21" customHeight="1" spans="1:11">
      <c r="A156" s="85"/>
      <c r="B156" s="85"/>
      <c r="C156" s="56" t="s">
        <v>228</v>
      </c>
      <c r="D156" s="55">
        <v>50</v>
      </c>
      <c r="E156" s="55">
        <v>10</v>
      </c>
      <c r="F156" s="55">
        <v>10</v>
      </c>
      <c r="G156" s="55"/>
      <c r="H156" s="77"/>
      <c r="I156" s="58"/>
      <c r="J156" s="47"/>
      <c r="K156" s="56">
        <f t="shared" si="5"/>
        <v>70</v>
      </c>
    </row>
    <row r="157" s="3" customFormat="1" ht="21" customHeight="1" spans="1:11">
      <c r="A157" s="85"/>
      <c r="B157" s="85"/>
      <c r="C157" s="56" t="s">
        <v>227</v>
      </c>
      <c r="D157" s="55">
        <v>24</v>
      </c>
      <c r="E157" s="55">
        <v>10</v>
      </c>
      <c r="F157" s="55">
        <v>10</v>
      </c>
      <c r="G157" s="55"/>
      <c r="H157" s="77"/>
      <c r="I157" s="58"/>
      <c r="J157" s="47"/>
      <c r="K157" s="56">
        <f t="shared" si="5"/>
        <v>44</v>
      </c>
    </row>
    <row r="158" s="3" customFormat="1" ht="21" customHeight="1" spans="1:11">
      <c r="A158" s="85"/>
      <c r="B158" s="85"/>
      <c r="C158" s="56" t="s">
        <v>229</v>
      </c>
      <c r="D158" s="55">
        <v>24</v>
      </c>
      <c r="E158" s="55">
        <v>10</v>
      </c>
      <c r="F158" s="55">
        <v>10</v>
      </c>
      <c r="G158" s="55"/>
      <c r="H158" s="77"/>
      <c r="I158" s="58"/>
      <c r="J158" s="58"/>
      <c r="K158" s="56">
        <f t="shared" si="5"/>
        <v>44</v>
      </c>
    </row>
    <row r="159" s="3" customFormat="1" ht="21" customHeight="1" spans="1:11">
      <c r="A159" s="85"/>
      <c r="B159" s="85"/>
      <c r="C159" s="56" t="s">
        <v>240</v>
      </c>
      <c r="D159" s="55">
        <v>24</v>
      </c>
      <c r="E159" s="55">
        <v>10</v>
      </c>
      <c r="F159" s="55">
        <v>10</v>
      </c>
      <c r="G159" s="55"/>
      <c r="H159" s="77"/>
      <c r="I159" s="58"/>
      <c r="J159" s="58"/>
      <c r="K159" s="56">
        <f t="shared" si="5"/>
        <v>44</v>
      </c>
    </row>
    <row r="160" s="3" customFormat="1" ht="21" customHeight="1" spans="1:11">
      <c r="A160" s="86" t="s">
        <v>230</v>
      </c>
      <c r="B160" s="86">
        <v>10.5</v>
      </c>
      <c r="C160" s="56" t="s">
        <v>231</v>
      </c>
      <c r="D160" s="55">
        <v>10.5</v>
      </c>
      <c r="E160" s="55">
        <v>10.5</v>
      </c>
      <c r="F160" s="55">
        <v>10.5</v>
      </c>
      <c r="G160" s="55"/>
      <c r="H160" s="77"/>
      <c r="I160" s="58"/>
      <c r="J160" s="58"/>
      <c r="K160" s="56">
        <f t="shared" si="5"/>
        <v>31.5</v>
      </c>
    </row>
    <row r="161" s="3" customFormat="1" ht="21" customHeight="1" spans="1:11">
      <c r="A161" s="56" t="s">
        <v>232</v>
      </c>
      <c r="B161" s="56">
        <v>12</v>
      </c>
      <c r="C161" s="56" t="s">
        <v>233</v>
      </c>
      <c r="D161" s="47">
        <v>12</v>
      </c>
      <c r="E161" s="47">
        <v>10</v>
      </c>
      <c r="F161" s="47">
        <v>12</v>
      </c>
      <c r="G161" s="47"/>
      <c r="H161" s="77"/>
      <c r="I161" s="58"/>
      <c r="J161" s="58"/>
      <c r="K161" s="56">
        <f t="shared" si="5"/>
        <v>34</v>
      </c>
    </row>
    <row r="162" s="3" customFormat="1" ht="21" customHeight="1" spans="1:11">
      <c r="A162" s="61"/>
      <c r="B162" s="87"/>
      <c r="C162" s="87"/>
      <c r="D162" s="65">
        <f t="shared" ref="D162:F162" si="6">SUM(D141:D161)</f>
        <v>426.5</v>
      </c>
      <c r="E162" s="65">
        <f t="shared" si="6"/>
        <v>245.5</v>
      </c>
      <c r="F162" s="65">
        <f t="shared" si="6"/>
        <v>217.5</v>
      </c>
      <c r="G162" s="65"/>
      <c r="H162" s="65"/>
      <c r="I162" s="65"/>
      <c r="J162" s="65"/>
      <c r="K162" s="47">
        <f>SUM(K141:K161)</f>
        <v>889.5</v>
      </c>
    </row>
    <row r="166" s="2" customFormat="1" ht="21.75" customHeight="1" spans="1:11">
      <c r="A166" s="88" t="s">
        <v>461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88"/>
    </row>
    <row r="167" s="2" customFormat="1" ht="21.75" customHeight="1" spans="1:11">
      <c r="A167" s="35" t="s">
        <v>320</v>
      </c>
      <c r="B167" s="36"/>
      <c r="C167" s="36"/>
      <c r="D167" s="37" t="s">
        <v>469</v>
      </c>
      <c r="E167" s="36"/>
      <c r="F167" s="36"/>
      <c r="G167" s="36"/>
      <c r="H167" s="36"/>
      <c r="I167" s="36"/>
      <c r="J167" s="36"/>
      <c r="K167" s="36"/>
    </row>
    <row r="168" s="2" customFormat="1" ht="21.75" customHeight="1" spans="1:11">
      <c r="A168" s="27" t="s">
        <v>200</v>
      </c>
      <c r="B168" s="27" t="s">
        <v>201</v>
      </c>
      <c r="C168" s="38" t="s">
        <v>202</v>
      </c>
      <c r="D168" s="12" t="s">
        <v>6</v>
      </c>
      <c r="E168" s="12" t="s">
        <v>6</v>
      </c>
      <c r="F168" s="27" t="s">
        <v>6</v>
      </c>
      <c r="G168" s="27" t="s">
        <v>6</v>
      </c>
      <c r="H168" s="27" t="s">
        <v>6</v>
      </c>
      <c r="I168" s="27" t="s">
        <v>6</v>
      </c>
      <c r="J168" s="27" t="s">
        <v>203</v>
      </c>
      <c r="K168" s="27" t="s">
        <v>204</v>
      </c>
    </row>
    <row r="169" s="2" customFormat="1" ht="21.75" customHeight="1" spans="1:11">
      <c r="A169" s="27" t="s">
        <v>205</v>
      </c>
      <c r="B169" s="27">
        <v>12</v>
      </c>
      <c r="C169" s="38" t="s">
        <v>206</v>
      </c>
      <c r="D169" s="12">
        <v>12</v>
      </c>
      <c r="E169" s="12">
        <v>10</v>
      </c>
      <c r="F169" s="11"/>
      <c r="G169" s="11"/>
      <c r="H169" s="12"/>
      <c r="I169" s="27"/>
      <c r="J169" s="27"/>
      <c r="K169" s="27">
        <f t="shared" ref="K169:K189" si="7">SUM(D169:J169)</f>
        <v>22</v>
      </c>
    </row>
    <row r="170" s="2" customFormat="1" ht="21.75" customHeight="1" spans="1:11">
      <c r="A170" s="43" t="s">
        <v>207</v>
      </c>
      <c r="B170" s="12">
        <v>11.5</v>
      </c>
      <c r="C170" s="38" t="s">
        <v>208</v>
      </c>
      <c r="D170" s="12">
        <v>15.5</v>
      </c>
      <c r="E170" s="12">
        <v>15</v>
      </c>
      <c r="F170" s="11"/>
      <c r="G170" s="11"/>
      <c r="H170" s="12"/>
      <c r="I170" s="27"/>
      <c r="J170" s="27"/>
      <c r="K170" s="27">
        <f t="shared" si="7"/>
        <v>30.5</v>
      </c>
    </row>
    <row r="171" s="2" customFormat="1" ht="21.75" customHeight="1" spans="1:11">
      <c r="A171" s="44"/>
      <c r="B171" s="39"/>
      <c r="C171" s="38" t="s">
        <v>210</v>
      </c>
      <c r="D171" s="12">
        <v>15.5</v>
      </c>
      <c r="E171" s="12">
        <v>15</v>
      </c>
      <c r="F171" s="11"/>
      <c r="G171" s="11"/>
      <c r="H171" s="12"/>
      <c r="I171" s="27"/>
      <c r="J171" s="27"/>
      <c r="K171" s="27">
        <f t="shared" si="7"/>
        <v>30.5</v>
      </c>
    </row>
    <row r="172" s="2" customFormat="1" ht="21.75" customHeight="1" spans="1:11">
      <c r="A172" s="43" t="s">
        <v>211</v>
      </c>
      <c r="B172" s="12">
        <v>11.5</v>
      </c>
      <c r="C172" s="38" t="s">
        <v>212</v>
      </c>
      <c r="D172" s="27">
        <v>11.5</v>
      </c>
      <c r="E172" s="27">
        <v>11</v>
      </c>
      <c r="F172" s="11"/>
      <c r="G172" s="11"/>
      <c r="H172" s="12"/>
      <c r="I172" s="27"/>
      <c r="J172" s="27"/>
      <c r="K172" s="27">
        <f t="shared" si="7"/>
        <v>22.5</v>
      </c>
    </row>
    <row r="173" s="2" customFormat="1" ht="21.75" customHeight="1" spans="1:11">
      <c r="A173" s="44"/>
      <c r="B173" s="39"/>
      <c r="C173" s="38" t="s">
        <v>213</v>
      </c>
      <c r="D173" s="12">
        <v>11.5</v>
      </c>
      <c r="E173" s="12">
        <v>11.5</v>
      </c>
      <c r="F173" s="11"/>
      <c r="G173" s="11"/>
      <c r="H173" s="12"/>
      <c r="I173" s="27"/>
      <c r="J173" s="27"/>
      <c r="K173" s="27">
        <f t="shared" si="7"/>
        <v>23</v>
      </c>
    </row>
    <row r="174" s="2" customFormat="1" ht="21.75" customHeight="1" spans="1:11">
      <c r="A174" s="44"/>
      <c r="B174" s="39"/>
      <c r="C174" s="27" t="s">
        <v>214</v>
      </c>
      <c r="D174" s="27">
        <v>0</v>
      </c>
      <c r="E174" s="27">
        <v>0</v>
      </c>
      <c r="F174" s="11"/>
      <c r="G174" s="11"/>
      <c r="H174" s="12"/>
      <c r="I174" s="27"/>
      <c r="J174" s="27"/>
      <c r="K174" s="27">
        <f t="shared" si="7"/>
        <v>0</v>
      </c>
    </row>
    <row r="175" s="2" customFormat="1" ht="21.75" customHeight="1" spans="1:11">
      <c r="A175" s="44"/>
      <c r="B175" s="39"/>
      <c r="C175" s="38" t="s">
        <v>216</v>
      </c>
      <c r="D175" s="27">
        <v>0</v>
      </c>
      <c r="E175" s="27">
        <v>0</v>
      </c>
      <c r="F175" s="11"/>
      <c r="G175" s="11"/>
      <c r="H175" s="12"/>
      <c r="I175" s="12"/>
      <c r="J175" s="27"/>
      <c r="K175" s="27">
        <f t="shared" si="7"/>
        <v>0</v>
      </c>
    </row>
    <row r="176" s="2" customFormat="1" ht="21.75" customHeight="1" spans="1:11">
      <c r="A176" s="45"/>
      <c r="B176" s="46"/>
      <c r="C176" s="38" t="s">
        <v>215</v>
      </c>
      <c r="D176" s="12">
        <v>0</v>
      </c>
      <c r="E176" s="12">
        <v>0</v>
      </c>
      <c r="F176" s="11"/>
      <c r="G176" s="11"/>
      <c r="H176" s="12"/>
      <c r="I176" s="12"/>
      <c r="J176" s="27"/>
      <c r="K176" s="27">
        <f t="shared" si="7"/>
        <v>0</v>
      </c>
    </row>
    <row r="177" s="2" customFormat="1" ht="21.75" customHeight="1" spans="1:11">
      <c r="A177" s="27" t="s">
        <v>217</v>
      </c>
      <c r="B177" s="27">
        <v>10.5</v>
      </c>
      <c r="C177" s="27" t="s">
        <v>218</v>
      </c>
      <c r="D177" s="12">
        <v>10.5</v>
      </c>
      <c r="E177" s="12">
        <v>5</v>
      </c>
      <c r="F177" s="22"/>
      <c r="G177" s="22"/>
      <c r="H177" s="12"/>
      <c r="I177" s="27"/>
      <c r="J177" s="27"/>
      <c r="K177" s="27">
        <f t="shared" si="7"/>
        <v>15.5</v>
      </c>
    </row>
    <row r="178" s="2" customFormat="1" ht="21.75" customHeight="1" spans="1:11">
      <c r="A178" s="27"/>
      <c r="B178" s="27"/>
      <c r="C178" s="27" t="s">
        <v>219</v>
      </c>
      <c r="D178" s="27">
        <v>10.5</v>
      </c>
      <c r="E178" s="27">
        <v>5</v>
      </c>
      <c r="F178" s="11"/>
      <c r="G178" s="11"/>
      <c r="H178" s="12"/>
      <c r="I178" s="27"/>
      <c r="J178" s="27"/>
      <c r="K178" s="27">
        <f t="shared" si="7"/>
        <v>15.5</v>
      </c>
    </row>
    <row r="179" s="2" customFormat="1" ht="21.75" customHeight="1" spans="1:11">
      <c r="A179" s="27" t="s">
        <v>220</v>
      </c>
      <c r="B179" s="27">
        <v>11.5</v>
      </c>
      <c r="C179" s="38" t="s">
        <v>221</v>
      </c>
      <c r="D179" s="27">
        <v>0</v>
      </c>
      <c r="E179" s="27">
        <v>0</v>
      </c>
      <c r="F179" s="11"/>
      <c r="G179" s="11"/>
      <c r="H179" s="12"/>
      <c r="I179" s="27"/>
      <c r="J179" s="27"/>
      <c r="K179" s="27">
        <f t="shared" si="7"/>
        <v>0</v>
      </c>
    </row>
    <row r="180" s="2" customFormat="1" ht="21.75" customHeight="1" spans="1:11">
      <c r="A180" s="27"/>
      <c r="B180" s="27"/>
      <c r="C180" s="38" t="s">
        <v>222</v>
      </c>
      <c r="D180" s="12">
        <v>0</v>
      </c>
      <c r="E180" s="12">
        <v>0</v>
      </c>
      <c r="F180" s="11"/>
      <c r="G180" s="11"/>
      <c r="H180" s="12"/>
      <c r="I180" s="27"/>
      <c r="J180" s="27"/>
      <c r="K180" s="27">
        <f t="shared" si="7"/>
        <v>0</v>
      </c>
    </row>
    <row r="181" s="2" customFormat="1" ht="21.75" customHeight="1" spans="1:11">
      <c r="A181" s="27"/>
      <c r="B181" s="27"/>
      <c r="C181" s="38" t="s">
        <v>223</v>
      </c>
      <c r="D181" s="12">
        <v>10.5</v>
      </c>
      <c r="E181" s="12">
        <v>5</v>
      </c>
      <c r="F181" s="23"/>
      <c r="G181" s="23"/>
      <c r="H181" s="12"/>
      <c r="I181" s="27"/>
      <c r="J181" s="27"/>
      <c r="K181" s="27">
        <f t="shared" si="7"/>
        <v>15.5</v>
      </c>
    </row>
    <row r="182" s="2" customFormat="1" ht="21.75" customHeight="1" spans="1:11">
      <c r="A182" s="27"/>
      <c r="B182" s="27"/>
      <c r="C182" s="38" t="s">
        <v>224</v>
      </c>
      <c r="D182" s="27">
        <v>0</v>
      </c>
      <c r="E182" s="27">
        <v>0</v>
      </c>
      <c r="F182" s="24"/>
      <c r="G182" s="24"/>
      <c r="H182" s="12"/>
      <c r="I182" s="27"/>
      <c r="J182" s="27"/>
      <c r="K182" s="27">
        <f t="shared" si="7"/>
        <v>0</v>
      </c>
    </row>
    <row r="183" s="2" customFormat="1" ht="21.75" customHeight="1" spans="1:11">
      <c r="A183" s="39" t="s">
        <v>225</v>
      </c>
      <c r="B183" s="39">
        <v>10.5</v>
      </c>
      <c r="C183" s="27" t="s">
        <v>226</v>
      </c>
      <c r="D183" s="12">
        <v>10.5</v>
      </c>
      <c r="E183" s="12">
        <v>5</v>
      </c>
      <c r="F183" s="11"/>
      <c r="G183" s="11"/>
      <c r="H183" s="12"/>
      <c r="I183" s="27"/>
      <c r="J183" s="27"/>
      <c r="K183" s="27">
        <f t="shared" si="7"/>
        <v>15.5</v>
      </c>
    </row>
    <row r="184" s="2" customFormat="1" ht="21.75" customHeight="1" spans="1:11">
      <c r="A184" s="39"/>
      <c r="B184" s="39"/>
      <c r="C184" s="27" t="s">
        <v>228</v>
      </c>
      <c r="D184" s="12">
        <v>10.5</v>
      </c>
      <c r="E184" s="12">
        <v>5</v>
      </c>
      <c r="F184" s="11"/>
      <c r="G184" s="11"/>
      <c r="H184" s="12"/>
      <c r="I184" s="27"/>
      <c r="J184" s="27"/>
      <c r="K184" s="27">
        <f t="shared" si="7"/>
        <v>15.5</v>
      </c>
    </row>
    <row r="185" s="2" customFormat="1" ht="21.75" customHeight="1" spans="1:11">
      <c r="A185" s="39"/>
      <c r="B185" s="39"/>
      <c r="C185" s="27" t="s">
        <v>227</v>
      </c>
      <c r="D185" s="12">
        <v>10.5</v>
      </c>
      <c r="E185" s="12">
        <v>5</v>
      </c>
      <c r="F185" s="11"/>
      <c r="G185" s="11"/>
      <c r="H185" s="12"/>
      <c r="I185" s="27"/>
      <c r="J185" s="27"/>
      <c r="K185" s="27">
        <f t="shared" si="7"/>
        <v>15.5</v>
      </c>
    </row>
    <row r="186" s="2" customFormat="1" ht="21.75" customHeight="1" spans="1:11">
      <c r="A186" s="39"/>
      <c r="B186" s="39"/>
      <c r="C186" s="27" t="s">
        <v>229</v>
      </c>
      <c r="D186" s="27">
        <v>0</v>
      </c>
      <c r="E186" s="27">
        <v>0</v>
      </c>
      <c r="F186" s="11"/>
      <c r="G186" s="11"/>
      <c r="H186" s="12"/>
      <c r="I186" s="27"/>
      <c r="J186" s="40"/>
      <c r="K186" s="27">
        <f t="shared" si="7"/>
        <v>0</v>
      </c>
    </row>
    <row r="187" s="2" customFormat="1" ht="21.75" customHeight="1" spans="1:11">
      <c r="A187" s="39"/>
      <c r="B187" s="39"/>
      <c r="C187" s="27" t="s">
        <v>240</v>
      </c>
      <c r="D187" s="27">
        <v>0</v>
      </c>
      <c r="E187" s="27">
        <v>0</v>
      </c>
      <c r="F187" s="11"/>
      <c r="G187" s="11"/>
      <c r="H187" s="12"/>
      <c r="I187" s="27"/>
      <c r="J187" s="40"/>
      <c r="K187" s="27">
        <f t="shared" si="7"/>
        <v>0</v>
      </c>
    </row>
    <row r="188" s="2" customFormat="1" ht="21.75" customHeight="1" spans="1:11">
      <c r="A188" s="12" t="s">
        <v>230</v>
      </c>
      <c r="B188" s="12">
        <v>10.5</v>
      </c>
      <c r="C188" s="27" t="s">
        <v>231</v>
      </c>
      <c r="D188" s="27">
        <v>10</v>
      </c>
      <c r="E188" s="27">
        <v>10</v>
      </c>
      <c r="F188" s="11"/>
      <c r="G188" s="11"/>
      <c r="H188" s="27"/>
      <c r="I188" s="27"/>
      <c r="J188" s="40"/>
      <c r="K188" s="27">
        <f t="shared" si="7"/>
        <v>20</v>
      </c>
    </row>
    <row r="189" s="2" customFormat="1" ht="21.75" customHeight="1" spans="1:11">
      <c r="A189" s="12" t="s">
        <v>232</v>
      </c>
      <c r="B189" s="12">
        <v>12</v>
      </c>
      <c r="C189" s="12" t="s">
        <v>233</v>
      </c>
      <c r="D189" s="12">
        <v>12</v>
      </c>
      <c r="E189" s="12">
        <v>12</v>
      </c>
      <c r="F189" s="89"/>
      <c r="G189" s="89"/>
      <c r="H189" s="12"/>
      <c r="I189" s="12"/>
      <c r="J189" s="90"/>
      <c r="K189" s="27">
        <f t="shared" si="7"/>
        <v>24</v>
      </c>
    </row>
    <row r="190" s="2" customFormat="1" ht="21.75" customHeight="1" spans="1:11">
      <c r="A190" s="38"/>
      <c r="B190" s="41"/>
      <c r="C190" s="41"/>
      <c r="D190" s="41"/>
      <c r="E190" s="41"/>
      <c r="F190" s="41"/>
      <c r="G190" s="41"/>
      <c r="H190" s="41"/>
      <c r="I190" s="41"/>
      <c r="J190" s="40"/>
      <c r="K190" s="27">
        <f>SUM(K169:K189)</f>
        <v>265.5</v>
      </c>
    </row>
    <row r="194" s="1" customFormat="1" ht="21" customHeight="1" spans="1:11">
      <c r="A194" s="42" t="s">
        <v>470</v>
      </c>
      <c r="B194" s="42"/>
      <c r="C194" s="42"/>
      <c r="D194" s="42"/>
      <c r="E194" s="42"/>
      <c r="F194" s="42"/>
      <c r="G194" s="42"/>
      <c r="H194" s="42"/>
      <c r="I194" s="42"/>
      <c r="J194" s="42"/>
      <c r="K194" s="42"/>
    </row>
    <row r="195" s="1" customFormat="1" ht="21" customHeight="1" spans="1:11">
      <c r="A195" s="91" t="s">
        <v>471</v>
      </c>
      <c r="B195" s="91"/>
      <c r="C195" s="91"/>
      <c r="D195" s="92" t="s">
        <v>472</v>
      </c>
      <c r="E195" s="91"/>
      <c r="F195" s="91"/>
      <c r="G195" s="91"/>
      <c r="H195" s="91"/>
      <c r="I195" s="91"/>
      <c r="J195" s="91"/>
      <c r="K195" s="91"/>
    </row>
    <row r="196" s="1" customFormat="1" ht="21" customHeight="1" spans="1:11">
      <c r="A196" s="93" t="s">
        <v>200</v>
      </c>
      <c r="B196" s="93" t="s">
        <v>201</v>
      </c>
      <c r="C196" s="94" t="s">
        <v>202</v>
      </c>
      <c r="D196" s="95" t="s">
        <v>6</v>
      </c>
      <c r="E196" s="95" t="s">
        <v>6</v>
      </c>
      <c r="F196" s="93" t="s">
        <v>6</v>
      </c>
      <c r="G196" s="93" t="s">
        <v>6</v>
      </c>
      <c r="H196" s="93" t="s">
        <v>6</v>
      </c>
      <c r="I196" s="93" t="s">
        <v>6</v>
      </c>
      <c r="J196" s="93" t="s">
        <v>203</v>
      </c>
      <c r="K196" s="93" t="s">
        <v>204</v>
      </c>
    </row>
    <row r="197" s="1" customFormat="1" ht="21" customHeight="1" spans="1:11">
      <c r="A197" s="13" t="s">
        <v>205</v>
      </c>
      <c r="B197" s="13">
        <v>12</v>
      </c>
      <c r="C197" s="38" t="s">
        <v>206</v>
      </c>
      <c r="D197" s="28">
        <v>12</v>
      </c>
      <c r="E197" s="28"/>
      <c r="F197" s="28"/>
      <c r="G197" s="28"/>
      <c r="H197" s="28"/>
      <c r="I197" s="13"/>
      <c r="J197" s="13"/>
      <c r="K197" s="13">
        <f>SUM(D197:J197)</f>
        <v>12</v>
      </c>
    </row>
    <row r="198" s="1" customFormat="1" ht="21" customHeight="1" spans="1:11">
      <c r="A198" s="96" t="s">
        <v>207</v>
      </c>
      <c r="B198" s="13">
        <v>11.5</v>
      </c>
      <c r="C198" s="17" t="s">
        <v>208</v>
      </c>
      <c r="D198" s="28">
        <v>11.5</v>
      </c>
      <c r="E198" s="28"/>
      <c r="F198" s="28"/>
      <c r="G198" s="28"/>
      <c r="H198" s="28"/>
      <c r="I198" s="13"/>
      <c r="J198" s="13"/>
      <c r="K198" s="13">
        <f>SUM(D198:J198)</f>
        <v>11.5</v>
      </c>
    </row>
    <row r="199" s="1" customFormat="1" ht="21" customHeight="1" spans="1:11">
      <c r="A199" s="96"/>
      <c r="B199" s="13"/>
      <c r="C199" s="17" t="s">
        <v>210</v>
      </c>
      <c r="D199" s="28">
        <v>11.5</v>
      </c>
      <c r="E199" s="28"/>
      <c r="F199" s="28"/>
      <c r="G199" s="28"/>
      <c r="H199" s="28"/>
      <c r="I199" s="13"/>
      <c r="J199" s="13"/>
      <c r="K199" s="13">
        <f t="shared" ref="K199:K218" si="8">SUM(D199:J199)</f>
        <v>11.5</v>
      </c>
    </row>
    <row r="200" s="1" customFormat="1" ht="21" customHeight="1" spans="1:11">
      <c r="A200" s="16" t="s">
        <v>237</v>
      </c>
      <c r="B200" s="13">
        <v>11.5</v>
      </c>
      <c r="C200" s="17" t="s">
        <v>212</v>
      </c>
      <c r="D200" s="13">
        <v>11.5</v>
      </c>
      <c r="E200" s="28"/>
      <c r="F200" s="28"/>
      <c r="G200" s="28"/>
      <c r="H200" s="28"/>
      <c r="I200" s="13"/>
      <c r="J200" s="13"/>
      <c r="K200" s="13">
        <f t="shared" si="8"/>
        <v>11.5</v>
      </c>
    </row>
    <row r="201" s="1" customFormat="1" ht="21" customHeight="1" spans="1:11">
      <c r="A201" s="18"/>
      <c r="B201" s="13"/>
      <c r="C201" s="1" t="s">
        <v>215</v>
      </c>
      <c r="D201" s="13">
        <v>11.5</v>
      </c>
      <c r="E201" s="28"/>
      <c r="F201" s="28"/>
      <c r="G201" s="28"/>
      <c r="H201" s="28"/>
      <c r="I201" s="13"/>
      <c r="J201" s="13"/>
      <c r="K201" s="13">
        <f t="shared" si="8"/>
        <v>11.5</v>
      </c>
    </row>
    <row r="202" s="1" customFormat="1" ht="21" customHeight="1" spans="1:11">
      <c r="A202" s="19" t="s">
        <v>238</v>
      </c>
      <c r="B202" s="13"/>
      <c r="C202" s="17" t="s">
        <v>213</v>
      </c>
      <c r="D202" s="13">
        <v>11.5</v>
      </c>
      <c r="E202" s="28"/>
      <c r="F202" s="28"/>
      <c r="G202" s="28"/>
      <c r="H202" s="28"/>
      <c r="I202" s="13"/>
      <c r="J202" s="13"/>
      <c r="K202" s="13">
        <f t="shared" si="8"/>
        <v>11.5</v>
      </c>
    </row>
    <row r="203" s="1" customFormat="1" ht="21" customHeight="1" spans="1:11">
      <c r="A203" s="20"/>
      <c r="B203" s="13"/>
      <c r="C203" s="17" t="s">
        <v>216</v>
      </c>
      <c r="D203" s="13">
        <v>11.5</v>
      </c>
      <c r="E203" s="28"/>
      <c r="F203" s="28"/>
      <c r="G203" s="28"/>
      <c r="H203" s="28"/>
      <c r="I203" s="13"/>
      <c r="J203" s="13"/>
      <c r="K203" s="13">
        <f t="shared" si="8"/>
        <v>11.5</v>
      </c>
    </row>
    <row r="204" s="1" customFormat="1" ht="21" customHeight="1" spans="1:11">
      <c r="A204" s="21" t="s">
        <v>239</v>
      </c>
      <c r="B204" s="13"/>
      <c r="C204" s="13" t="s">
        <v>214</v>
      </c>
      <c r="D204" s="13">
        <v>11.5</v>
      </c>
      <c r="E204" s="28"/>
      <c r="F204" s="28"/>
      <c r="G204" s="28"/>
      <c r="H204" s="28"/>
      <c r="I204" s="13"/>
      <c r="J204" s="13"/>
      <c r="K204" s="13">
        <f t="shared" si="8"/>
        <v>11.5</v>
      </c>
    </row>
    <row r="205" s="1" customFormat="1" ht="21" customHeight="1" spans="1:11">
      <c r="A205" s="13" t="s">
        <v>217</v>
      </c>
      <c r="B205" s="13">
        <v>10.5</v>
      </c>
      <c r="C205" s="13" t="s">
        <v>218</v>
      </c>
      <c r="D205" s="13">
        <v>10.5</v>
      </c>
      <c r="E205" s="28"/>
      <c r="F205" s="28"/>
      <c r="G205" s="28"/>
      <c r="H205" s="28"/>
      <c r="I205" s="13"/>
      <c r="J205" s="13"/>
      <c r="K205" s="13">
        <f t="shared" si="8"/>
        <v>10.5</v>
      </c>
    </row>
    <row r="206" s="1" customFormat="1" ht="21" customHeight="1" spans="1:11">
      <c r="A206" s="13"/>
      <c r="B206" s="13"/>
      <c r="C206" s="13" t="s">
        <v>219</v>
      </c>
      <c r="D206" s="13">
        <v>10.5</v>
      </c>
      <c r="E206" s="28"/>
      <c r="F206" s="28"/>
      <c r="G206" s="28"/>
      <c r="H206" s="28"/>
      <c r="I206" s="13"/>
      <c r="J206" s="13"/>
      <c r="K206" s="13">
        <f t="shared" si="8"/>
        <v>10.5</v>
      </c>
    </row>
    <row r="207" s="1" customFormat="1" ht="21" customHeight="1" spans="1:11">
      <c r="A207" s="13" t="s">
        <v>220</v>
      </c>
      <c r="B207" s="13">
        <v>11.5</v>
      </c>
      <c r="C207" s="17" t="s">
        <v>221</v>
      </c>
      <c r="D207" s="28">
        <v>31.5</v>
      </c>
      <c r="E207" s="28"/>
      <c r="F207" s="28"/>
      <c r="G207" s="28"/>
      <c r="H207" s="28"/>
      <c r="I207" s="13"/>
      <c r="J207" s="13"/>
      <c r="K207" s="13">
        <f t="shared" si="8"/>
        <v>31.5</v>
      </c>
    </row>
    <row r="208" s="1" customFormat="1" ht="21" customHeight="1" spans="1:11">
      <c r="A208" s="13"/>
      <c r="B208" s="13"/>
      <c r="C208" s="17" t="s">
        <v>222</v>
      </c>
      <c r="D208" s="28">
        <v>11.5</v>
      </c>
      <c r="E208" s="28"/>
      <c r="F208" s="28"/>
      <c r="G208" s="28"/>
      <c r="H208" s="28"/>
      <c r="I208" s="13"/>
      <c r="J208" s="13"/>
      <c r="K208" s="13">
        <f t="shared" si="8"/>
        <v>11.5</v>
      </c>
    </row>
    <row r="209" s="1" customFormat="1" ht="21" customHeight="1" spans="1:11">
      <c r="A209" s="13"/>
      <c r="B209" s="13"/>
      <c r="C209" s="17" t="s">
        <v>223</v>
      </c>
      <c r="D209" s="28">
        <v>11.5</v>
      </c>
      <c r="E209" s="28"/>
      <c r="F209" s="28"/>
      <c r="G209" s="28"/>
      <c r="H209" s="28"/>
      <c r="I209" s="13"/>
      <c r="J209" s="13"/>
      <c r="K209" s="13">
        <f t="shared" si="8"/>
        <v>11.5</v>
      </c>
    </row>
    <row r="210" s="1" customFormat="1" ht="21" customHeight="1" spans="1:11">
      <c r="A210" s="13"/>
      <c r="B210" s="13"/>
      <c r="C210" s="17" t="s">
        <v>224</v>
      </c>
      <c r="D210" s="28">
        <v>43</v>
      </c>
      <c r="E210" s="28"/>
      <c r="F210" s="28"/>
      <c r="G210" s="28"/>
      <c r="H210" s="28"/>
      <c r="I210" s="13"/>
      <c r="J210" s="13"/>
      <c r="K210" s="13">
        <f t="shared" si="8"/>
        <v>43</v>
      </c>
    </row>
    <row r="211" s="1" customFormat="1" ht="21" customHeight="1" spans="1:11">
      <c r="A211" s="97" t="s">
        <v>225</v>
      </c>
      <c r="B211" s="97">
        <v>10.5</v>
      </c>
      <c r="C211" s="13" t="s">
        <v>226</v>
      </c>
      <c r="D211" s="28">
        <v>5</v>
      </c>
      <c r="E211" s="28"/>
      <c r="F211" s="28"/>
      <c r="G211" s="28"/>
      <c r="H211" s="28"/>
      <c r="I211" s="13"/>
      <c r="J211" s="13"/>
      <c r="K211" s="13">
        <f t="shared" si="8"/>
        <v>5</v>
      </c>
    </row>
    <row r="212" s="1" customFormat="1" ht="21" customHeight="1" spans="1:11">
      <c r="A212" s="97"/>
      <c r="B212" s="97"/>
      <c r="C212" s="13" t="s">
        <v>250</v>
      </c>
      <c r="D212" s="28">
        <v>5</v>
      </c>
      <c r="E212" s="28"/>
      <c r="F212" s="28"/>
      <c r="G212" s="28"/>
      <c r="H212" s="28"/>
      <c r="I212" s="13"/>
      <c r="J212" s="13"/>
      <c r="K212" s="13">
        <f t="shared" si="8"/>
        <v>5</v>
      </c>
    </row>
    <row r="213" s="1" customFormat="1" ht="21" customHeight="1" spans="1:11">
      <c r="A213" s="97"/>
      <c r="B213" s="97"/>
      <c r="C213" s="13" t="s">
        <v>228</v>
      </c>
      <c r="D213" s="13">
        <v>5</v>
      </c>
      <c r="E213" s="28"/>
      <c r="F213" s="28"/>
      <c r="G213" s="28"/>
      <c r="H213" s="28"/>
      <c r="I213" s="13"/>
      <c r="J213" s="13"/>
      <c r="K213" s="13">
        <f t="shared" si="8"/>
        <v>5</v>
      </c>
    </row>
    <row r="214" s="1" customFormat="1" ht="21" customHeight="1" spans="1:11">
      <c r="A214" s="97"/>
      <c r="B214" s="97"/>
      <c r="C214" s="13" t="s">
        <v>227</v>
      </c>
      <c r="D214" s="13">
        <v>5</v>
      </c>
      <c r="E214" s="28"/>
      <c r="F214" s="28"/>
      <c r="G214" s="28"/>
      <c r="H214" s="28"/>
      <c r="I214" s="13"/>
      <c r="J214" s="13"/>
      <c r="K214" s="13">
        <f t="shared" si="8"/>
        <v>5</v>
      </c>
    </row>
    <row r="215" s="1" customFormat="1" ht="21" customHeight="1" spans="1:11">
      <c r="A215" s="97"/>
      <c r="B215" s="97"/>
      <c r="C215" s="1" t="s">
        <v>295</v>
      </c>
      <c r="D215" s="28">
        <v>5</v>
      </c>
      <c r="E215" s="28"/>
      <c r="F215" s="28"/>
      <c r="G215" s="28"/>
      <c r="H215" s="28"/>
      <c r="I215" s="13"/>
      <c r="J215" s="98"/>
      <c r="K215" s="13">
        <f t="shared" si="8"/>
        <v>5</v>
      </c>
    </row>
    <row r="216" s="1" customFormat="1" ht="21" customHeight="1" spans="1:11">
      <c r="A216" s="97"/>
      <c r="B216" s="97"/>
      <c r="C216" s="13" t="s">
        <v>229</v>
      </c>
      <c r="D216" s="28">
        <v>10.5</v>
      </c>
      <c r="E216" s="28"/>
      <c r="F216" s="28"/>
      <c r="G216" s="28"/>
      <c r="H216" s="28"/>
      <c r="I216" s="13"/>
      <c r="J216" s="98"/>
      <c r="K216" s="13">
        <f t="shared" si="8"/>
        <v>10.5</v>
      </c>
    </row>
    <row r="217" s="1" customFormat="1" ht="21" customHeight="1" spans="1:11">
      <c r="A217" s="28" t="s">
        <v>230</v>
      </c>
      <c r="B217" s="28">
        <v>10.5</v>
      </c>
      <c r="C217" s="13" t="s">
        <v>231</v>
      </c>
      <c r="D217" s="13">
        <v>10.5</v>
      </c>
      <c r="E217" s="28"/>
      <c r="F217" s="28"/>
      <c r="G217" s="13"/>
      <c r="H217" s="13"/>
      <c r="I217" s="13"/>
      <c r="J217" s="98"/>
      <c r="K217" s="13">
        <f t="shared" si="8"/>
        <v>10.5</v>
      </c>
    </row>
    <row r="218" s="1" customFormat="1" ht="21" customHeight="1" spans="1:11">
      <c r="A218" s="13" t="s">
        <v>232</v>
      </c>
      <c r="B218" s="13">
        <v>12</v>
      </c>
      <c r="C218" s="13" t="s">
        <v>233</v>
      </c>
      <c r="D218" s="13">
        <v>12</v>
      </c>
      <c r="E218" s="13"/>
      <c r="F218" s="13"/>
      <c r="G218" s="13"/>
      <c r="H218" s="13"/>
      <c r="I218" s="13"/>
      <c r="J218" s="98"/>
      <c r="K218" s="13">
        <f t="shared" si="8"/>
        <v>12</v>
      </c>
    </row>
    <row r="219" s="1" customFormat="1" ht="21" customHeight="1" spans="1:11">
      <c r="A219" s="17"/>
      <c r="B219" s="29"/>
      <c r="C219" s="29"/>
      <c r="D219" s="29"/>
      <c r="E219" s="29"/>
      <c r="F219" s="29"/>
      <c r="G219" s="29"/>
      <c r="H219" s="29"/>
      <c r="I219" s="29"/>
      <c r="J219" s="99"/>
      <c r="K219" s="9">
        <f>SUM(K197:K218)</f>
        <v>269</v>
      </c>
    </row>
    <row r="222" s="3" customFormat="1" ht="21" customHeight="1" spans="1:11">
      <c r="A222" s="71" t="s">
        <v>473</v>
      </c>
      <c r="B222" s="71"/>
      <c r="C222" s="71"/>
      <c r="D222" s="71"/>
      <c r="E222" s="71"/>
      <c r="F222" s="71"/>
      <c r="G222" s="71"/>
      <c r="H222" s="71"/>
      <c r="I222" s="71"/>
      <c r="J222" s="71"/>
      <c r="K222" s="71"/>
    </row>
    <row r="223" s="3" customFormat="1" ht="21" customHeight="1" spans="1:11">
      <c r="A223" s="72" t="s">
        <v>198</v>
      </c>
      <c r="B223" s="72"/>
      <c r="C223" s="72"/>
      <c r="D223" s="73" t="s">
        <v>474</v>
      </c>
      <c r="E223" s="72"/>
      <c r="F223" s="72"/>
      <c r="G223" s="72"/>
      <c r="H223" s="72"/>
      <c r="I223" s="72"/>
      <c r="J223" s="72"/>
      <c r="K223" s="72"/>
    </row>
    <row r="224" s="3" customFormat="1" ht="21" customHeight="1" spans="1:11">
      <c r="A224" s="74" t="s">
        <v>200</v>
      </c>
      <c r="B224" s="74" t="s">
        <v>201</v>
      </c>
      <c r="C224" s="75" t="s">
        <v>202</v>
      </c>
      <c r="D224" s="76" t="s">
        <v>6</v>
      </c>
      <c r="E224" s="76" t="s">
        <v>6</v>
      </c>
      <c r="F224" s="74" t="s">
        <v>6</v>
      </c>
      <c r="G224" s="74" t="s">
        <v>6</v>
      </c>
      <c r="H224" s="74" t="s">
        <v>6</v>
      </c>
      <c r="I224" s="74" t="s">
        <v>6</v>
      </c>
      <c r="J224" s="74" t="s">
        <v>203</v>
      </c>
      <c r="K224" s="74" t="s">
        <v>204</v>
      </c>
    </row>
    <row r="225" s="3" customFormat="1" ht="21" customHeight="1" spans="1:11">
      <c r="A225" s="56" t="s">
        <v>205</v>
      </c>
      <c r="B225" s="56">
        <v>12</v>
      </c>
      <c r="C225" s="54" t="s">
        <v>206</v>
      </c>
      <c r="D225" s="55"/>
      <c r="E225" s="100">
        <v>10</v>
      </c>
      <c r="F225" s="100"/>
      <c r="G225" s="77"/>
      <c r="H225" s="77"/>
      <c r="I225" s="58"/>
      <c r="J225" s="47"/>
      <c r="K225" s="56">
        <f t="shared" ref="K225:K245" si="9">SUM(D225:J225)</f>
        <v>10</v>
      </c>
    </row>
    <row r="226" s="3" customFormat="1" ht="21" customHeight="1" spans="1:11">
      <c r="A226" s="78" t="s">
        <v>207</v>
      </c>
      <c r="B226" s="56">
        <v>11.5</v>
      </c>
      <c r="C226" s="61" t="s">
        <v>208</v>
      </c>
      <c r="D226" s="55"/>
      <c r="E226" s="100">
        <v>15</v>
      </c>
      <c r="F226" s="100"/>
      <c r="G226" s="77"/>
      <c r="H226" s="77"/>
      <c r="I226" s="58"/>
      <c r="J226" s="47"/>
      <c r="K226" s="56">
        <f t="shared" si="9"/>
        <v>15</v>
      </c>
    </row>
    <row r="227" s="3" customFormat="1" ht="21" customHeight="1" spans="1:11">
      <c r="A227" s="78"/>
      <c r="B227" s="56"/>
      <c r="C227" s="61" t="s">
        <v>210</v>
      </c>
      <c r="D227" s="55"/>
      <c r="E227" s="100">
        <v>15</v>
      </c>
      <c r="F227" s="100"/>
      <c r="G227" s="77"/>
      <c r="H227" s="77"/>
      <c r="I227" s="58"/>
      <c r="J227" s="47"/>
      <c r="K227" s="56">
        <f t="shared" si="9"/>
        <v>15</v>
      </c>
    </row>
    <row r="228" s="3" customFormat="1" ht="21" customHeight="1" spans="1:11">
      <c r="A228" s="79" t="s">
        <v>237</v>
      </c>
      <c r="B228" s="56">
        <v>11.5</v>
      </c>
      <c r="C228" s="61" t="s">
        <v>212</v>
      </c>
      <c r="D228" s="55"/>
      <c r="E228" s="100">
        <v>11</v>
      </c>
      <c r="F228" s="100"/>
      <c r="G228" s="77"/>
      <c r="H228" s="77"/>
      <c r="I228" s="58"/>
      <c r="J228" s="47"/>
      <c r="K228" s="56">
        <f t="shared" si="9"/>
        <v>11</v>
      </c>
    </row>
    <row r="229" s="3" customFormat="1" ht="21" customHeight="1" spans="1:11">
      <c r="A229" s="80"/>
      <c r="B229" s="56"/>
      <c r="C229" s="3" t="s">
        <v>215</v>
      </c>
      <c r="D229" s="55"/>
      <c r="E229" s="100">
        <v>0</v>
      </c>
      <c r="F229" s="100"/>
      <c r="G229" s="77"/>
      <c r="H229" s="77"/>
      <c r="I229" s="58"/>
      <c r="J229" s="47"/>
      <c r="K229" s="56">
        <f t="shared" si="9"/>
        <v>0</v>
      </c>
    </row>
    <row r="230" s="3" customFormat="1" ht="21" customHeight="1" spans="1:11">
      <c r="A230" s="81" t="s">
        <v>238</v>
      </c>
      <c r="B230" s="56"/>
      <c r="C230" s="61" t="s">
        <v>213</v>
      </c>
      <c r="D230" s="55"/>
      <c r="E230" s="100">
        <v>0</v>
      </c>
      <c r="F230" s="100"/>
      <c r="G230" s="77"/>
      <c r="H230" s="77"/>
      <c r="I230" s="58"/>
      <c r="J230" s="47"/>
      <c r="K230" s="56">
        <f t="shared" si="9"/>
        <v>0</v>
      </c>
    </row>
    <row r="231" s="3" customFormat="1" ht="21" customHeight="1" spans="1:11">
      <c r="A231" s="82"/>
      <c r="B231" s="56"/>
      <c r="C231" s="61" t="s">
        <v>216</v>
      </c>
      <c r="D231" s="55"/>
      <c r="E231" s="100">
        <v>0</v>
      </c>
      <c r="F231" s="100"/>
      <c r="G231" s="77"/>
      <c r="H231" s="77"/>
      <c r="I231" s="83"/>
      <c r="J231" s="47"/>
      <c r="K231" s="56">
        <f t="shared" si="9"/>
        <v>0</v>
      </c>
    </row>
    <row r="232" s="3" customFormat="1" ht="21" customHeight="1" spans="1:11">
      <c r="A232" s="84" t="s">
        <v>239</v>
      </c>
      <c r="B232" s="56"/>
      <c r="C232" s="56" t="s">
        <v>214</v>
      </c>
      <c r="D232" s="55"/>
      <c r="E232" s="100">
        <v>11</v>
      </c>
      <c r="F232" s="100"/>
      <c r="G232" s="77"/>
      <c r="H232" s="77"/>
      <c r="I232" s="83"/>
      <c r="J232" s="47"/>
      <c r="K232" s="56">
        <f t="shared" si="9"/>
        <v>11</v>
      </c>
    </row>
    <row r="233" s="3" customFormat="1" ht="21" customHeight="1" spans="1:11">
      <c r="A233" s="56" t="s">
        <v>217</v>
      </c>
      <c r="B233" s="56">
        <v>10.5</v>
      </c>
      <c r="C233" s="56" t="s">
        <v>218</v>
      </c>
      <c r="D233" s="47"/>
      <c r="E233" s="100">
        <v>5</v>
      </c>
      <c r="F233" s="100"/>
      <c r="G233" s="77"/>
      <c r="H233" s="77"/>
      <c r="I233" s="58"/>
      <c r="J233" s="47"/>
      <c r="K233" s="56">
        <f t="shared" si="9"/>
        <v>5</v>
      </c>
    </row>
    <row r="234" s="3" customFormat="1" ht="21" customHeight="1" spans="1:11">
      <c r="A234" s="56"/>
      <c r="B234" s="56"/>
      <c r="C234" s="56" t="s">
        <v>219</v>
      </c>
      <c r="D234" s="55"/>
      <c r="E234" s="100">
        <v>0</v>
      </c>
      <c r="F234" s="100"/>
      <c r="G234" s="77"/>
      <c r="H234" s="77"/>
      <c r="I234" s="58"/>
      <c r="J234" s="47"/>
      <c r="K234" s="56">
        <f t="shared" si="9"/>
        <v>0</v>
      </c>
    </row>
    <row r="235" s="3" customFormat="1" ht="21" customHeight="1" spans="1:11">
      <c r="A235" s="56" t="s">
        <v>220</v>
      </c>
      <c r="B235" s="56">
        <v>11.5</v>
      </c>
      <c r="C235" s="61" t="s">
        <v>221</v>
      </c>
      <c r="D235" s="55">
        <v>36</v>
      </c>
      <c r="E235" s="100">
        <v>5</v>
      </c>
      <c r="F235" s="100"/>
      <c r="G235" s="77"/>
      <c r="H235" s="77"/>
      <c r="I235" s="58"/>
      <c r="J235" s="47"/>
      <c r="K235" s="56">
        <f t="shared" si="9"/>
        <v>41</v>
      </c>
    </row>
    <row r="236" s="3" customFormat="1" ht="21" customHeight="1" spans="1:11">
      <c r="A236" s="56"/>
      <c r="B236" s="56"/>
      <c r="C236" s="61" t="s">
        <v>222</v>
      </c>
      <c r="D236" s="47">
        <v>34.6</v>
      </c>
      <c r="E236" s="100">
        <v>5</v>
      </c>
      <c r="F236" s="100"/>
      <c r="G236" s="77"/>
      <c r="H236" s="77"/>
      <c r="I236" s="58"/>
      <c r="J236" s="47"/>
      <c r="K236" s="56">
        <f t="shared" si="9"/>
        <v>39.6</v>
      </c>
    </row>
    <row r="237" s="3" customFormat="1" ht="21" customHeight="1" spans="1:11">
      <c r="A237" s="56"/>
      <c r="B237" s="56"/>
      <c r="C237" s="61" t="s">
        <v>223</v>
      </c>
      <c r="D237" s="55">
        <v>34.6</v>
      </c>
      <c r="E237" s="100">
        <v>0</v>
      </c>
      <c r="F237" s="100"/>
      <c r="G237" s="77"/>
      <c r="H237" s="77"/>
      <c r="I237" s="58"/>
      <c r="J237" s="47"/>
      <c r="K237" s="56">
        <f t="shared" si="9"/>
        <v>34.6</v>
      </c>
    </row>
    <row r="238" s="3" customFormat="1" ht="21" customHeight="1" spans="1:11">
      <c r="A238" s="56"/>
      <c r="B238" s="56"/>
      <c r="C238" s="61" t="s">
        <v>224</v>
      </c>
      <c r="D238" s="47">
        <v>24.5</v>
      </c>
      <c r="E238" s="100">
        <v>5</v>
      </c>
      <c r="F238" s="100"/>
      <c r="G238" s="77"/>
      <c r="H238" s="77"/>
      <c r="I238" s="58"/>
      <c r="J238" s="47"/>
      <c r="K238" s="56">
        <f t="shared" si="9"/>
        <v>29.5</v>
      </c>
    </row>
    <row r="239" s="3" customFormat="1" ht="21" customHeight="1" spans="1:11">
      <c r="A239" s="85" t="s">
        <v>225</v>
      </c>
      <c r="B239" s="85">
        <v>10.5</v>
      </c>
      <c r="C239" s="56" t="s">
        <v>226</v>
      </c>
      <c r="D239" s="55">
        <v>11</v>
      </c>
      <c r="E239" s="100">
        <v>10</v>
      </c>
      <c r="F239" s="100"/>
      <c r="G239" s="77"/>
      <c r="H239" s="77"/>
      <c r="I239" s="58"/>
      <c r="J239" s="47"/>
      <c r="K239" s="56">
        <f t="shared" si="9"/>
        <v>21</v>
      </c>
    </row>
    <row r="240" s="3" customFormat="1" ht="21" customHeight="1" spans="1:11">
      <c r="A240" s="85"/>
      <c r="B240" s="85"/>
      <c r="C240" s="56" t="s">
        <v>228</v>
      </c>
      <c r="D240" s="55">
        <v>11</v>
      </c>
      <c r="E240" s="100">
        <v>0</v>
      </c>
      <c r="F240" s="100"/>
      <c r="G240" s="77"/>
      <c r="H240" s="77"/>
      <c r="I240" s="58"/>
      <c r="J240" s="47"/>
      <c r="K240" s="56">
        <f t="shared" si="9"/>
        <v>11</v>
      </c>
    </row>
    <row r="241" s="3" customFormat="1" ht="21" customHeight="1" spans="1:11">
      <c r="A241" s="85"/>
      <c r="B241" s="85"/>
      <c r="C241" s="61" t="s">
        <v>227</v>
      </c>
      <c r="D241" s="55">
        <v>11</v>
      </c>
      <c r="E241" s="100">
        <v>0</v>
      </c>
      <c r="F241" s="100"/>
      <c r="G241" s="77"/>
      <c r="H241" s="77"/>
      <c r="I241" s="58"/>
      <c r="J241" s="47"/>
      <c r="K241" s="56">
        <f t="shared" si="9"/>
        <v>11</v>
      </c>
    </row>
    <row r="242" s="3" customFormat="1" ht="21" customHeight="1" spans="1:11">
      <c r="A242" s="85"/>
      <c r="B242" s="85"/>
      <c r="C242" s="61" t="s">
        <v>240</v>
      </c>
      <c r="D242" s="101">
        <v>11</v>
      </c>
      <c r="E242" s="100">
        <v>5</v>
      </c>
      <c r="F242" s="100"/>
      <c r="G242" s="77"/>
      <c r="H242" s="77"/>
      <c r="I242" s="58"/>
      <c r="J242" s="58"/>
      <c r="K242" s="56">
        <f t="shared" si="9"/>
        <v>16</v>
      </c>
    </row>
    <row r="243" s="3" customFormat="1" ht="21" customHeight="1" spans="1:11">
      <c r="A243" s="85"/>
      <c r="B243" s="85"/>
      <c r="C243" s="56" t="s">
        <v>229</v>
      </c>
      <c r="D243" s="64">
        <v>11</v>
      </c>
      <c r="E243" s="100">
        <v>5</v>
      </c>
      <c r="F243" s="100"/>
      <c r="G243" s="77"/>
      <c r="H243" s="77"/>
      <c r="I243" s="58"/>
      <c r="J243" s="58"/>
      <c r="K243" s="56">
        <f t="shared" si="9"/>
        <v>16</v>
      </c>
    </row>
    <row r="244" s="3" customFormat="1" ht="21" customHeight="1" spans="1:11">
      <c r="A244" s="86" t="s">
        <v>230</v>
      </c>
      <c r="B244" s="86">
        <v>10.5</v>
      </c>
      <c r="C244" s="56" t="s">
        <v>231</v>
      </c>
      <c r="D244" s="55">
        <v>10.5</v>
      </c>
      <c r="E244" s="100">
        <v>10.5</v>
      </c>
      <c r="F244" s="100"/>
      <c r="G244" s="77"/>
      <c r="H244" s="77"/>
      <c r="I244" s="58"/>
      <c r="J244" s="58"/>
      <c r="K244" s="56">
        <f t="shared" si="9"/>
        <v>21</v>
      </c>
    </row>
    <row r="245" s="3" customFormat="1" ht="21" customHeight="1" spans="1:11">
      <c r="A245" s="56" t="s">
        <v>232</v>
      </c>
      <c r="B245" s="56">
        <v>12</v>
      </c>
      <c r="C245" s="56" t="s">
        <v>233</v>
      </c>
      <c r="D245" s="47">
        <v>12</v>
      </c>
      <c r="E245" s="54">
        <v>12</v>
      </c>
      <c r="F245" s="54"/>
      <c r="G245" s="77"/>
      <c r="H245" s="77"/>
      <c r="I245" s="58"/>
      <c r="J245" s="58"/>
      <c r="K245" s="56">
        <f t="shared" si="9"/>
        <v>24</v>
      </c>
    </row>
    <row r="246" s="3" customFormat="1" ht="21" customHeight="1" spans="1:1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47">
        <f>SUM(K225:K245)</f>
        <v>331.7</v>
      </c>
    </row>
    <row r="250" s="3" customFormat="1" ht="21" customHeight="1" spans="1:11">
      <c r="A250" s="71" t="s">
        <v>473</v>
      </c>
      <c r="B250" s="71"/>
      <c r="C250" s="71"/>
      <c r="D250" s="71"/>
      <c r="E250" s="71"/>
      <c r="F250" s="71"/>
      <c r="G250" s="71"/>
      <c r="H250" s="71"/>
      <c r="I250" s="71"/>
      <c r="J250" s="71"/>
      <c r="K250" s="71"/>
    </row>
    <row r="251" s="3" customFormat="1" ht="21" customHeight="1" spans="1:11">
      <c r="A251" s="72" t="s">
        <v>198</v>
      </c>
      <c r="B251" s="72"/>
      <c r="C251" s="72"/>
      <c r="D251" s="73" t="s">
        <v>475</v>
      </c>
      <c r="E251" s="72"/>
      <c r="F251" s="72"/>
      <c r="G251" s="72"/>
      <c r="H251" s="72"/>
      <c r="I251" s="72"/>
      <c r="J251" s="72"/>
      <c r="K251" s="72"/>
    </row>
    <row r="252" s="3" customFormat="1" ht="21" customHeight="1" spans="1:11">
      <c r="A252" s="74" t="s">
        <v>200</v>
      </c>
      <c r="B252" s="74" t="s">
        <v>201</v>
      </c>
      <c r="C252" s="75" t="s">
        <v>202</v>
      </c>
      <c r="D252" s="76" t="s">
        <v>6</v>
      </c>
      <c r="E252" s="76" t="s">
        <v>6</v>
      </c>
      <c r="F252" s="74" t="s">
        <v>6</v>
      </c>
      <c r="G252" s="74" t="s">
        <v>6</v>
      </c>
      <c r="H252" s="74" t="s">
        <v>6</v>
      </c>
      <c r="I252" s="74" t="s">
        <v>6</v>
      </c>
      <c r="J252" s="74" t="s">
        <v>203</v>
      </c>
      <c r="K252" s="74" t="s">
        <v>204</v>
      </c>
    </row>
    <row r="253" s="3" customFormat="1" ht="21" customHeight="1" spans="1:11">
      <c r="A253" s="56" t="s">
        <v>205</v>
      </c>
      <c r="B253" s="56">
        <v>12</v>
      </c>
      <c r="C253" s="54" t="s">
        <v>206</v>
      </c>
      <c r="D253" s="55">
        <v>12</v>
      </c>
      <c r="E253" s="100">
        <v>10</v>
      </c>
      <c r="F253" s="100"/>
      <c r="G253" s="77"/>
      <c r="H253" s="77"/>
      <c r="I253" s="58"/>
      <c r="J253" s="47"/>
      <c r="K253" s="56">
        <f t="shared" ref="K253:K273" si="10">SUM(D253:J253)</f>
        <v>22</v>
      </c>
    </row>
    <row r="254" s="3" customFormat="1" ht="21" customHeight="1" spans="1:11">
      <c r="A254" s="78" t="s">
        <v>207</v>
      </c>
      <c r="B254" s="56">
        <v>11.5</v>
      </c>
      <c r="C254" s="61" t="s">
        <v>208</v>
      </c>
      <c r="D254" s="55">
        <v>17.5</v>
      </c>
      <c r="E254" s="100">
        <v>15</v>
      </c>
      <c r="F254" s="100"/>
      <c r="G254" s="77"/>
      <c r="H254" s="77"/>
      <c r="I254" s="58"/>
      <c r="J254" s="47"/>
      <c r="K254" s="56">
        <f t="shared" si="10"/>
        <v>32.5</v>
      </c>
    </row>
    <row r="255" s="3" customFormat="1" ht="21" customHeight="1" spans="1:11">
      <c r="A255" s="78"/>
      <c r="B255" s="56"/>
      <c r="C255" s="61" t="s">
        <v>210</v>
      </c>
      <c r="D255" s="55">
        <v>17.5</v>
      </c>
      <c r="E255" s="100">
        <v>15</v>
      </c>
      <c r="F255" s="100"/>
      <c r="G255" s="77"/>
      <c r="H255" s="77"/>
      <c r="I255" s="58"/>
      <c r="J255" s="47"/>
      <c r="K255" s="56">
        <f t="shared" si="10"/>
        <v>32.5</v>
      </c>
    </row>
    <row r="256" s="3" customFormat="1" ht="21" customHeight="1" spans="1:11">
      <c r="A256" s="79" t="s">
        <v>237</v>
      </c>
      <c r="B256" s="56">
        <v>11.5</v>
      </c>
      <c r="C256" s="61" t="s">
        <v>212</v>
      </c>
      <c r="D256" s="55">
        <v>30</v>
      </c>
      <c r="E256" s="100">
        <v>11</v>
      </c>
      <c r="F256" s="100"/>
      <c r="G256" s="77"/>
      <c r="H256" s="77"/>
      <c r="I256" s="58"/>
      <c r="J256" s="47"/>
      <c r="K256" s="56">
        <f t="shared" si="10"/>
        <v>41</v>
      </c>
    </row>
    <row r="257" s="3" customFormat="1" ht="21" customHeight="1" spans="1:11">
      <c r="A257" s="80"/>
      <c r="B257" s="56"/>
      <c r="C257" s="3" t="s">
        <v>215</v>
      </c>
      <c r="D257" s="55">
        <v>23</v>
      </c>
      <c r="E257" s="100">
        <v>0</v>
      </c>
      <c r="F257" s="100"/>
      <c r="G257" s="77"/>
      <c r="H257" s="77"/>
      <c r="I257" s="58"/>
      <c r="J257" s="47"/>
      <c r="K257" s="56">
        <f t="shared" si="10"/>
        <v>23</v>
      </c>
    </row>
    <row r="258" s="3" customFormat="1" ht="21" customHeight="1" spans="1:11">
      <c r="A258" s="81" t="s">
        <v>238</v>
      </c>
      <c r="B258" s="56"/>
      <c r="C258" s="61" t="s">
        <v>213</v>
      </c>
      <c r="D258" s="55">
        <v>23</v>
      </c>
      <c r="E258" s="100">
        <v>0</v>
      </c>
      <c r="F258" s="100"/>
      <c r="G258" s="77"/>
      <c r="H258" s="77"/>
      <c r="I258" s="58"/>
      <c r="J258" s="47"/>
      <c r="K258" s="56">
        <f t="shared" si="10"/>
        <v>23</v>
      </c>
    </row>
    <row r="259" s="3" customFormat="1" ht="21" customHeight="1" spans="1:11">
      <c r="A259" s="82"/>
      <c r="B259" s="56"/>
      <c r="C259" s="61" t="s">
        <v>216</v>
      </c>
      <c r="D259" s="55">
        <v>45.5</v>
      </c>
      <c r="E259" s="100">
        <v>0</v>
      </c>
      <c r="F259" s="100"/>
      <c r="G259" s="77"/>
      <c r="H259" s="77"/>
      <c r="I259" s="83"/>
      <c r="J259" s="47"/>
      <c r="K259" s="56">
        <f t="shared" si="10"/>
        <v>45.5</v>
      </c>
    </row>
    <row r="260" s="3" customFormat="1" ht="21" customHeight="1" spans="1:11">
      <c r="A260" s="84" t="s">
        <v>239</v>
      </c>
      <c r="B260" s="56"/>
      <c r="C260" s="56" t="s">
        <v>214</v>
      </c>
      <c r="D260" s="55">
        <v>19</v>
      </c>
      <c r="E260" s="100">
        <v>11</v>
      </c>
      <c r="F260" s="100"/>
      <c r="G260" s="77"/>
      <c r="H260" s="77"/>
      <c r="I260" s="83"/>
      <c r="J260" s="47"/>
      <c r="K260" s="56">
        <f t="shared" si="10"/>
        <v>30</v>
      </c>
    </row>
    <row r="261" s="3" customFormat="1" ht="21" customHeight="1" spans="1:11">
      <c r="A261" s="56" t="s">
        <v>217</v>
      </c>
      <c r="B261" s="56">
        <v>10.5</v>
      </c>
      <c r="C261" s="56" t="s">
        <v>218</v>
      </c>
      <c r="D261" s="47">
        <v>30.5</v>
      </c>
      <c r="E261" s="100">
        <v>5</v>
      </c>
      <c r="F261" s="100"/>
      <c r="G261" s="77"/>
      <c r="H261" s="77"/>
      <c r="I261" s="58"/>
      <c r="J261" s="47"/>
      <c r="K261" s="56">
        <f t="shared" si="10"/>
        <v>35.5</v>
      </c>
    </row>
    <row r="262" s="3" customFormat="1" ht="21" customHeight="1" spans="1:11">
      <c r="A262" s="56"/>
      <c r="B262" s="56"/>
      <c r="C262" s="56" t="s">
        <v>219</v>
      </c>
      <c r="D262" s="55">
        <v>45.5</v>
      </c>
      <c r="E262" s="100">
        <v>0</v>
      </c>
      <c r="F262" s="100"/>
      <c r="G262" s="77"/>
      <c r="H262" s="77"/>
      <c r="I262" s="58"/>
      <c r="J262" s="47"/>
      <c r="K262" s="56">
        <f t="shared" si="10"/>
        <v>45.5</v>
      </c>
    </row>
    <row r="263" s="3" customFormat="1" ht="21" customHeight="1" spans="1:11">
      <c r="A263" s="56" t="s">
        <v>220</v>
      </c>
      <c r="B263" s="56">
        <v>11.5</v>
      </c>
      <c r="C263" s="61" t="s">
        <v>221</v>
      </c>
      <c r="D263" s="55">
        <v>36</v>
      </c>
      <c r="E263" s="100">
        <v>5</v>
      </c>
      <c r="F263" s="100"/>
      <c r="G263" s="77"/>
      <c r="H263" s="77"/>
      <c r="I263" s="58"/>
      <c r="J263" s="47"/>
      <c r="K263" s="56">
        <f t="shared" si="10"/>
        <v>41</v>
      </c>
    </row>
    <row r="264" s="3" customFormat="1" ht="21" customHeight="1" spans="1:11">
      <c r="A264" s="56"/>
      <c r="B264" s="56"/>
      <c r="C264" s="61" t="s">
        <v>222</v>
      </c>
      <c r="D264" s="47">
        <v>34.6</v>
      </c>
      <c r="E264" s="100">
        <v>5</v>
      </c>
      <c r="F264" s="100"/>
      <c r="G264" s="77"/>
      <c r="H264" s="77"/>
      <c r="I264" s="58"/>
      <c r="J264" s="47"/>
      <c r="K264" s="56">
        <f t="shared" si="10"/>
        <v>39.6</v>
      </c>
    </row>
    <row r="265" s="3" customFormat="1" ht="21" customHeight="1" spans="1:11">
      <c r="A265" s="56"/>
      <c r="B265" s="56"/>
      <c r="C265" s="61" t="s">
        <v>223</v>
      </c>
      <c r="D265" s="55">
        <v>34.6</v>
      </c>
      <c r="E265" s="100">
        <v>0</v>
      </c>
      <c r="F265" s="100"/>
      <c r="G265" s="77"/>
      <c r="H265" s="77"/>
      <c r="I265" s="58"/>
      <c r="J265" s="47"/>
      <c r="K265" s="56">
        <f t="shared" si="10"/>
        <v>34.6</v>
      </c>
    </row>
    <row r="266" s="3" customFormat="1" ht="21" customHeight="1" spans="1:11">
      <c r="A266" s="56"/>
      <c r="B266" s="56"/>
      <c r="C266" s="61" t="s">
        <v>224</v>
      </c>
      <c r="D266" s="47">
        <v>24.5</v>
      </c>
      <c r="E266" s="100">
        <v>5</v>
      </c>
      <c r="F266" s="100"/>
      <c r="G266" s="77"/>
      <c r="H266" s="77"/>
      <c r="I266" s="58"/>
      <c r="J266" s="47"/>
      <c r="K266" s="56">
        <f t="shared" si="10"/>
        <v>29.5</v>
      </c>
    </row>
    <row r="267" s="3" customFormat="1" ht="21" customHeight="1" spans="1:11">
      <c r="A267" s="85" t="s">
        <v>225</v>
      </c>
      <c r="B267" s="85">
        <v>10.5</v>
      </c>
      <c r="C267" s="56" t="s">
        <v>226</v>
      </c>
      <c r="D267" s="55">
        <v>21</v>
      </c>
      <c r="E267" s="100">
        <v>10</v>
      </c>
      <c r="F267" s="100"/>
      <c r="G267" s="77"/>
      <c r="H267" s="77"/>
      <c r="I267" s="58"/>
      <c r="J267" s="47"/>
      <c r="K267" s="56">
        <f t="shared" si="10"/>
        <v>31</v>
      </c>
    </row>
    <row r="268" s="3" customFormat="1" ht="21" customHeight="1" spans="1:11">
      <c r="A268" s="85"/>
      <c r="B268" s="85"/>
      <c r="C268" s="56" t="s">
        <v>228</v>
      </c>
      <c r="D268" s="55">
        <v>21</v>
      </c>
      <c r="E268" s="100">
        <v>0</v>
      </c>
      <c r="F268" s="100"/>
      <c r="G268" s="77"/>
      <c r="H268" s="77"/>
      <c r="I268" s="58"/>
      <c r="J268" s="47"/>
      <c r="K268" s="56">
        <f t="shared" si="10"/>
        <v>21</v>
      </c>
    </row>
    <row r="269" s="3" customFormat="1" ht="21" customHeight="1" spans="1:11">
      <c r="A269" s="85"/>
      <c r="B269" s="85"/>
      <c r="C269" s="61" t="s">
        <v>227</v>
      </c>
      <c r="D269" s="55">
        <v>21</v>
      </c>
      <c r="E269" s="100">
        <v>0</v>
      </c>
      <c r="F269" s="100"/>
      <c r="G269" s="77"/>
      <c r="H269" s="77"/>
      <c r="I269" s="58"/>
      <c r="J269" s="47"/>
      <c r="K269" s="56">
        <f t="shared" si="10"/>
        <v>21</v>
      </c>
    </row>
    <row r="270" s="3" customFormat="1" ht="21" customHeight="1" spans="1:11">
      <c r="A270" s="85"/>
      <c r="B270" s="85"/>
      <c r="C270" s="61" t="s">
        <v>240</v>
      </c>
      <c r="D270" s="101">
        <v>21</v>
      </c>
      <c r="E270" s="100">
        <v>5</v>
      </c>
      <c r="F270" s="100"/>
      <c r="G270" s="77"/>
      <c r="H270" s="77"/>
      <c r="I270" s="58"/>
      <c r="J270" s="58"/>
      <c r="K270" s="56">
        <f t="shared" si="10"/>
        <v>26</v>
      </c>
    </row>
    <row r="271" s="3" customFormat="1" ht="21" customHeight="1" spans="1:11">
      <c r="A271" s="85"/>
      <c r="B271" s="85"/>
      <c r="C271" s="56" t="s">
        <v>229</v>
      </c>
      <c r="D271" s="64">
        <v>21</v>
      </c>
      <c r="E271" s="100">
        <v>5</v>
      </c>
      <c r="F271" s="100"/>
      <c r="G271" s="77"/>
      <c r="H271" s="77"/>
      <c r="I271" s="58"/>
      <c r="J271" s="58"/>
      <c r="K271" s="56">
        <f t="shared" si="10"/>
        <v>26</v>
      </c>
    </row>
    <row r="272" s="3" customFormat="1" ht="21" customHeight="1" spans="1:11">
      <c r="A272" s="86" t="s">
        <v>230</v>
      </c>
      <c r="B272" s="86">
        <v>10.5</v>
      </c>
      <c r="C272" s="56" t="s">
        <v>231</v>
      </c>
      <c r="D272" s="55">
        <v>10.5</v>
      </c>
      <c r="E272" s="100">
        <v>10.5</v>
      </c>
      <c r="F272" s="100"/>
      <c r="G272" s="77"/>
      <c r="H272" s="77"/>
      <c r="I272" s="58"/>
      <c r="J272" s="58"/>
      <c r="K272" s="56">
        <f t="shared" si="10"/>
        <v>21</v>
      </c>
    </row>
    <row r="273" s="3" customFormat="1" ht="21" customHeight="1" spans="1:11">
      <c r="A273" s="56" t="s">
        <v>232</v>
      </c>
      <c r="B273" s="56">
        <v>12</v>
      </c>
      <c r="C273" s="56" t="s">
        <v>233</v>
      </c>
      <c r="D273" s="47">
        <v>12</v>
      </c>
      <c r="E273" s="54">
        <v>12</v>
      </c>
      <c r="F273" s="54"/>
      <c r="G273" s="77"/>
      <c r="H273" s="77"/>
      <c r="I273" s="58"/>
      <c r="J273" s="58"/>
      <c r="K273" s="56">
        <f t="shared" si="10"/>
        <v>24</v>
      </c>
    </row>
    <row r="274" s="3" customFormat="1" ht="21" customHeight="1" spans="1:1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47">
        <f>SUM(K253:K273)</f>
        <v>645.2</v>
      </c>
    </row>
  </sheetData>
  <mergeCells count="142">
    <mergeCell ref="A1:K1"/>
    <mergeCell ref="A2:C2"/>
    <mergeCell ref="D2:K2"/>
    <mergeCell ref="A28:K28"/>
    <mergeCell ref="A29:C29"/>
    <mergeCell ref="D29:K29"/>
    <mergeCell ref="A56:K56"/>
    <mergeCell ref="A57:C57"/>
    <mergeCell ref="D57:K57"/>
    <mergeCell ref="A80:J80"/>
    <mergeCell ref="A84:K84"/>
    <mergeCell ref="A85:C85"/>
    <mergeCell ref="D85:K85"/>
    <mergeCell ref="A111:K111"/>
    <mergeCell ref="A112:C112"/>
    <mergeCell ref="D112:K112"/>
    <mergeCell ref="A138:K138"/>
    <mergeCell ref="A139:C139"/>
    <mergeCell ref="D139:K139"/>
    <mergeCell ref="A166:K166"/>
    <mergeCell ref="A167:C167"/>
    <mergeCell ref="D167:K167"/>
    <mergeCell ref="A194:K194"/>
    <mergeCell ref="A195:C195"/>
    <mergeCell ref="D195:K195"/>
    <mergeCell ref="A219:J219"/>
    <mergeCell ref="A222:K222"/>
    <mergeCell ref="A223:C223"/>
    <mergeCell ref="D223:K223"/>
    <mergeCell ref="A246:J246"/>
    <mergeCell ref="A250:K250"/>
    <mergeCell ref="A251:C251"/>
    <mergeCell ref="D251:K251"/>
    <mergeCell ref="A274:J274"/>
    <mergeCell ref="A5:A6"/>
    <mergeCell ref="A7:A8"/>
    <mergeCell ref="A9:A10"/>
    <mergeCell ref="A12:A13"/>
    <mergeCell ref="A14:A17"/>
    <mergeCell ref="A18:A20"/>
    <mergeCell ref="A32:A34"/>
    <mergeCell ref="A35:A36"/>
    <mergeCell ref="A37:A38"/>
    <mergeCell ref="A40:A41"/>
    <mergeCell ref="A42:A45"/>
    <mergeCell ref="A46:A51"/>
    <mergeCell ref="A60:A61"/>
    <mergeCell ref="A62:A66"/>
    <mergeCell ref="A67:A68"/>
    <mergeCell ref="A69:A72"/>
    <mergeCell ref="A73:A77"/>
    <mergeCell ref="A88:A89"/>
    <mergeCell ref="A90:A91"/>
    <mergeCell ref="A92:A93"/>
    <mergeCell ref="A95:A96"/>
    <mergeCell ref="A97:A100"/>
    <mergeCell ref="A101:A105"/>
    <mergeCell ref="A115:A116"/>
    <mergeCell ref="A117:A118"/>
    <mergeCell ref="A119:A120"/>
    <mergeCell ref="A122:A123"/>
    <mergeCell ref="A124:A127"/>
    <mergeCell ref="A128:A132"/>
    <mergeCell ref="A142:A143"/>
    <mergeCell ref="A144:A145"/>
    <mergeCell ref="A146:A147"/>
    <mergeCell ref="A149:A150"/>
    <mergeCell ref="A151:A154"/>
    <mergeCell ref="A155:A159"/>
    <mergeCell ref="A170:A171"/>
    <mergeCell ref="A172:A176"/>
    <mergeCell ref="A177:A178"/>
    <mergeCell ref="A179:A182"/>
    <mergeCell ref="A183:A187"/>
    <mergeCell ref="A198:A199"/>
    <mergeCell ref="A200:A201"/>
    <mergeCell ref="A202:A203"/>
    <mergeCell ref="A205:A206"/>
    <mergeCell ref="A207:A210"/>
    <mergeCell ref="A211:A215"/>
    <mergeCell ref="A226:A227"/>
    <mergeCell ref="A228:A229"/>
    <mergeCell ref="A230:A231"/>
    <mergeCell ref="A233:A234"/>
    <mergeCell ref="A235:A238"/>
    <mergeCell ref="A239:A243"/>
    <mergeCell ref="A254:A255"/>
    <mergeCell ref="A256:A257"/>
    <mergeCell ref="A258:A259"/>
    <mergeCell ref="A261:A262"/>
    <mergeCell ref="A263:A266"/>
    <mergeCell ref="A267:A271"/>
    <mergeCell ref="B5:B6"/>
    <mergeCell ref="B7:B11"/>
    <mergeCell ref="B12:B13"/>
    <mergeCell ref="B14:B17"/>
    <mergeCell ref="B18:B20"/>
    <mergeCell ref="B32:B34"/>
    <mergeCell ref="B35:B39"/>
    <mergeCell ref="B40:B41"/>
    <mergeCell ref="B42:B45"/>
    <mergeCell ref="B46:B51"/>
    <mergeCell ref="B60:B61"/>
    <mergeCell ref="B62:B66"/>
    <mergeCell ref="B67:B68"/>
    <mergeCell ref="B69:B72"/>
    <mergeCell ref="B73:B77"/>
    <mergeCell ref="B88:B89"/>
    <mergeCell ref="B90:B94"/>
    <mergeCell ref="B95:B96"/>
    <mergeCell ref="B97:B100"/>
    <mergeCell ref="B101:B105"/>
    <mergeCell ref="B115:B116"/>
    <mergeCell ref="B117:B121"/>
    <mergeCell ref="B122:B123"/>
    <mergeCell ref="B124:B127"/>
    <mergeCell ref="B128:B132"/>
    <mergeCell ref="B142:B143"/>
    <mergeCell ref="B144:B148"/>
    <mergeCell ref="B149:B150"/>
    <mergeCell ref="B151:B154"/>
    <mergeCell ref="B155:B159"/>
    <mergeCell ref="B170:B171"/>
    <mergeCell ref="B172:B176"/>
    <mergeCell ref="B177:B178"/>
    <mergeCell ref="B179:B182"/>
    <mergeCell ref="B183:B187"/>
    <mergeCell ref="B198:B199"/>
    <mergeCell ref="B200:B204"/>
    <mergeCell ref="B205:B206"/>
    <mergeCell ref="B207:B210"/>
    <mergeCell ref="B211:B215"/>
    <mergeCell ref="B226:B227"/>
    <mergeCell ref="B228:B232"/>
    <mergeCell ref="B233:B234"/>
    <mergeCell ref="B235:B238"/>
    <mergeCell ref="B239:B243"/>
    <mergeCell ref="B254:B255"/>
    <mergeCell ref="B256:B260"/>
    <mergeCell ref="B261:B262"/>
    <mergeCell ref="B263:B266"/>
    <mergeCell ref="B267:B2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2025年财务报表</vt:lpstr>
      <vt:lpstr>1月工分明细</vt:lpstr>
      <vt:lpstr>2月工分明细</vt:lpstr>
      <vt:lpstr>3月工分明细</vt:lpstr>
      <vt:lpstr>4月工分明细</vt:lpstr>
      <vt:lpstr>5月工分明细</vt:lpstr>
      <vt:lpstr>6月工分明细</vt:lpstr>
      <vt:lpstr>7月工分明细</vt:lpstr>
      <vt:lpstr>8月工分明细</vt:lpstr>
      <vt:lpstr>9月工分明细</vt:lpstr>
      <vt:lpstr>10月工分明细</vt:lpstr>
      <vt:lpstr>11月工分明细</vt:lpstr>
      <vt:lpstr>12月工分明细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琦乐麻麻（带娃回复慢）</cp:lastModifiedBy>
  <dcterms:created xsi:type="dcterms:W3CDTF">2023-05-12T11:15:00Z</dcterms:created>
  <dcterms:modified xsi:type="dcterms:W3CDTF">2026-01-08T00:49:31Z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A56FA19C1EA148BEBA48C432D1D3C541_13</vt:lpwstr>
  </property>
  <property fmtid="{D5CDD505-2E9C-101B-9397-08002B2CF9AE}" pid="4" name="CalculationRule">
    <vt:i4>0</vt:i4>
  </property>
</Properties>
</file>